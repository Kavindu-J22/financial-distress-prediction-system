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BA\Project\New\Data set\Workings\"/>
    </mc:Choice>
  </mc:AlternateContent>
  <xr:revisionPtr revIDLastSave="0" documentId="13_ncr:1_{4D4A724B-60B0-400F-871B-3249DE0C349B}" xr6:coauthVersionLast="47" xr6:coauthVersionMax="47" xr10:uidLastSave="{00000000-0000-0000-0000-000000000000}"/>
  <bookViews>
    <workbookView xWindow="-28920" yWindow="-120" windowWidth="29040" windowHeight="15720" xr2:uid="{457E7AD5-1880-408D-8B01-2A2D20FC31B4}"/>
  </bookViews>
  <sheets>
    <sheet name="Final data set " sheetId="1" r:id="rId1"/>
    <sheet name="Ratio equations" sheetId="5" r:id="rId2"/>
  </sheets>
  <definedNames>
    <definedName name="_xlnm._FilterDatabase" localSheetId="0" hidden="1">'Final data set '!$A$1:$AJ$1443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85" i="1" l="1"/>
  <c r="R584" i="1"/>
  <c r="R583" i="1"/>
  <c r="T2" i="1"/>
  <c r="U670" i="1"/>
  <c r="V1443" i="1"/>
  <c r="AH85" i="1"/>
  <c r="AA1437" i="1"/>
  <c r="AJ1437" i="1"/>
  <c r="AI1437" i="1"/>
  <c r="AH1437" i="1"/>
  <c r="AG1437" i="1"/>
  <c r="AF1437" i="1"/>
  <c r="AE1437" i="1"/>
  <c r="AD1437" i="1"/>
  <c r="AC1437" i="1"/>
  <c r="AB1437" i="1"/>
  <c r="Z1437" i="1"/>
  <c r="Y1437" i="1"/>
  <c r="X1437" i="1"/>
  <c r="W1437" i="1"/>
  <c r="V1437" i="1"/>
  <c r="U1437" i="1"/>
  <c r="AJ1438" i="1"/>
  <c r="AI1438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AJ1439" i="1"/>
  <c r="AI1439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AJ1440" i="1"/>
  <c r="AI1440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AJ1441" i="1"/>
  <c r="AI1441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AJ1442" i="1"/>
  <c r="AI1442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AJ1443" i="1"/>
  <c r="AI1443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U1443" i="1"/>
  <c r="AJ1430" i="1"/>
  <c r="AI1430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AJ1431" i="1"/>
  <c r="AI1431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AJ1432" i="1"/>
  <c r="AI1432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AJ1433" i="1"/>
  <c r="AI1433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AJ1434" i="1"/>
  <c r="AI1434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AJ1435" i="1"/>
  <c r="AI1435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AJ1436" i="1"/>
  <c r="AI1436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AJ1423" i="1"/>
  <c r="AI1423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AJ1424" i="1"/>
  <c r="AI1424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AJ1425" i="1"/>
  <c r="AI1425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AJ1426" i="1"/>
  <c r="AI1426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AJ1427" i="1"/>
  <c r="AI1427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AJ1428" i="1"/>
  <c r="AI1428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AJ1429" i="1"/>
  <c r="AI1429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AJ1395" i="1"/>
  <c r="AI1395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AJ1396" i="1"/>
  <c r="AI1396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AJ1397" i="1"/>
  <c r="AI1397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AJ1398" i="1"/>
  <c r="AI1398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AJ1399" i="1"/>
  <c r="AI1399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AJ1400" i="1"/>
  <c r="AI1400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AJ1401" i="1"/>
  <c r="AI1401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AJ1409" i="1"/>
  <c r="AI1409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AJ1410" i="1"/>
  <c r="AI1410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AJ1411" i="1"/>
  <c r="AI1411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AJ1412" i="1"/>
  <c r="AI1412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AJ1413" i="1"/>
  <c r="AI1413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AJ1414" i="1"/>
  <c r="AI1414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AJ1415" i="1"/>
  <c r="AI1415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AJ1402" i="1"/>
  <c r="AI1402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AJ1403" i="1"/>
  <c r="AI1403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AJ1404" i="1"/>
  <c r="AI1404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AJ1405" i="1"/>
  <c r="AI1405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AJ1406" i="1"/>
  <c r="AI1406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AJ1407" i="1"/>
  <c r="AI1407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AJ1408" i="1"/>
  <c r="AI1408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AJ1388" i="1"/>
  <c r="AI1388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AJ1389" i="1"/>
  <c r="AI1389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AJ1390" i="1"/>
  <c r="AI1390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AJ1391" i="1"/>
  <c r="AI1391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AJ1392" i="1"/>
  <c r="AI1392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AJ1393" i="1"/>
  <c r="AI1393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AJ1394" i="1"/>
  <c r="AI1394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AJ1374" i="1"/>
  <c r="AI1374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AJ1375" i="1"/>
  <c r="AI1375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AJ1376" i="1"/>
  <c r="AI1376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AJ1377" i="1"/>
  <c r="AI1377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AJ1378" i="1"/>
  <c r="AI1378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AJ1379" i="1"/>
  <c r="AI1379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AJ1380" i="1"/>
  <c r="AI1380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AJ1367" i="1"/>
  <c r="AI1367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AJ1368" i="1"/>
  <c r="AI1368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AJ1369" i="1"/>
  <c r="AI1369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AJ1370" i="1"/>
  <c r="AI1370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AJ1371" i="1"/>
  <c r="AI1371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AJ1372" i="1"/>
  <c r="AI1372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AJ1373" i="1"/>
  <c r="AI1373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AJ1381" i="1"/>
  <c r="AI1381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AJ1382" i="1"/>
  <c r="AI1382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AJ1383" i="1"/>
  <c r="AI1383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AJ1384" i="1"/>
  <c r="AI1384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AJ1385" i="1"/>
  <c r="AI1385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AJ1386" i="1"/>
  <c r="AI1386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AJ1387" i="1"/>
  <c r="AI1387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AJ1346" i="1"/>
  <c r="AI1346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AJ1347" i="1"/>
  <c r="AI1347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AJ1348" i="1"/>
  <c r="AI1348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AJ1349" i="1"/>
  <c r="AI1349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AJ1350" i="1"/>
  <c r="AI1350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AJ1351" i="1"/>
  <c r="AI1351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AJ1352" i="1"/>
  <c r="AI1352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AJ1332" i="1"/>
  <c r="AI1332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AJ1333" i="1"/>
  <c r="AI1333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AJ1334" i="1"/>
  <c r="AI1334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AJ1335" i="1"/>
  <c r="AI1335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AJ1336" i="1"/>
  <c r="AI1336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AJ1337" i="1"/>
  <c r="AI1337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AJ1338" i="1"/>
  <c r="AI1338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AJ1283" i="1"/>
  <c r="AI1283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AJ1284" i="1"/>
  <c r="AI1284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AJ1285" i="1"/>
  <c r="AI1285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AJ1286" i="1"/>
  <c r="AI1286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AJ1287" i="1"/>
  <c r="AI1287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AJ1288" i="1"/>
  <c r="AI1288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AJ1289" i="1"/>
  <c r="AI1289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AJ968" i="1"/>
  <c r="AI968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AJ969" i="1"/>
  <c r="AI969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AJ970" i="1"/>
  <c r="AI970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AJ971" i="1"/>
  <c r="AI971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AJ972" i="1"/>
  <c r="AI972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AJ973" i="1"/>
  <c r="AI973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AJ974" i="1"/>
  <c r="AI974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AJ793" i="1"/>
  <c r="AI793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AJ794" i="1"/>
  <c r="AI794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AJ795" i="1"/>
  <c r="AI795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AJ796" i="1"/>
  <c r="AI796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AJ797" i="1"/>
  <c r="AI797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AJ798" i="1"/>
  <c r="AI798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AJ799" i="1"/>
  <c r="AI799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AJ1157" i="1"/>
  <c r="AI1157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AJ1158" i="1"/>
  <c r="AI1158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AJ1159" i="1"/>
  <c r="AI1159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AJ1160" i="1"/>
  <c r="AI1160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AJ1161" i="1"/>
  <c r="AI1161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AJ1162" i="1"/>
  <c r="AI1162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AJ1163" i="1"/>
  <c r="AI1163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AJ1122" i="1"/>
  <c r="AI1122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AJ1123" i="1"/>
  <c r="AI1123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AJ1124" i="1"/>
  <c r="AI1124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AJ1125" i="1"/>
  <c r="AI1125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AJ1126" i="1"/>
  <c r="AI1126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AJ1127" i="1"/>
  <c r="AI1127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AJ1128" i="1"/>
  <c r="AI1128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AJ800" i="1"/>
  <c r="AI800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AJ801" i="1"/>
  <c r="AI801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AJ802" i="1"/>
  <c r="AI802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AJ803" i="1"/>
  <c r="AI803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AJ804" i="1"/>
  <c r="AI804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AJ805" i="1"/>
  <c r="AI805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AJ806" i="1"/>
  <c r="AI806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AJ1311" i="1"/>
  <c r="AI1311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AJ1312" i="1"/>
  <c r="AI1312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AJ1313" i="1"/>
  <c r="AI1313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AJ1314" i="1"/>
  <c r="AI1314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AJ1315" i="1"/>
  <c r="AI1315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AJ1316" i="1"/>
  <c r="AI1316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AJ1317" i="1"/>
  <c r="AI1317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AJ1325" i="1"/>
  <c r="AI1325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AJ1326" i="1"/>
  <c r="AI1326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AJ1327" i="1"/>
  <c r="AI1327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AJ1328" i="1"/>
  <c r="AI1328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AJ1329" i="1"/>
  <c r="AI1329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AJ1330" i="1"/>
  <c r="AI1330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AJ1331" i="1"/>
  <c r="AI1331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AJ1353" i="1"/>
  <c r="AI1353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AJ1354" i="1"/>
  <c r="AI1354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AJ1355" i="1"/>
  <c r="AI1355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AJ1356" i="1"/>
  <c r="AI1356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AJ1357" i="1"/>
  <c r="AI1357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AJ1358" i="1"/>
  <c r="AI1358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AJ1359" i="1"/>
  <c r="AI1359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AJ1297" i="1"/>
  <c r="AI1297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AJ1298" i="1"/>
  <c r="AI1298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AJ1299" i="1"/>
  <c r="AI1299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AJ1300" i="1"/>
  <c r="AI1300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AJ1301" i="1"/>
  <c r="AI1301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AJ1302" i="1"/>
  <c r="AI1302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AJ1303" i="1"/>
  <c r="AI1303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AJ1339" i="1"/>
  <c r="AI1339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AJ1340" i="1"/>
  <c r="AI1340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AJ1341" i="1"/>
  <c r="AI1341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AJ1342" i="1"/>
  <c r="AI1342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AJ1343" i="1"/>
  <c r="AI1343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AJ1344" i="1"/>
  <c r="AI1344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AJ1345" i="1"/>
  <c r="AI1345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AJ1290" i="1"/>
  <c r="AI1290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AJ1291" i="1"/>
  <c r="AI1291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AJ1292" i="1"/>
  <c r="AI1292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AJ1293" i="1"/>
  <c r="AI1293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AJ1294" i="1"/>
  <c r="AI1294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AJ1295" i="1"/>
  <c r="AI1295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AJ1296" i="1"/>
  <c r="AI1296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AJ1031" i="1"/>
  <c r="AI1031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AJ1032" i="1"/>
  <c r="AI1032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AJ1033" i="1"/>
  <c r="AI1033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AJ1034" i="1"/>
  <c r="AI1034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AJ1035" i="1"/>
  <c r="AI1035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AJ1036" i="1"/>
  <c r="AI1036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AJ1037" i="1"/>
  <c r="AI1037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AJ1276" i="1"/>
  <c r="AI1276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AJ1277" i="1"/>
  <c r="AI1277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AJ1278" i="1"/>
  <c r="AI1278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AJ1279" i="1"/>
  <c r="AI1279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AJ1280" i="1"/>
  <c r="AI1280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AJ1281" i="1"/>
  <c r="AI1281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AJ1282" i="1"/>
  <c r="AI1282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AJ1269" i="1"/>
  <c r="AI1269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AJ1270" i="1"/>
  <c r="AI1270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AJ1271" i="1"/>
  <c r="AI1271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AJ1272" i="1"/>
  <c r="AI1272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AJ1273" i="1"/>
  <c r="AI1273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AJ1274" i="1"/>
  <c r="AI1274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AJ1275" i="1"/>
  <c r="AI1275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AJ1199" i="1"/>
  <c r="AI1199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AJ1200" i="1"/>
  <c r="AI1200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AJ1201" i="1"/>
  <c r="AI1201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AJ1202" i="1"/>
  <c r="AI1202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AJ1203" i="1"/>
  <c r="AI1203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AJ1204" i="1"/>
  <c r="AI1204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AJ1205" i="1"/>
  <c r="AI1205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AJ1234" i="1"/>
  <c r="AI1234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AJ1235" i="1"/>
  <c r="AI1235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AJ1236" i="1"/>
  <c r="AI1236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AJ1237" i="1"/>
  <c r="AI1237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AJ1238" i="1"/>
  <c r="AI1238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AJ1239" i="1"/>
  <c r="AI1239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AJ1240" i="1"/>
  <c r="AI1240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AJ1171" i="1"/>
  <c r="AI1171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AJ1172" i="1"/>
  <c r="AI1172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AJ1173" i="1"/>
  <c r="AI1173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AJ1174" i="1"/>
  <c r="AI1174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AJ1175" i="1"/>
  <c r="AI1175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AJ1176" i="1"/>
  <c r="AI1176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AJ1177" i="1"/>
  <c r="AI1177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AJ1206" i="1"/>
  <c r="AI1206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AJ1207" i="1"/>
  <c r="AI1207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AJ1208" i="1"/>
  <c r="AI1208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AJ1209" i="1"/>
  <c r="AI1209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AJ1210" i="1"/>
  <c r="AI1210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AJ1211" i="1"/>
  <c r="AI1211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AJ1212" i="1"/>
  <c r="AI1212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AJ1213" i="1"/>
  <c r="AI1213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AJ1214" i="1"/>
  <c r="AI1214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AJ1215" i="1"/>
  <c r="AI1215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AJ1216" i="1"/>
  <c r="AI1216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AJ1217" i="1"/>
  <c r="AI1217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AJ1218" i="1"/>
  <c r="AI1218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AJ1219" i="1"/>
  <c r="AI1219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AJ1185" i="1"/>
  <c r="AI1185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AJ1186" i="1"/>
  <c r="AI1186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AJ1187" i="1"/>
  <c r="AI1187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AJ1188" i="1"/>
  <c r="AI1188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AJ1189" i="1"/>
  <c r="AI1189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AJ1190" i="1"/>
  <c r="AI1190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AJ1191" i="1"/>
  <c r="AI1191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AJ1220" i="1"/>
  <c r="AI1220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AJ1221" i="1"/>
  <c r="AI1221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AJ1222" i="1"/>
  <c r="AI1222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AJ1223" i="1"/>
  <c r="AI1223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AJ1224" i="1"/>
  <c r="AI1224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AJ1225" i="1"/>
  <c r="AI1225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AJ1226" i="1"/>
  <c r="AI1226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AJ1227" i="1"/>
  <c r="AI1227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AJ1228" i="1"/>
  <c r="AI1228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AJ1229" i="1"/>
  <c r="AI1229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AJ1230" i="1"/>
  <c r="AI1230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AJ1231" i="1"/>
  <c r="AI1231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AJ1232" i="1"/>
  <c r="AI1232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AJ1233" i="1"/>
  <c r="AI1233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AJ1178" i="1"/>
  <c r="AI1178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AJ1179" i="1"/>
  <c r="AI1179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AJ1180" i="1"/>
  <c r="AI1180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AJ1181" i="1"/>
  <c r="AI1181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AJ1182" i="1"/>
  <c r="AI1182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AJ1183" i="1"/>
  <c r="AI1183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AJ1184" i="1"/>
  <c r="AI1184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AJ1241" i="1"/>
  <c r="AI1241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AJ1242" i="1"/>
  <c r="AI1242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AJ1243" i="1"/>
  <c r="AI1243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AJ1244" i="1"/>
  <c r="AI1244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AJ1245" i="1"/>
  <c r="AI1245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AJ1246" i="1"/>
  <c r="AI1246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AJ1247" i="1"/>
  <c r="AI1247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AJ1192" i="1"/>
  <c r="AI1192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AJ1193" i="1"/>
  <c r="AI1193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AJ1194" i="1"/>
  <c r="AI1194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AJ1195" i="1"/>
  <c r="AI1195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AJ1196" i="1"/>
  <c r="AI1196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AJ1197" i="1"/>
  <c r="AI1197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AJ1198" i="1"/>
  <c r="AI1198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AJ1143" i="1"/>
  <c r="AI1143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AJ1144" i="1"/>
  <c r="AI1144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AJ1145" i="1"/>
  <c r="AI1145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AJ1146" i="1"/>
  <c r="AI1146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AJ1147" i="1"/>
  <c r="AI1147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AJ1148" i="1"/>
  <c r="AI1148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AJ1149" i="1"/>
  <c r="AI1149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AJ1073" i="1"/>
  <c r="AI1073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AJ1074" i="1"/>
  <c r="AI1074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AJ1075" i="1"/>
  <c r="AI1075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AJ1076" i="1"/>
  <c r="AI1076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AJ1077" i="1"/>
  <c r="AI1077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AJ1078" i="1"/>
  <c r="AI1078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AJ1079" i="1"/>
  <c r="AI1079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AJ1094" i="1"/>
  <c r="AI1094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AJ1095" i="1"/>
  <c r="AI1095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AJ1096" i="1"/>
  <c r="AI1096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AJ1097" i="1"/>
  <c r="AI1097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AJ1098" i="1"/>
  <c r="AI1098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AJ1099" i="1"/>
  <c r="AI1099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AJ1100" i="1"/>
  <c r="AI1100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AJ1129" i="1"/>
  <c r="AI1129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AJ1130" i="1"/>
  <c r="AI1130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AJ1131" i="1"/>
  <c r="AI1131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AJ1132" i="1"/>
  <c r="AI1132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AJ1133" i="1"/>
  <c r="AI1133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AJ1134" i="1"/>
  <c r="AI1134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AJ1135" i="1"/>
  <c r="AI1135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AJ1066" i="1"/>
  <c r="AI1066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AJ1067" i="1"/>
  <c r="AI1067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AJ1068" i="1"/>
  <c r="AI1068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AJ1069" i="1"/>
  <c r="AI1069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AJ1070" i="1"/>
  <c r="AI1070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AJ1071" i="1"/>
  <c r="AI1071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AJ1072" i="1"/>
  <c r="AI1072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AJ1115" i="1"/>
  <c r="AI1115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AJ1116" i="1"/>
  <c r="AI1116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AJ1117" i="1"/>
  <c r="AI1117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AJ1118" i="1"/>
  <c r="AI1118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AJ1119" i="1"/>
  <c r="AI1119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AJ1120" i="1"/>
  <c r="AI1120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AJ1121" i="1"/>
  <c r="AI1121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AJ1087" i="1"/>
  <c r="AI1087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AJ1088" i="1"/>
  <c r="AI1088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AJ1089" i="1"/>
  <c r="AI1089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AJ1090" i="1"/>
  <c r="AI1090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AJ1091" i="1"/>
  <c r="AI1091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AJ1092" i="1"/>
  <c r="AI1092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AJ1093" i="1"/>
  <c r="AI1093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AJ1059" i="1"/>
  <c r="AI1059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AJ1060" i="1"/>
  <c r="AI1060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AJ1061" i="1"/>
  <c r="AI1061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AJ1062" i="1"/>
  <c r="AI1062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AJ1063" i="1"/>
  <c r="AI1063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AJ1064" i="1"/>
  <c r="AI1064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AJ1065" i="1"/>
  <c r="AI1065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AJ1101" i="1"/>
  <c r="AI1101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AJ1102" i="1"/>
  <c r="AI1102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AJ1103" i="1"/>
  <c r="AI1103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AJ1104" i="1"/>
  <c r="AI1104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AJ1105" i="1"/>
  <c r="AI1105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AJ1106" i="1"/>
  <c r="AI1106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AJ1107" i="1"/>
  <c r="AI1107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AJ1150" i="1"/>
  <c r="AI1150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AJ1151" i="1"/>
  <c r="AI1151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AJ1152" i="1"/>
  <c r="AI1152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AJ1153" i="1"/>
  <c r="AI1153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AJ1154" i="1"/>
  <c r="AI1154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AJ1155" i="1"/>
  <c r="AI1155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AJ1156" i="1"/>
  <c r="AI1156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AJ1108" i="1"/>
  <c r="AI1108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AJ1109" i="1"/>
  <c r="AI1109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AJ1110" i="1"/>
  <c r="AI1110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AJ1111" i="1"/>
  <c r="AI1111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AJ1112" i="1"/>
  <c r="AI1112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AJ1113" i="1"/>
  <c r="AI1113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AJ1114" i="1"/>
  <c r="AI1114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AJ1136" i="1"/>
  <c r="AI1136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AJ1137" i="1"/>
  <c r="AI1137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AJ1138" i="1"/>
  <c r="AI1138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AJ1139" i="1"/>
  <c r="AI1139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AJ1140" i="1"/>
  <c r="AI1140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AJ1141" i="1"/>
  <c r="AI1141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AJ1142" i="1"/>
  <c r="AI1142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AJ1052" i="1"/>
  <c r="AI1052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AJ1053" i="1"/>
  <c r="AI1053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AJ1054" i="1"/>
  <c r="AI1054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AJ1055" i="1"/>
  <c r="AI1055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AJ1056" i="1"/>
  <c r="AI1056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AJ1057" i="1"/>
  <c r="AI1057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AJ1058" i="1"/>
  <c r="AI1058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AJ1038" i="1"/>
  <c r="AI1038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AJ1039" i="1"/>
  <c r="AI1039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AJ1040" i="1"/>
  <c r="AI1040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AJ1041" i="1"/>
  <c r="AI1041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AJ1042" i="1"/>
  <c r="AI1042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AJ1043" i="1"/>
  <c r="AI1043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AJ1044" i="1"/>
  <c r="AI1044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AJ1024" i="1"/>
  <c r="AI1024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AJ1025" i="1"/>
  <c r="AI1025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AJ1026" i="1"/>
  <c r="AI1026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AJ1027" i="1"/>
  <c r="AI1027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AJ1028" i="1"/>
  <c r="AI1028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AJ1029" i="1"/>
  <c r="AI1029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AJ1030" i="1"/>
  <c r="AI1030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AJ1017" i="1"/>
  <c r="AI1017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AJ1018" i="1"/>
  <c r="AI1018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AJ1019" i="1"/>
  <c r="AI1019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AJ1020" i="1"/>
  <c r="AI1020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AJ1021" i="1"/>
  <c r="AI1021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AJ1022" i="1"/>
  <c r="AI1022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AJ1023" i="1"/>
  <c r="AI1023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AJ1010" i="1"/>
  <c r="AI1010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AJ1011" i="1"/>
  <c r="AI1011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AJ1012" i="1"/>
  <c r="AI1012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AJ1013" i="1"/>
  <c r="AI1013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AJ1014" i="1"/>
  <c r="AI1014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AJ1015" i="1"/>
  <c r="AI1015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AJ1016" i="1"/>
  <c r="AI1016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AJ1003" i="1"/>
  <c r="AI1003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AJ1004" i="1"/>
  <c r="AI1004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AJ1005" i="1"/>
  <c r="AI1005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AJ1006" i="1"/>
  <c r="AI1006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AJ1007" i="1"/>
  <c r="AI1007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AJ1008" i="1"/>
  <c r="AI1008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AJ1009" i="1"/>
  <c r="AI1009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AJ996" i="1"/>
  <c r="AI996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AJ997" i="1"/>
  <c r="AI997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AJ998" i="1"/>
  <c r="AI998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AJ999" i="1"/>
  <c r="AI999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AJ1000" i="1"/>
  <c r="AI1000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AJ1001" i="1"/>
  <c r="AI1001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AJ1002" i="1"/>
  <c r="AI1002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AJ989" i="1"/>
  <c r="AI989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AJ990" i="1"/>
  <c r="AI990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AJ991" i="1"/>
  <c r="AI991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AJ992" i="1"/>
  <c r="AI992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AJ993" i="1"/>
  <c r="AI993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AJ994" i="1"/>
  <c r="AI994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AJ995" i="1"/>
  <c r="AI995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AJ982" i="1"/>
  <c r="AI982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AJ983" i="1"/>
  <c r="AI983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AJ984" i="1"/>
  <c r="AI984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AJ985" i="1"/>
  <c r="AI985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AJ986" i="1"/>
  <c r="AI986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AJ987" i="1"/>
  <c r="AI987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AJ988" i="1"/>
  <c r="AI988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AJ975" i="1"/>
  <c r="AI975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AJ976" i="1"/>
  <c r="AI976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AJ977" i="1"/>
  <c r="AI977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AJ978" i="1"/>
  <c r="AI978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AJ979" i="1"/>
  <c r="AI979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AJ980" i="1"/>
  <c r="AI980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AJ981" i="1"/>
  <c r="AI981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AJ961" i="1"/>
  <c r="AI961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AJ962" i="1"/>
  <c r="AI962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AJ963" i="1"/>
  <c r="AI963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AJ964" i="1"/>
  <c r="AI964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AJ965" i="1"/>
  <c r="AI965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AJ966" i="1"/>
  <c r="AI966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AJ967" i="1"/>
  <c r="AI967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AJ954" i="1"/>
  <c r="AI954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AJ955" i="1"/>
  <c r="AI955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AJ956" i="1"/>
  <c r="AI956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AJ957" i="1"/>
  <c r="AI957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AJ958" i="1"/>
  <c r="AI958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AJ959" i="1"/>
  <c r="AI959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AJ960" i="1"/>
  <c r="AI960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AJ933" i="1"/>
  <c r="AI933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AJ934" i="1"/>
  <c r="AI934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AJ935" i="1"/>
  <c r="AI935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AJ936" i="1"/>
  <c r="AI936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AJ937" i="1"/>
  <c r="AI937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AJ938" i="1"/>
  <c r="AI938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AJ939" i="1"/>
  <c r="AI939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AJ947" i="1"/>
  <c r="AI947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AJ948" i="1"/>
  <c r="AI948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AJ949" i="1"/>
  <c r="AI949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AJ950" i="1"/>
  <c r="AI950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AJ951" i="1"/>
  <c r="AI951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AJ952" i="1"/>
  <c r="AI952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AJ953" i="1"/>
  <c r="AI953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AJ919" i="1"/>
  <c r="AI919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AJ920" i="1"/>
  <c r="AI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AJ921" i="1"/>
  <c r="AI921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AJ922" i="1"/>
  <c r="AI922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AJ923" i="1"/>
  <c r="AI923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AJ924" i="1"/>
  <c r="AI924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AJ925" i="1"/>
  <c r="AI925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AJ898" i="1"/>
  <c r="AI898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AJ899" i="1"/>
  <c r="AI899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AJ900" i="1"/>
  <c r="AI900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AJ901" i="1"/>
  <c r="AI901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AJ902" i="1"/>
  <c r="AI902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AJ903" i="1"/>
  <c r="AI903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AJ904" i="1"/>
  <c r="AI904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AJ891" i="1"/>
  <c r="AI891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AJ892" i="1"/>
  <c r="AI892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AJ893" i="1"/>
  <c r="AI893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AJ894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AJ895" i="1"/>
  <c r="AI895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AJ896" i="1"/>
  <c r="AI896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AJ897" i="1"/>
  <c r="AI897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AJ884" i="1"/>
  <c r="AI884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AJ885" i="1"/>
  <c r="AI885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AJ886" i="1"/>
  <c r="AI886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AJ887" i="1"/>
  <c r="AI887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AJ888" i="1"/>
  <c r="AI888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AJ889" i="1"/>
  <c r="AI889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AJ890" i="1"/>
  <c r="AI890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AJ940" i="1"/>
  <c r="AI940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AJ941" i="1"/>
  <c r="AI941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AJ942" i="1"/>
  <c r="AI942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AJ943" i="1"/>
  <c r="AI943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AJ944" i="1"/>
  <c r="AI944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AJ945" i="1"/>
  <c r="AI945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AJ946" i="1"/>
  <c r="AI946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AJ905" i="1"/>
  <c r="AI905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AJ906" i="1"/>
  <c r="AI906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AJ907" i="1"/>
  <c r="AI907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AJ908" i="1"/>
  <c r="AI908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AJ909" i="1"/>
  <c r="AI909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AJ910" i="1"/>
  <c r="AI910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AJ911" i="1"/>
  <c r="AI911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AJ877" i="1"/>
  <c r="AI877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AJ878" i="1"/>
  <c r="AI878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AJ879" i="1"/>
  <c r="AI879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AJ880" i="1"/>
  <c r="AI880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AJ881" i="1"/>
  <c r="AI881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AJ882" i="1"/>
  <c r="AI882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AJ883" i="1"/>
  <c r="AI883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AJ856" i="1"/>
  <c r="AI856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AJ857" i="1"/>
  <c r="AI857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AJ858" i="1"/>
  <c r="AI858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AJ859" i="1"/>
  <c r="AI859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AJ860" i="1"/>
  <c r="AI860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AJ861" i="1"/>
  <c r="AI861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AJ862" i="1"/>
  <c r="AI862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AJ814" i="1"/>
  <c r="AI814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AJ815" i="1"/>
  <c r="AI815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AJ816" i="1"/>
  <c r="AI816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AJ817" i="1"/>
  <c r="AI817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AJ818" i="1"/>
  <c r="AI818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AJ819" i="1"/>
  <c r="AI819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AJ820" i="1"/>
  <c r="AI820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AJ1164" i="1"/>
  <c r="AI1164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AJ1165" i="1"/>
  <c r="AI1165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AJ1166" i="1"/>
  <c r="AI1166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AJ1167" i="1"/>
  <c r="AI1167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AJ1168" i="1"/>
  <c r="AI1168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AJ1169" i="1"/>
  <c r="AI1169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AJ1170" i="1"/>
  <c r="AI1170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AJ821" i="1"/>
  <c r="AI821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AJ822" i="1"/>
  <c r="AI822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AJ823" i="1"/>
  <c r="AI823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AJ824" i="1"/>
  <c r="AI824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AJ825" i="1"/>
  <c r="AI825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AJ826" i="1"/>
  <c r="AI826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AJ827" i="1"/>
  <c r="AI827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AJ842" i="1"/>
  <c r="AI842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AJ843" i="1"/>
  <c r="AI843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AJ844" i="1"/>
  <c r="AI844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AJ845" i="1"/>
  <c r="AI845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AJ846" i="1"/>
  <c r="AI846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AJ847" i="1"/>
  <c r="AI847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AJ848" i="1"/>
  <c r="AI848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AJ786" i="1"/>
  <c r="AI786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AJ787" i="1"/>
  <c r="AI787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AJ788" i="1"/>
  <c r="AI788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AJ789" i="1"/>
  <c r="AI789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AJ790" i="1"/>
  <c r="AI790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AJ791" i="1"/>
  <c r="AI791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AJ792" i="1"/>
  <c r="AI792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AJ779" i="1"/>
  <c r="AI779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AJ780" i="1"/>
  <c r="AI780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AJ781" i="1"/>
  <c r="AI781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AJ782" i="1"/>
  <c r="AI782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AJ783" i="1"/>
  <c r="AI783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AJ784" i="1"/>
  <c r="AI784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AJ785" i="1"/>
  <c r="AI785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AJ772" i="1"/>
  <c r="AI772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AJ773" i="1"/>
  <c r="AI773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AJ774" i="1"/>
  <c r="AI774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AJ775" i="1"/>
  <c r="AI775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AJ776" i="1"/>
  <c r="AI776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AJ777" i="1"/>
  <c r="AI777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AJ870" i="1"/>
  <c r="AI870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AJ871" i="1"/>
  <c r="AI871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AJ872" i="1"/>
  <c r="AI872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AJ873" i="1"/>
  <c r="AI873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AJ874" i="1"/>
  <c r="AI874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AJ875" i="1"/>
  <c r="AI875" i="1"/>
  <c r="AG875" i="1"/>
  <c r="AF875" i="1"/>
  <c r="AD875" i="1"/>
  <c r="AC875" i="1"/>
  <c r="AB875" i="1"/>
  <c r="Y875" i="1"/>
  <c r="X875" i="1"/>
  <c r="W875" i="1"/>
  <c r="V875" i="1"/>
  <c r="AJ876" i="1"/>
  <c r="AI876" i="1"/>
  <c r="AG876" i="1"/>
  <c r="AF876" i="1"/>
  <c r="AD876" i="1"/>
  <c r="AC876" i="1"/>
  <c r="AB876" i="1"/>
  <c r="Y876" i="1"/>
  <c r="X876" i="1"/>
  <c r="W876" i="1"/>
  <c r="V876" i="1"/>
  <c r="AJ1318" i="1"/>
  <c r="AI1318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AJ1319" i="1"/>
  <c r="AI1319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AJ1320" i="1"/>
  <c r="AI1320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AJ1321" i="1"/>
  <c r="AI1321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AJ1322" i="1"/>
  <c r="AI1322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AJ1323" i="1"/>
  <c r="AI1323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AJ1324" i="1"/>
  <c r="AI1324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AJ835" i="1"/>
  <c r="AI835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AJ836" i="1"/>
  <c r="AI836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AJ837" i="1"/>
  <c r="AI837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AJ838" i="1"/>
  <c r="AI838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AJ839" i="1"/>
  <c r="AI839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AJ840" i="1"/>
  <c r="AI840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AJ841" i="1"/>
  <c r="AI841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AJ807" i="1"/>
  <c r="AI807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AJ808" i="1"/>
  <c r="AI808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AJ809" i="1"/>
  <c r="AI809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AJ810" i="1"/>
  <c r="AI810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AJ811" i="1"/>
  <c r="AI811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AJ812" i="1"/>
  <c r="AI812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AJ813" i="1"/>
  <c r="AI813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AJ758" i="1"/>
  <c r="AI758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AJ759" i="1"/>
  <c r="AI759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AJ760" i="1"/>
  <c r="AI760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AJ761" i="1"/>
  <c r="AI761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AJ762" i="1"/>
  <c r="AI762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AJ763" i="1"/>
  <c r="AI763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AJ764" i="1"/>
  <c r="AI764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AJ849" i="1"/>
  <c r="AI849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AJ850" i="1"/>
  <c r="AI850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AJ851" i="1"/>
  <c r="AI851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AJ852" i="1"/>
  <c r="AI852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AJ853" i="1"/>
  <c r="AI853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AJ854" i="1"/>
  <c r="AI854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AJ855" i="1"/>
  <c r="AI855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AJ863" i="1"/>
  <c r="AI863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AJ864" i="1"/>
  <c r="AI864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AJ865" i="1"/>
  <c r="AI865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AJ866" i="1"/>
  <c r="AI866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AJ867" i="1"/>
  <c r="AI867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AJ868" i="1"/>
  <c r="AI868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AJ869" i="1"/>
  <c r="AI869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AJ765" i="1"/>
  <c r="AI765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AJ766" i="1"/>
  <c r="AI766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AJ767" i="1"/>
  <c r="AI767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AJ768" i="1"/>
  <c r="AI768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AJ769" i="1"/>
  <c r="AI769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AJ770" i="1"/>
  <c r="AI770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AJ771" i="1"/>
  <c r="AI771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U373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U374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U375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U376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U377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U378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U379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AJ703" i="1"/>
  <c r="AI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AJ704" i="1"/>
  <c r="AI704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AJ705" i="1"/>
  <c r="AI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AJ1360" i="1"/>
  <c r="AI1360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AJ1361" i="1"/>
  <c r="AI1361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AJ1362" i="1"/>
  <c r="AI1362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AJ1363" i="1"/>
  <c r="AI1363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AJ1364" i="1"/>
  <c r="AI1364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AJ1365" i="1"/>
  <c r="AI1365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AJ1366" i="1"/>
  <c r="AI1366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AJ699" i="1"/>
  <c r="AI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AJ701" i="1"/>
  <c r="AI701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AJ691" i="1"/>
  <c r="AI691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AJ693" i="1"/>
  <c r="AI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AJ681" i="1"/>
  <c r="AI681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AJ684" i="1"/>
  <c r="AI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AJ685" i="1"/>
  <c r="AI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AJ677" i="1"/>
  <c r="AI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AJ679" i="1"/>
  <c r="AI679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AJ669" i="1"/>
  <c r="AI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AJ672" i="1"/>
  <c r="AI672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AJ673" i="1"/>
  <c r="AI673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AJ665" i="1"/>
  <c r="AI665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AJ653" i="1"/>
  <c r="AI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AJ654" i="1"/>
  <c r="AI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AJ655" i="1"/>
  <c r="AI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AJ656" i="1"/>
  <c r="AI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AJ657" i="1"/>
  <c r="AI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AJ658" i="1"/>
  <c r="AI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AJ659" i="1"/>
  <c r="AI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AJ646" i="1"/>
  <c r="AI646" i="1"/>
  <c r="AG646" i="1"/>
  <c r="AF646" i="1"/>
  <c r="AD646" i="1"/>
  <c r="AC646" i="1"/>
  <c r="AB646" i="1"/>
  <c r="Y646" i="1"/>
  <c r="X646" i="1"/>
  <c r="W646" i="1"/>
  <c r="V646" i="1"/>
  <c r="U646" i="1"/>
  <c r="AJ647" i="1"/>
  <c r="AI647" i="1"/>
  <c r="AG647" i="1"/>
  <c r="AF647" i="1"/>
  <c r="AD647" i="1"/>
  <c r="AC647" i="1"/>
  <c r="AB647" i="1"/>
  <c r="Y647" i="1"/>
  <c r="X647" i="1"/>
  <c r="W647" i="1"/>
  <c r="V647" i="1"/>
  <c r="U647" i="1"/>
  <c r="AJ648" i="1"/>
  <c r="AI648" i="1"/>
  <c r="AG648" i="1"/>
  <c r="AF648" i="1"/>
  <c r="AD648" i="1"/>
  <c r="AC648" i="1"/>
  <c r="AB648" i="1"/>
  <c r="Y648" i="1"/>
  <c r="X648" i="1"/>
  <c r="W648" i="1"/>
  <c r="V648" i="1"/>
  <c r="U648" i="1"/>
  <c r="AJ649" i="1"/>
  <c r="AI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AJ650" i="1"/>
  <c r="AI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AJ651" i="1"/>
  <c r="AI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AJ652" i="1"/>
  <c r="AI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AJ639" i="1"/>
  <c r="AI639" i="1"/>
  <c r="AH639" i="1"/>
  <c r="AG639" i="1"/>
  <c r="AF639" i="1"/>
  <c r="AD639" i="1"/>
  <c r="AC639" i="1"/>
  <c r="AB639" i="1"/>
  <c r="Y639" i="1"/>
  <c r="X639" i="1"/>
  <c r="W639" i="1"/>
  <c r="V639" i="1"/>
  <c r="AJ640" i="1"/>
  <c r="AI640" i="1"/>
  <c r="AH640" i="1"/>
  <c r="AG640" i="1"/>
  <c r="AF640" i="1"/>
  <c r="AD640" i="1"/>
  <c r="AC640" i="1"/>
  <c r="AB640" i="1"/>
  <c r="Y640" i="1"/>
  <c r="X640" i="1"/>
  <c r="W640" i="1"/>
  <c r="V640" i="1"/>
  <c r="AJ641" i="1"/>
  <c r="AI641" i="1"/>
  <c r="AG641" i="1"/>
  <c r="AF641" i="1"/>
  <c r="AD641" i="1"/>
  <c r="AC641" i="1"/>
  <c r="AB641" i="1"/>
  <c r="Y641" i="1"/>
  <c r="X641" i="1"/>
  <c r="W641" i="1"/>
  <c r="V641" i="1"/>
  <c r="AJ642" i="1"/>
  <c r="AI642" i="1"/>
  <c r="AG642" i="1"/>
  <c r="AF642" i="1"/>
  <c r="AD642" i="1"/>
  <c r="AC642" i="1"/>
  <c r="AB642" i="1"/>
  <c r="Y642" i="1"/>
  <c r="X642" i="1"/>
  <c r="W642" i="1"/>
  <c r="V642" i="1"/>
  <c r="AJ643" i="1"/>
  <c r="AI643" i="1"/>
  <c r="AG643" i="1"/>
  <c r="AF643" i="1"/>
  <c r="AD643" i="1"/>
  <c r="AC643" i="1"/>
  <c r="AB643" i="1"/>
  <c r="Y643" i="1"/>
  <c r="X643" i="1"/>
  <c r="W643" i="1"/>
  <c r="V643" i="1"/>
  <c r="AJ644" i="1"/>
  <c r="AI644" i="1"/>
  <c r="AG644" i="1"/>
  <c r="AF644" i="1"/>
  <c r="AD644" i="1"/>
  <c r="AC644" i="1"/>
  <c r="AB644" i="1"/>
  <c r="Y644" i="1"/>
  <c r="X644" i="1"/>
  <c r="W644" i="1"/>
  <c r="V644" i="1"/>
  <c r="AJ645" i="1"/>
  <c r="AI645" i="1"/>
  <c r="AG645" i="1"/>
  <c r="AF645" i="1"/>
  <c r="AD645" i="1"/>
  <c r="AC645" i="1"/>
  <c r="AB645" i="1"/>
  <c r="Y645" i="1"/>
  <c r="X645" i="1"/>
  <c r="W645" i="1"/>
  <c r="V645" i="1"/>
  <c r="AJ632" i="1"/>
  <c r="AI632" i="1"/>
  <c r="AH632" i="1"/>
  <c r="AG632" i="1"/>
  <c r="AF632" i="1"/>
  <c r="AD632" i="1"/>
  <c r="AC632" i="1"/>
  <c r="AB632" i="1"/>
  <c r="Y632" i="1"/>
  <c r="X632" i="1"/>
  <c r="W632" i="1"/>
  <c r="V632" i="1"/>
  <c r="U632" i="1"/>
  <c r="AJ633" i="1"/>
  <c r="AI633" i="1"/>
  <c r="AH633" i="1"/>
  <c r="AG633" i="1"/>
  <c r="AF633" i="1"/>
  <c r="AD633" i="1"/>
  <c r="AC633" i="1"/>
  <c r="AB633" i="1"/>
  <c r="Y633" i="1"/>
  <c r="X633" i="1"/>
  <c r="W633" i="1"/>
  <c r="V633" i="1"/>
  <c r="U633" i="1"/>
  <c r="AJ634" i="1"/>
  <c r="AI634" i="1"/>
  <c r="AG634" i="1"/>
  <c r="AF634" i="1"/>
  <c r="AD634" i="1"/>
  <c r="AC634" i="1"/>
  <c r="AB634" i="1"/>
  <c r="Y634" i="1"/>
  <c r="X634" i="1"/>
  <c r="W634" i="1"/>
  <c r="V634" i="1"/>
  <c r="U634" i="1"/>
  <c r="AJ635" i="1"/>
  <c r="AI635" i="1"/>
  <c r="AG635" i="1"/>
  <c r="AF635" i="1"/>
  <c r="AD635" i="1"/>
  <c r="AC635" i="1"/>
  <c r="AB635" i="1"/>
  <c r="Y635" i="1"/>
  <c r="X635" i="1"/>
  <c r="W635" i="1"/>
  <c r="V635" i="1"/>
  <c r="U635" i="1"/>
  <c r="AJ636" i="1"/>
  <c r="AI636" i="1"/>
  <c r="AG636" i="1"/>
  <c r="AF636" i="1"/>
  <c r="AD636" i="1"/>
  <c r="AC636" i="1"/>
  <c r="AB636" i="1"/>
  <c r="Y636" i="1"/>
  <c r="X636" i="1"/>
  <c r="W636" i="1"/>
  <c r="V636" i="1"/>
  <c r="U636" i="1"/>
  <c r="AJ637" i="1"/>
  <c r="AI637" i="1"/>
  <c r="AH637" i="1"/>
  <c r="AG637" i="1"/>
  <c r="AF637" i="1"/>
  <c r="AD637" i="1"/>
  <c r="AC637" i="1"/>
  <c r="AB637" i="1"/>
  <c r="Y637" i="1"/>
  <c r="X637" i="1"/>
  <c r="W637" i="1"/>
  <c r="V637" i="1"/>
  <c r="U637" i="1"/>
  <c r="AJ638" i="1"/>
  <c r="AI638" i="1"/>
  <c r="AH638" i="1"/>
  <c r="AG638" i="1"/>
  <c r="AF638" i="1"/>
  <c r="AD638" i="1"/>
  <c r="AC638" i="1"/>
  <c r="AB638" i="1"/>
  <c r="Y638" i="1"/>
  <c r="X638" i="1"/>
  <c r="W638" i="1"/>
  <c r="V638" i="1"/>
  <c r="U638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AJ324" i="1"/>
  <c r="AI324" i="1"/>
  <c r="AG324" i="1"/>
  <c r="AF324" i="1"/>
  <c r="AD324" i="1"/>
  <c r="AC324" i="1"/>
  <c r="AB324" i="1"/>
  <c r="Y324" i="1"/>
  <c r="X324" i="1"/>
  <c r="W324" i="1"/>
  <c r="V324" i="1"/>
  <c r="U324" i="1"/>
  <c r="AJ325" i="1"/>
  <c r="AI325" i="1"/>
  <c r="AG325" i="1"/>
  <c r="AF325" i="1"/>
  <c r="AD325" i="1"/>
  <c r="AC325" i="1"/>
  <c r="AB325" i="1"/>
  <c r="Y325" i="1"/>
  <c r="X325" i="1"/>
  <c r="W325" i="1"/>
  <c r="V325" i="1"/>
  <c r="U325" i="1"/>
  <c r="AJ326" i="1"/>
  <c r="AI326" i="1"/>
  <c r="AG326" i="1"/>
  <c r="AF326" i="1"/>
  <c r="AD326" i="1"/>
  <c r="AC326" i="1"/>
  <c r="AB326" i="1"/>
  <c r="Y326" i="1"/>
  <c r="X326" i="1"/>
  <c r="W326" i="1"/>
  <c r="V326" i="1"/>
  <c r="U326" i="1"/>
  <c r="AJ327" i="1"/>
  <c r="AI327" i="1"/>
  <c r="AG327" i="1"/>
  <c r="AF327" i="1"/>
  <c r="AD327" i="1"/>
  <c r="AC327" i="1"/>
  <c r="AB327" i="1"/>
  <c r="Y327" i="1"/>
  <c r="X327" i="1"/>
  <c r="W327" i="1"/>
  <c r="V327" i="1"/>
  <c r="U327" i="1"/>
  <c r="AJ328" i="1"/>
  <c r="AI328" i="1"/>
  <c r="AG328" i="1"/>
  <c r="AF328" i="1"/>
  <c r="AD328" i="1"/>
  <c r="AC328" i="1"/>
  <c r="AB328" i="1"/>
  <c r="Y328" i="1"/>
  <c r="X328" i="1"/>
  <c r="W328" i="1"/>
  <c r="V328" i="1"/>
  <c r="U328" i="1"/>
  <c r="AJ329" i="1"/>
  <c r="AI329" i="1"/>
  <c r="AG329" i="1"/>
  <c r="AF329" i="1"/>
  <c r="AD329" i="1"/>
  <c r="AC329" i="1"/>
  <c r="AB329" i="1"/>
  <c r="Y329" i="1"/>
  <c r="X329" i="1"/>
  <c r="W329" i="1"/>
  <c r="V329" i="1"/>
  <c r="U329" i="1"/>
  <c r="AJ330" i="1"/>
  <c r="AI330" i="1"/>
  <c r="AG330" i="1"/>
  <c r="AF330" i="1"/>
  <c r="AD330" i="1"/>
  <c r="AC330" i="1"/>
  <c r="AB330" i="1"/>
  <c r="Y330" i="1"/>
  <c r="X330" i="1"/>
  <c r="W330" i="1"/>
  <c r="V330" i="1"/>
  <c r="U330" i="1"/>
  <c r="AJ597" i="1"/>
  <c r="AI597" i="1"/>
  <c r="AG597" i="1"/>
  <c r="AF597" i="1"/>
  <c r="AE597" i="1"/>
  <c r="AD597" i="1"/>
  <c r="AC597" i="1"/>
  <c r="AB597" i="1"/>
  <c r="AA597" i="1"/>
  <c r="Z597" i="1"/>
  <c r="Y597" i="1"/>
  <c r="X597" i="1"/>
  <c r="W597" i="1"/>
  <c r="U597" i="1"/>
  <c r="AJ598" i="1"/>
  <c r="AI598" i="1"/>
  <c r="AG598" i="1"/>
  <c r="AF598" i="1"/>
  <c r="AE598" i="1"/>
  <c r="AD598" i="1"/>
  <c r="AC598" i="1"/>
  <c r="AB598" i="1"/>
  <c r="AA598" i="1"/>
  <c r="Z598" i="1"/>
  <c r="Y598" i="1"/>
  <c r="X598" i="1"/>
  <c r="W598" i="1"/>
  <c r="U598" i="1"/>
  <c r="AJ599" i="1"/>
  <c r="AI599" i="1"/>
  <c r="AG599" i="1"/>
  <c r="AF599" i="1"/>
  <c r="AE599" i="1"/>
  <c r="AD599" i="1"/>
  <c r="AC599" i="1"/>
  <c r="AB599" i="1"/>
  <c r="AA599" i="1"/>
  <c r="Z599" i="1"/>
  <c r="Y599" i="1"/>
  <c r="X599" i="1"/>
  <c r="W599" i="1"/>
  <c r="U599" i="1"/>
  <c r="AJ600" i="1"/>
  <c r="AI600" i="1"/>
  <c r="AG600" i="1"/>
  <c r="AF600" i="1"/>
  <c r="AE600" i="1"/>
  <c r="AD600" i="1"/>
  <c r="AC600" i="1"/>
  <c r="AB600" i="1"/>
  <c r="AA600" i="1"/>
  <c r="Z600" i="1"/>
  <c r="Y600" i="1"/>
  <c r="X600" i="1"/>
  <c r="W600" i="1"/>
  <c r="U600" i="1"/>
  <c r="AJ601" i="1"/>
  <c r="AI601" i="1"/>
  <c r="AG601" i="1"/>
  <c r="AF601" i="1"/>
  <c r="AE601" i="1"/>
  <c r="AD601" i="1"/>
  <c r="AC601" i="1"/>
  <c r="AB601" i="1"/>
  <c r="AA601" i="1"/>
  <c r="Z601" i="1"/>
  <c r="Y601" i="1"/>
  <c r="X601" i="1"/>
  <c r="W601" i="1"/>
  <c r="U601" i="1"/>
  <c r="AJ602" i="1"/>
  <c r="AI602" i="1"/>
  <c r="AG602" i="1"/>
  <c r="AF602" i="1"/>
  <c r="AE602" i="1"/>
  <c r="AD602" i="1"/>
  <c r="AC602" i="1"/>
  <c r="AB602" i="1"/>
  <c r="AA602" i="1"/>
  <c r="Z602" i="1"/>
  <c r="Y602" i="1"/>
  <c r="X602" i="1"/>
  <c r="W602" i="1"/>
  <c r="U602" i="1"/>
  <c r="AJ603" i="1"/>
  <c r="AI603" i="1"/>
  <c r="AG603" i="1"/>
  <c r="AF603" i="1"/>
  <c r="AE603" i="1"/>
  <c r="AD603" i="1"/>
  <c r="AC603" i="1"/>
  <c r="AB603" i="1"/>
  <c r="AA603" i="1"/>
  <c r="Z603" i="1"/>
  <c r="Y603" i="1"/>
  <c r="X603" i="1"/>
  <c r="W603" i="1"/>
  <c r="U60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AJ366" i="1"/>
  <c r="AI366" i="1"/>
  <c r="AH366" i="1"/>
  <c r="AG366" i="1"/>
  <c r="AF366" i="1"/>
  <c r="AD366" i="1"/>
  <c r="AC366" i="1"/>
  <c r="AB366" i="1"/>
  <c r="Y366" i="1"/>
  <c r="X366" i="1"/>
  <c r="W366" i="1"/>
  <c r="V366" i="1"/>
  <c r="AJ367" i="1"/>
  <c r="AI367" i="1"/>
  <c r="AH367" i="1"/>
  <c r="AG367" i="1"/>
  <c r="AF367" i="1"/>
  <c r="AD367" i="1"/>
  <c r="AC367" i="1"/>
  <c r="AB367" i="1"/>
  <c r="Y367" i="1"/>
  <c r="X367" i="1"/>
  <c r="W367" i="1"/>
  <c r="V367" i="1"/>
  <c r="AJ368" i="1"/>
  <c r="AI368" i="1"/>
  <c r="AH368" i="1"/>
  <c r="AG368" i="1"/>
  <c r="AF368" i="1"/>
  <c r="AD368" i="1"/>
  <c r="AC368" i="1"/>
  <c r="AB368" i="1"/>
  <c r="Y368" i="1"/>
  <c r="X368" i="1"/>
  <c r="W368" i="1"/>
  <c r="V368" i="1"/>
  <c r="AJ369" i="1"/>
  <c r="AI369" i="1"/>
  <c r="AH369" i="1"/>
  <c r="AG369" i="1"/>
  <c r="AF369" i="1"/>
  <c r="AD369" i="1"/>
  <c r="AC369" i="1"/>
  <c r="AB369" i="1"/>
  <c r="Y369" i="1"/>
  <c r="X369" i="1"/>
  <c r="W369" i="1"/>
  <c r="V369" i="1"/>
  <c r="AJ370" i="1"/>
  <c r="AI370" i="1"/>
  <c r="AH370" i="1"/>
  <c r="AG370" i="1"/>
  <c r="AF370" i="1"/>
  <c r="AD370" i="1"/>
  <c r="AC370" i="1"/>
  <c r="AB370" i="1"/>
  <c r="Y370" i="1"/>
  <c r="X370" i="1"/>
  <c r="W370" i="1"/>
  <c r="V370" i="1"/>
  <c r="AJ371" i="1"/>
  <c r="AI371" i="1"/>
  <c r="AH371" i="1"/>
  <c r="AG371" i="1"/>
  <c r="AF371" i="1"/>
  <c r="AD371" i="1"/>
  <c r="AC371" i="1"/>
  <c r="AB371" i="1"/>
  <c r="Y371" i="1"/>
  <c r="X371" i="1"/>
  <c r="W371" i="1"/>
  <c r="V371" i="1"/>
  <c r="AJ372" i="1"/>
  <c r="AI372" i="1"/>
  <c r="AH372" i="1"/>
  <c r="AG372" i="1"/>
  <c r="AF372" i="1"/>
  <c r="AD372" i="1"/>
  <c r="AC372" i="1"/>
  <c r="AB372" i="1"/>
  <c r="Y372" i="1"/>
  <c r="X372" i="1"/>
  <c r="W372" i="1"/>
  <c r="V372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AJ593" i="1"/>
  <c r="AI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AJ594" i="1"/>
  <c r="AI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AJ595" i="1"/>
  <c r="AI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AJ596" i="1"/>
  <c r="AI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AJ926" i="1"/>
  <c r="AI926" i="1"/>
  <c r="AH926" i="1"/>
  <c r="AG926" i="1"/>
  <c r="AF926" i="1"/>
  <c r="AD926" i="1"/>
  <c r="AC926" i="1"/>
  <c r="AB926" i="1"/>
  <c r="Y926" i="1"/>
  <c r="X926" i="1"/>
  <c r="W926" i="1"/>
  <c r="V926" i="1"/>
  <c r="AJ927" i="1"/>
  <c r="AI927" i="1"/>
  <c r="AH927" i="1"/>
  <c r="AG927" i="1"/>
  <c r="AF927" i="1"/>
  <c r="AD927" i="1"/>
  <c r="AC927" i="1"/>
  <c r="AB927" i="1"/>
  <c r="Y927" i="1"/>
  <c r="X927" i="1"/>
  <c r="W927" i="1"/>
  <c r="V927" i="1"/>
  <c r="AJ928" i="1"/>
  <c r="AI928" i="1"/>
  <c r="AH928" i="1"/>
  <c r="AG928" i="1"/>
  <c r="AF928" i="1"/>
  <c r="AD928" i="1"/>
  <c r="AC928" i="1"/>
  <c r="AB928" i="1"/>
  <c r="Y928" i="1"/>
  <c r="X928" i="1"/>
  <c r="W928" i="1"/>
  <c r="V928" i="1"/>
  <c r="AJ929" i="1"/>
  <c r="AI929" i="1"/>
  <c r="AH929" i="1"/>
  <c r="AG929" i="1"/>
  <c r="AF929" i="1"/>
  <c r="AD929" i="1"/>
  <c r="AC929" i="1"/>
  <c r="AB929" i="1"/>
  <c r="Y929" i="1"/>
  <c r="X929" i="1"/>
  <c r="W929" i="1"/>
  <c r="V929" i="1"/>
  <c r="AJ930" i="1"/>
  <c r="AI930" i="1"/>
  <c r="AH930" i="1"/>
  <c r="AG930" i="1"/>
  <c r="AF930" i="1"/>
  <c r="AD930" i="1"/>
  <c r="AC930" i="1"/>
  <c r="AB930" i="1"/>
  <c r="Y930" i="1"/>
  <c r="X930" i="1"/>
  <c r="W930" i="1"/>
  <c r="V930" i="1"/>
  <c r="AJ931" i="1"/>
  <c r="AI931" i="1"/>
  <c r="AH931" i="1"/>
  <c r="AG931" i="1"/>
  <c r="AF931" i="1"/>
  <c r="AD931" i="1"/>
  <c r="AC931" i="1"/>
  <c r="AB931" i="1"/>
  <c r="Y931" i="1"/>
  <c r="X931" i="1"/>
  <c r="W931" i="1"/>
  <c r="V931" i="1"/>
  <c r="AJ932" i="1"/>
  <c r="AI932" i="1"/>
  <c r="AH932" i="1"/>
  <c r="AG932" i="1"/>
  <c r="AF932" i="1"/>
  <c r="AD932" i="1"/>
  <c r="AC932" i="1"/>
  <c r="AB932" i="1"/>
  <c r="Y932" i="1"/>
  <c r="X932" i="1"/>
  <c r="W932" i="1"/>
  <c r="V932" i="1"/>
  <c r="AJ576" i="1"/>
  <c r="AI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AJ577" i="1"/>
  <c r="AI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AJ578" i="1"/>
  <c r="AI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AJ579" i="1"/>
  <c r="AI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AJ580" i="1"/>
  <c r="AI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AJ581" i="1"/>
  <c r="AI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AJ582" i="1"/>
  <c r="AI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AJ618" i="1"/>
  <c r="AI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AJ619" i="1"/>
  <c r="AI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AJ620" i="1"/>
  <c r="AI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AJ621" i="1"/>
  <c r="AI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AJ622" i="1"/>
  <c r="AI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AJ623" i="1"/>
  <c r="AI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AJ624" i="1"/>
  <c r="AI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AJ562" i="1"/>
  <c r="AI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AJ563" i="1"/>
  <c r="AI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AJ564" i="1"/>
  <c r="AI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AJ565" i="1"/>
  <c r="AI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AJ567" i="1"/>
  <c r="AI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AJ912" i="1"/>
  <c r="AI912" i="1"/>
  <c r="AH912" i="1"/>
  <c r="AG912" i="1"/>
  <c r="AF912" i="1"/>
  <c r="AD912" i="1"/>
  <c r="AC912" i="1"/>
  <c r="AB912" i="1"/>
  <c r="Y912" i="1"/>
  <c r="X912" i="1"/>
  <c r="W912" i="1"/>
  <c r="V912" i="1"/>
  <c r="AJ913" i="1"/>
  <c r="AI913" i="1"/>
  <c r="AH913" i="1"/>
  <c r="AG913" i="1"/>
  <c r="AF913" i="1"/>
  <c r="AD913" i="1"/>
  <c r="AC913" i="1"/>
  <c r="AB913" i="1"/>
  <c r="Y913" i="1"/>
  <c r="X913" i="1"/>
  <c r="W913" i="1"/>
  <c r="V913" i="1"/>
  <c r="AJ914" i="1"/>
  <c r="AI914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AJ915" i="1"/>
  <c r="AI915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AJ916" i="1"/>
  <c r="AI916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AJ917" i="1"/>
  <c r="AI917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AJ918" i="1"/>
  <c r="AI918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AJ520" i="1"/>
  <c r="AI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AJ521" i="1"/>
  <c r="AI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AJ1416" i="1"/>
  <c r="AI1416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AJ1417" i="1"/>
  <c r="AI1417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AJ1418" i="1"/>
  <c r="AI1418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AJ1419" i="1"/>
  <c r="AI1419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AJ1420" i="1"/>
  <c r="AI1420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AJ1421" i="1"/>
  <c r="AI1421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AJ1422" i="1"/>
  <c r="AI1422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AJ533" i="1"/>
  <c r="AI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AJ499" i="1"/>
  <c r="AI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AJ501" i="1"/>
  <c r="AI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AJ492" i="1"/>
  <c r="AI492" i="1"/>
  <c r="AG492" i="1"/>
  <c r="AF492" i="1"/>
  <c r="AD492" i="1"/>
  <c r="AC492" i="1"/>
  <c r="AB492" i="1"/>
  <c r="Y492" i="1"/>
  <c r="X492" i="1"/>
  <c r="W492" i="1"/>
  <c r="V492" i="1"/>
  <c r="U492" i="1"/>
  <c r="AJ493" i="1"/>
  <c r="AI493" i="1"/>
  <c r="AG493" i="1"/>
  <c r="AF493" i="1"/>
  <c r="AD493" i="1"/>
  <c r="AC493" i="1"/>
  <c r="AB493" i="1"/>
  <c r="Y493" i="1"/>
  <c r="X493" i="1"/>
  <c r="W493" i="1"/>
  <c r="V493" i="1"/>
  <c r="U493" i="1"/>
  <c r="AJ494" i="1"/>
  <c r="AI494" i="1"/>
  <c r="AG494" i="1"/>
  <c r="AF494" i="1"/>
  <c r="AD494" i="1"/>
  <c r="AC494" i="1"/>
  <c r="AB494" i="1"/>
  <c r="Y494" i="1"/>
  <c r="X494" i="1"/>
  <c r="W494" i="1"/>
  <c r="V494" i="1"/>
  <c r="U494" i="1"/>
  <c r="AJ495" i="1"/>
  <c r="AI495" i="1"/>
  <c r="AG495" i="1"/>
  <c r="AF495" i="1"/>
  <c r="AD495" i="1"/>
  <c r="AC495" i="1"/>
  <c r="AB495" i="1"/>
  <c r="Y495" i="1"/>
  <c r="X495" i="1"/>
  <c r="W495" i="1"/>
  <c r="V495" i="1"/>
  <c r="U495" i="1"/>
  <c r="AJ496" i="1"/>
  <c r="AI496" i="1"/>
  <c r="AG496" i="1"/>
  <c r="AF496" i="1"/>
  <c r="AD496" i="1"/>
  <c r="AC496" i="1"/>
  <c r="AB496" i="1"/>
  <c r="Y496" i="1"/>
  <c r="X496" i="1"/>
  <c r="W496" i="1"/>
  <c r="V496" i="1"/>
  <c r="U496" i="1"/>
  <c r="AJ497" i="1"/>
  <c r="AI497" i="1"/>
  <c r="AG497" i="1"/>
  <c r="AF497" i="1"/>
  <c r="AD497" i="1"/>
  <c r="AC497" i="1"/>
  <c r="AB497" i="1"/>
  <c r="Y497" i="1"/>
  <c r="X497" i="1"/>
  <c r="W497" i="1"/>
  <c r="V497" i="1"/>
  <c r="U497" i="1"/>
  <c r="AJ498" i="1"/>
  <c r="AI498" i="1"/>
  <c r="AG498" i="1"/>
  <c r="AF498" i="1"/>
  <c r="AD498" i="1"/>
  <c r="AC498" i="1"/>
  <c r="AB498" i="1"/>
  <c r="Y498" i="1"/>
  <c r="X498" i="1"/>
  <c r="W498" i="1"/>
  <c r="V498" i="1"/>
  <c r="U498" i="1"/>
  <c r="AJ506" i="1"/>
  <c r="AI506" i="1"/>
  <c r="AG506" i="1"/>
  <c r="AF506" i="1"/>
  <c r="AD506" i="1"/>
  <c r="AC506" i="1"/>
  <c r="AB506" i="1"/>
  <c r="Y506" i="1"/>
  <c r="X506" i="1"/>
  <c r="W506" i="1"/>
  <c r="V506" i="1"/>
  <c r="U506" i="1"/>
  <c r="AJ507" i="1"/>
  <c r="AI507" i="1"/>
  <c r="AG507" i="1"/>
  <c r="AF507" i="1"/>
  <c r="AD507" i="1"/>
  <c r="AC507" i="1"/>
  <c r="AB507" i="1"/>
  <c r="Y507" i="1"/>
  <c r="X507" i="1"/>
  <c r="W507" i="1"/>
  <c r="V507" i="1"/>
  <c r="U507" i="1"/>
  <c r="AJ508" i="1"/>
  <c r="AI508" i="1"/>
  <c r="AG508" i="1"/>
  <c r="AF508" i="1"/>
  <c r="AD508" i="1"/>
  <c r="AC508" i="1"/>
  <c r="AB508" i="1"/>
  <c r="Y508" i="1"/>
  <c r="X508" i="1"/>
  <c r="W508" i="1"/>
  <c r="V508" i="1"/>
  <c r="U508" i="1"/>
  <c r="AJ509" i="1"/>
  <c r="AI509" i="1"/>
  <c r="AG509" i="1"/>
  <c r="AF509" i="1"/>
  <c r="AD509" i="1"/>
  <c r="AC509" i="1"/>
  <c r="AB509" i="1"/>
  <c r="Y509" i="1"/>
  <c r="X509" i="1"/>
  <c r="W509" i="1"/>
  <c r="V509" i="1"/>
  <c r="U509" i="1"/>
  <c r="AJ510" i="1"/>
  <c r="AI510" i="1"/>
  <c r="AG510" i="1"/>
  <c r="AF510" i="1"/>
  <c r="AD510" i="1"/>
  <c r="AC510" i="1"/>
  <c r="AB510" i="1"/>
  <c r="Y510" i="1"/>
  <c r="X510" i="1"/>
  <c r="W510" i="1"/>
  <c r="V510" i="1"/>
  <c r="U510" i="1"/>
  <c r="AJ511" i="1"/>
  <c r="AI511" i="1"/>
  <c r="AG511" i="1"/>
  <c r="AF511" i="1"/>
  <c r="AD511" i="1"/>
  <c r="AC511" i="1"/>
  <c r="AB511" i="1"/>
  <c r="Y511" i="1"/>
  <c r="X511" i="1"/>
  <c r="W511" i="1"/>
  <c r="V511" i="1"/>
  <c r="U511" i="1"/>
  <c r="AJ512" i="1"/>
  <c r="AI512" i="1"/>
  <c r="AG512" i="1"/>
  <c r="AF512" i="1"/>
  <c r="AD512" i="1"/>
  <c r="AC512" i="1"/>
  <c r="AB512" i="1"/>
  <c r="Y512" i="1"/>
  <c r="X512" i="1"/>
  <c r="W512" i="1"/>
  <c r="V512" i="1"/>
  <c r="U512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AJ478" i="1"/>
  <c r="AI478" i="1"/>
  <c r="AG478" i="1"/>
  <c r="AF478" i="1"/>
  <c r="AD478" i="1"/>
  <c r="AC478" i="1"/>
  <c r="AB478" i="1"/>
  <c r="Y478" i="1"/>
  <c r="X478" i="1"/>
  <c r="W478" i="1"/>
  <c r="V478" i="1"/>
  <c r="AJ479" i="1"/>
  <c r="AI479" i="1"/>
  <c r="AG479" i="1"/>
  <c r="AF479" i="1"/>
  <c r="AD479" i="1"/>
  <c r="AC479" i="1"/>
  <c r="AB479" i="1"/>
  <c r="Y479" i="1"/>
  <c r="X479" i="1"/>
  <c r="W479" i="1"/>
  <c r="V479" i="1"/>
  <c r="AJ480" i="1"/>
  <c r="AI480" i="1"/>
  <c r="AG480" i="1"/>
  <c r="AF480" i="1"/>
  <c r="AD480" i="1"/>
  <c r="AC480" i="1"/>
  <c r="AB480" i="1"/>
  <c r="Y480" i="1"/>
  <c r="X480" i="1"/>
  <c r="W480" i="1"/>
  <c r="V480" i="1"/>
  <c r="AJ481" i="1"/>
  <c r="AI481" i="1"/>
  <c r="AG481" i="1"/>
  <c r="AF481" i="1"/>
  <c r="AD481" i="1"/>
  <c r="AC481" i="1"/>
  <c r="AB481" i="1"/>
  <c r="Y481" i="1"/>
  <c r="X481" i="1"/>
  <c r="W481" i="1"/>
  <c r="V481" i="1"/>
  <c r="AJ482" i="1"/>
  <c r="AI482" i="1"/>
  <c r="AG482" i="1"/>
  <c r="AF482" i="1"/>
  <c r="AD482" i="1"/>
  <c r="AC482" i="1"/>
  <c r="AB482" i="1"/>
  <c r="Y482" i="1"/>
  <c r="X482" i="1"/>
  <c r="W482" i="1"/>
  <c r="V482" i="1"/>
  <c r="AJ483" i="1"/>
  <c r="AI483" i="1"/>
  <c r="AG483" i="1"/>
  <c r="AF483" i="1"/>
  <c r="AD483" i="1"/>
  <c r="AC483" i="1"/>
  <c r="AB483" i="1"/>
  <c r="Y483" i="1"/>
  <c r="X483" i="1"/>
  <c r="W483" i="1"/>
  <c r="V483" i="1"/>
  <c r="AJ484" i="1"/>
  <c r="AI484" i="1"/>
  <c r="AG484" i="1"/>
  <c r="AF484" i="1"/>
  <c r="AD484" i="1"/>
  <c r="AC484" i="1"/>
  <c r="AB484" i="1"/>
  <c r="Y484" i="1"/>
  <c r="X484" i="1"/>
  <c r="W484" i="1"/>
  <c r="V484" i="1"/>
  <c r="AJ485" i="1"/>
  <c r="AI485" i="1"/>
  <c r="AH485" i="1"/>
  <c r="AG485" i="1"/>
  <c r="AF485" i="1"/>
  <c r="AD485" i="1"/>
  <c r="AC485" i="1"/>
  <c r="AB485" i="1"/>
  <c r="Y485" i="1"/>
  <c r="X485" i="1"/>
  <c r="W485" i="1"/>
  <c r="V485" i="1"/>
  <c r="U485" i="1"/>
  <c r="AJ486" i="1"/>
  <c r="AI486" i="1"/>
  <c r="AH486" i="1"/>
  <c r="AG486" i="1"/>
  <c r="AF486" i="1"/>
  <c r="AD486" i="1"/>
  <c r="AC486" i="1"/>
  <c r="AB486" i="1"/>
  <c r="Y486" i="1"/>
  <c r="X486" i="1"/>
  <c r="W486" i="1"/>
  <c r="V486" i="1"/>
  <c r="U486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AJ1262" i="1"/>
  <c r="AI1262" i="1"/>
  <c r="AG1262" i="1"/>
  <c r="AF1262" i="1"/>
  <c r="AD1262" i="1"/>
  <c r="AC1262" i="1"/>
  <c r="AB1262" i="1"/>
  <c r="Y1262" i="1"/>
  <c r="X1262" i="1"/>
  <c r="W1262" i="1"/>
  <c r="V1262" i="1"/>
  <c r="U1262" i="1"/>
  <c r="AJ1263" i="1"/>
  <c r="AI1263" i="1"/>
  <c r="AG1263" i="1"/>
  <c r="AF1263" i="1"/>
  <c r="AD1263" i="1"/>
  <c r="AC1263" i="1"/>
  <c r="AB1263" i="1"/>
  <c r="Y1263" i="1"/>
  <c r="X1263" i="1"/>
  <c r="W1263" i="1"/>
  <c r="V1263" i="1"/>
  <c r="U1263" i="1"/>
  <c r="AJ1264" i="1"/>
  <c r="AI1264" i="1"/>
  <c r="AG1264" i="1"/>
  <c r="AF1264" i="1"/>
  <c r="AD1264" i="1"/>
  <c r="AC1264" i="1"/>
  <c r="AB1264" i="1"/>
  <c r="Y1264" i="1"/>
  <c r="X1264" i="1"/>
  <c r="W1264" i="1"/>
  <c r="V1264" i="1"/>
  <c r="U1264" i="1"/>
  <c r="AJ1265" i="1"/>
  <c r="AI1265" i="1"/>
  <c r="AG1265" i="1"/>
  <c r="AF1265" i="1"/>
  <c r="AD1265" i="1"/>
  <c r="AC1265" i="1"/>
  <c r="AB1265" i="1"/>
  <c r="Y1265" i="1"/>
  <c r="X1265" i="1"/>
  <c r="W1265" i="1"/>
  <c r="V1265" i="1"/>
  <c r="U1265" i="1"/>
  <c r="AJ1266" i="1"/>
  <c r="AI1266" i="1"/>
  <c r="AG1266" i="1"/>
  <c r="AF1266" i="1"/>
  <c r="AD1266" i="1"/>
  <c r="AC1266" i="1"/>
  <c r="AB1266" i="1"/>
  <c r="Y1266" i="1"/>
  <c r="X1266" i="1"/>
  <c r="W1266" i="1"/>
  <c r="V1266" i="1"/>
  <c r="U1266" i="1"/>
  <c r="AJ1267" i="1"/>
  <c r="AI1267" i="1"/>
  <c r="AG1267" i="1"/>
  <c r="AF1267" i="1"/>
  <c r="AD1267" i="1"/>
  <c r="AC1267" i="1"/>
  <c r="AB1267" i="1"/>
  <c r="Y1267" i="1"/>
  <c r="X1267" i="1"/>
  <c r="W1267" i="1"/>
  <c r="V1267" i="1"/>
  <c r="U1267" i="1"/>
  <c r="AJ1268" i="1"/>
  <c r="AI1268" i="1"/>
  <c r="AG1268" i="1"/>
  <c r="AF1268" i="1"/>
  <c r="AD1268" i="1"/>
  <c r="AC1268" i="1"/>
  <c r="AB1268" i="1"/>
  <c r="Y1268" i="1"/>
  <c r="X1268" i="1"/>
  <c r="W1268" i="1"/>
  <c r="V1268" i="1"/>
  <c r="U1268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AJ401" i="1"/>
  <c r="AI401" i="1"/>
  <c r="AH401" i="1"/>
  <c r="AG401" i="1"/>
  <c r="AF401" i="1"/>
  <c r="AD401" i="1"/>
  <c r="AC401" i="1"/>
  <c r="AB401" i="1"/>
  <c r="Y401" i="1"/>
  <c r="X401" i="1"/>
  <c r="W401" i="1"/>
  <c r="V401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AJ429" i="1"/>
  <c r="AI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AJ430" i="1"/>
  <c r="AI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AJ464" i="1"/>
  <c r="AI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AJ465" i="1"/>
  <c r="AI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AJ466" i="1"/>
  <c r="AI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AJ467" i="1"/>
  <c r="AI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AJ468" i="1"/>
  <c r="AI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AJ469" i="1"/>
  <c r="AI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AJ470" i="1"/>
  <c r="AI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AJ1248" i="1"/>
  <c r="AI1248" i="1"/>
  <c r="AH1248" i="1"/>
  <c r="AG1248" i="1"/>
  <c r="AF1248" i="1"/>
  <c r="AD1248" i="1"/>
  <c r="AC1248" i="1"/>
  <c r="AB1248" i="1"/>
  <c r="Y1248" i="1"/>
  <c r="X1248" i="1"/>
  <c r="W1248" i="1"/>
  <c r="V1248" i="1"/>
  <c r="U1248" i="1"/>
  <c r="AJ1249" i="1"/>
  <c r="AI1249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AJ1250" i="1"/>
  <c r="AI1250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AJ1251" i="1"/>
  <c r="AI1251" i="1"/>
  <c r="AH1251" i="1"/>
  <c r="AG1251" i="1"/>
  <c r="AF1251" i="1"/>
  <c r="AD1251" i="1"/>
  <c r="AC1251" i="1"/>
  <c r="AB1251" i="1"/>
  <c r="Y1251" i="1"/>
  <c r="X1251" i="1"/>
  <c r="W1251" i="1"/>
  <c r="V1251" i="1"/>
  <c r="U1251" i="1"/>
  <c r="AJ1252" i="1"/>
  <c r="AI1252" i="1"/>
  <c r="AH1252" i="1"/>
  <c r="AG1252" i="1"/>
  <c r="AF1252" i="1"/>
  <c r="AD1252" i="1"/>
  <c r="AC1252" i="1"/>
  <c r="AB1252" i="1"/>
  <c r="Y1252" i="1"/>
  <c r="X1252" i="1"/>
  <c r="W1252" i="1"/>
  <c r="V1252" i="1"/>
  <c r="U1252" i="1"/>
  <c r="AJ1253" i="1"/>
  <c r="AI1253" i="1"/>
  <c r="AH1253" i="1"/>
  <c r="AG1253" i="1"/>
  <c r="AF1253" i="1"/>
  <c r="AD1253" i="1"/>
  <c r="AC1253" i="1"/>
  <c r="AB1253" i="1"/>
  <c r="Y1253" i="1"/>
  <c r="X1253" i="1"/>
  <c r="W1253" i="1"/>
  <c r="V1253" i="1"/>
  <c r="U1253" i="1"/>
  <c r="AJ1254" i="1"/>
  <c r="AI1254" i="1"/>
  <c r="AH1254" i="1"/>
  <c r="AG1254" i="1"/>
  <c r="AF1254" i="1"/>
  <c r="AD1254" i="1"/>
  <c r="AC1254" i="1"/>
  <c r="AB1254" i="1"/>
  <c r="Y1254" i="1"/>
  <c r="X1254" i="1"/>
  <c r="W1254" i="1"/>
  <c r="V1254" i="1"/>
  <c r="U1254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AJ338" i="1"/>
  <c r="AI338" i="1"/>
  <c r="AG338" i="1"/>
  <c r="AF338" i="1"/>
  <c r="AD338" i="1"/>
  <c r="AC338" i="1"/>
  <c r="AB338" i="1"/>
  <c r="Y338" i="1"/>
  <c r="X338" i="1"/>
  <c r="W338" i="1"/>
  <c r="V338" i="1"/>
  <c r="AJ339" i="1"/>
  <c r="AI339" i="1"/>
  <c r="AG339" i="1"/>
  <c r="AF339" i="1"/>
  <c r="AD339" i="1"/>
  <c r="AC339" i="1"/>
  <c r="AB339" i="1"/>
  <c r="Y339" i="1"/>
  <c r="X339" i="1"/>
  <c r="W339" i="1"/>
  <c r="V339" i="1"/>
  <c r="AJ340" i="1"/>
  <c r="AI340" i="1"/>
  <c r="AG340" i="1"/>
  <c r="AF340" i="1"/>
  <c r="AD340" i="1"/>
  <c r="AC340" i="1"/>
  <c r="AB340" i="1"/>
  <c r="Y340" i="1"/>
  <c r="X340" i="1"/>
  <c r="W340" i="1"/>
  <c r="V340" i="1"/>
  <c r="AJ341" i="1"/>
  <c r="AI341" i="1"/>
  <c r="AG341" i="1"/>
  <c r="AF341" i="1"/>
  <c r="AD341" i="1"/>
  <c r="AC341" i="1"/>
  <c r="AB341" i="1"/>
  <c r="Y341" i="1"/>
  <c r="X341" i="1"/>
  <c r="W341" i="1"/>
  <c r="V341" i="1"/>
  <c r="AJ342" i="1"/>
  <c r="AI342" i="1"/>
  <c r="AG342" i="1"/>
  <c r="AF342" i="1"/>
  <c r="AD342" i="1"/>
  <c r="AC342" i="1"/>
  <c r="AB342" i="1"/>
  <c r="Y342" i="1"/>
  <c r="X342" i="1"/>
  <c r="W342" i="1"/>
  <c r="V342" i="1"/>
  <c r="AJ343" i="1"/>
  <c r="AI343" i="1"/>
  <c r="AG343" i="1"/>
  <c r="AF343" i="1"/>
  <c r="AD343" i="1"/>
  <c r="AC343" i="1"/>
  <c r="AB343" i="1"/>
  <c r="Y343" i="1"/>
  <c r="X343" i="1"/>
  <c r="W343" i="1"/>
  <c r="V343" i="1"/>
  <c r="AJ344" i="1"/>
  <c r="AI344" i="1"/>
  <c r="AG344" i="1"/>
  <c r="AF344" i="1"/>
  <c r="AD344" i="1"/>
  <c r="AC344" i="1"/>
  <c r="AB344" i="1"/>
  <c r="Y344" i="1"/>
  <c r="X344" i="1"/>
  <c r="W344" i="1"/>
  <c r="V344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AJ261" i="1"/>
  <c r="AI261" i="1"/>
  <c r="AH261" i="1"/>
  <c r="AG261" i="1"/>
  <c r="AF261" i="1"/>
  <c r="AD261" i="1"/>
  <c r="AC261" i="1"/>
  <c r="AB261" i="1"/>
  <c r="Y261" i="1"/>
  <c r="X261" i="1"/>
  <c r="W261" i="1"/>
  <c r="V261" i="1"/>
  <c r="U261" i="1"/>
  <c r="AJ262" i="1"/>
  <c r="AI262" i="1"/>
  <c r="AH262" i="1"/>
  <c r="AG262" i="1"/>
  <c r="AF262" i="1"/>
  <c r="AD262" i="1"/>
  <c r="AC262" i="1"/>
  <c r="AB262" i="1"/>
  <c r="Y262" i="1"/>
  <c r="X262" i="1"/>
  <c r="W262" i="1"/>
  <c r="V262" i="1"/>
  <c r="U262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AJ457" i="1"/>
  <c r="AI457" i="1"/>
  <c r="AH457" i="1"/>
  <c r="AG457" i="1"/>
  <c r="AF457" i="1"/>
  <c r="AD457" i="1"/>
  <c r="AC457" i="1"/>
  <c r="AB457" i="1"/>
  <c r="Y457" i="1"/>
  <c r="X457" i="1"/>
  <c r="W457" i="1"/>
  <c r="V457" i="1"/>
  <c r="AJ458" i="1"/>
  <c r="AI458" i="1"/>
  <c r="AH458" i="1"/>
  <c r="AG458" i="1"/>
  <c r="AF458" i="1"/>
  <c r="AD458" i="1"/>
  <c r="AC458" i="1"/>
  <c r="AB458" i="1"/>
  <c r="Y458" i="1"/>
  <c r="X458" i="1"/>
  <c r="W458" i="1"/>
  <c r="V458" i="1"/>
  <c r="AJ459" i="1"/>
  <c r="AI459" i="1"/>
  <c r="AH459" i="1"/>
  <c r="AG459" i="1"/>
  <c r="AF459" i="1"/>
  <c r="AD459" i="1"/>
  <c r="AC459" i="1"/>
  <c r="AB459" i="1"/>
  <c r="Y459" i="1"/>
  <c r="X459" i="1"/>
  <c r="W459" i="1"/>
  <c r="V459" i="1"/>
  <c r="AJ460" i="1"/>
  <c r="AI460" i="1"/>
  <c r="AH460" i="1"/>
  <c r="AG460" i="1"/>
  <c r="AF460" i="1"/>
  <c r="AD460" i="1"/>
  <c r="AC460" i="1"/>
  <c r="AB460" i="1"/>
  <c r="Y460" i="1"/>
  <c r="X460" i="1"/>
  <c r="W460" i="1"/>
  <c r="V460" i="1"/>
  <c r="AJ461" i="1"/>
  <c r="AI461" i="1"/>
  <c r="AH461" i="1"/>
  <c r="AG461" i="1"/>
  <c r="AF461" i="1"/>
  <c r="AD461" i="1"/>
  <c r="AC461" i="1"/>
  <c r="AB461" i="1"/>
  <c r="Y461" i="1"/>
  <c r="X461" i="1"/>
  <c r="W461" i="1"/>
  <c r="V461" i="1"/>
  <c r="AJ462" i="1"/>
  <c r="AI462" i="1"/>
  <c r="AG462" i="1"/>
  <c r="AF462" i="1"/>
  <c r="AD462" i="1"/>
  <c r="AC462" i="1"/>
  <c r="AB462" i="1"/>
  <c r="Y462" i="1"/>
  <c r="X462" i="1"/>
  <c r="W462" i="1"/>
  <c r="V462" i="1"/>
  <c r="AJ463" i="1"/>
  <c r="AI463" i="1"/>
  <c r="AG463" i="1"/>
  <c r="AF463" i="1"/>
  <c r="AD463" i="1"/>
  <c r="AC463" i="1"/>
  <c r="AB463" i="1"/>
  <c r="Y463" i="1"/>
  <c r="X463" i="1"/>
  <c r="W463" i="1"/>
  <c r="V463" i="1"/>
  <c r="AJ1045" i="1"/>
  <c r="AI1045" i="1"/>
  <c r="AH1045" i="1"/>
  <c r="AG1045" i="1"/>
  <c r="AF1045" i="1"/>
  <c r="AD1045" i="1"/>
  <c r="AC1045" i="1"/>
  <c r="AB1045" i="1"/>
  <c r="Y1045" i="1"/>
  <c r="X1045" i="1"/>
  <c r="W1045" i="1"/>
  <c r="V1045" i="1"/>
  <c r="AJ1046" i="1"/>
  <c r="AI1046" i="1"/>
  <c r="AH1046" i="1"/>
  <c r="AG1046" i="1"/>
  <c r="AF1046" i="1"/>
  <c r="AD1046" i="1"/>
  <c r="AC1046" i="1"/>
  <c r="AB1046" i="1"/>
  <c r="Y1046" i="1"/>
  <c r="X1046" i="1"/>
  <c r="W1046" i="1"/>
  <c r="V1046" i="1"/>
  <c r="AJ1047" i="1"/>
  <c r="AI1047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AJ1048" i="1"/>
  <c r="AI1048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AJ1049" i="1"/>
  <c r="AI1049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AJ1050" i="1"/>
  <c r="AI1050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AJ1051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AJ1080" i="1"/>
  <c r="AI1080" i="1"/>
  <c r="AG1080" i="1"/>
  <c r="AF1080" i="1"/>
  <c r="AD1080" i="1"/>
  <c r="AC1080" i="1"/>
  <c r="AB1080" i="1"/>
  <c r="Y1080" i="1"/>
  <c r="X1080" i="1"/>
  <c r="W1080" i="1"/>
  <c r="V1080" i="1"/>
  <c r="U1080" i="1"/>
  <c r="AJ1081" i="1"/>
  <c r="AI1081" i="1"/>
  <c r="AG1081" i="1"/>
  <c r="AF1081" i="1"/>
  <c r="AD1081" i="1"/>
  <c r="AC1081" i="1"/>
  <c r="AB1081" i="1"/>
  <c r="Y1081" i="1"/>
  <c r="X1081" i="1"/>
  <c r="W1081" i="1"/>
  <c r="V1081" i="1"/>
  <c r="U1081" i="1"/>
  <c r="AJ1082" i="1"/>
  <c r="AI1082" i="1"/>
  <c r="AG1082" i="1"/>
  <c r="AF1082" i="1"/>
  <c r="AD1082" i="1"/>
  <c r="AC1082" i="1"/>
  <c r="AB1082" i="1"/>
  <c r="Y1082" i="1"/>
  <c r="X1082" i="1"/>
  <c r="W1082" i="1"/>
  <c r="V1082" i="1"/>
  <c r="U1082" i="1"/>
  <c r="AJ1083" i="1"/>
  <c r="AI1083" i="1"/>
  <c r="AG1083" i="1"/>
  <c r="AF1083" i="1"/>
  <c r="AD1083" i="1"/>
  <c r="AC1083" i="1"/>
  <c r="AB1083" i="1"/>
  <c r="Y1083" i="1"/>
  <c r="X1083" i="1"/>
  <c r="W1083" i="1"/>
  <c r="V1083" i="1"/>
  <c r="U1083" i="1"/>
  <c r="AJ1084" i="1"/>
  <c r="AI1084" i="1"/>
  <c r="AG1084" i="1"/>
  <c r="AF1084" i="1"/>
  <c r="AD1084" i="1"/>
  <c r="AC1084" i="1"/>
  <c r="AB1084" i="1"/>
  <c r="Y1084" i="1"/>
  <c r="X1084" i="1"/>
  <c r="W1084" i="1"/>
  <c r="V1084" i="1"/>
  <c r="U1084" i="1"/>
  <c r="AJ1085" i="1"/>
  <c r="AI1085" i="1"/>
  <c r="AG1085" i="1"/>
  <c r="AF1085" i="1"/>
  <c r="AD1085" i="1"/>
  <c r="AC1085" i="1"/>
  <c r="AB1085" i="1"/>
  <c r="Y1085" i="1"/>
  <c r="X1085" i="1"/>
  <c r="W1085" i="1"/>
  <c r="V1085" i="1"/>
  <c r="U1085" i="1"/>
  <c r="AJ1086" i="1"/>
  <c r="AI1086" i="1"/>
  <c r="AG1086" i="1"/>
  <c r="AF1086" i="1"/>
  <c r="AD1086" i="1"/>
  <c r="AC1086" i="1"/>
  <c r="AB1086" i="1"/>
  <c r="Y1086" i="1"/>
  <c r="X1086" i="1"/>
  <c r="W1086" i="1"/>
  <c r="V1086" i="1"/>
  <c r="U1086" i="1"/>
  <c r="AJ828" i="1"/>
  <c r="AI828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AJ829" i="1"/>
  <c r="AI829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AJ830" i="1"/>
  <c r="AI830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AJ831" i="1"/>
  <c r="AI831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AJ832" i="1"/>
  <c r="AI832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AJ833" i="1"/>
  <c r="AI833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AJ834" i="1"/>
  <c r="AI834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AJ284" i="1"/>
  <c r="AI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AJ285" i="1"/>
  <c r="AI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AJ287" i="1"/>
  <c r="AI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AJ394" i="1"/>
  <c r="AI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AJ395" i="1"/>
  <c r="AI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AJ396" i="1"/>
  <c r="AI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AJ397" i="1"/>
  <c r="AI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AJ398" i="1"/>
  <c r="AI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AJ399" i="1"/>
  <c r="AI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AJ400" i="1"/>
  <c r="AI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AJ387" i="1"/>
  <c r="AI387" i="1"/>
  <c r="AH387" i="1"/>
  <c r="AG387" i="1"/>
  <c r="AF387" i="1"/>
  <c r="AD387" i="1"/>
  <c r="AC387" i="1"/>
  <c r="AB387" i="1"/>
  <c r="Y387" i="1"/>
  <c r="X387" i="1"/>
  <c r="W387" i="1"/>
  <c r="V387" i="1"/>
  <c r="U387" i="1"/>
  <c r="AJ388" i="1"/>
  <c r="AI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AJ389" i="1"/>
  <c r="AI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AJ390" i="1"/>
  <c r="AI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AJ391" i="1"/>
  <c r="AI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AJ392" i="1"/>
  <c r="AI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AJ393" i="1"/>
  <c r="AI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AJ289" i="1"/>
  <c r="AI289" i="1"/>
  <c r="AG289" i="1"/>
  <c r="AF289" i="1"/>
  <c r="AD289" i="1"/>
  <c r="AC289" i="1"/>
  <c r="AB289" i="1"/>
  <c r="Y289" i="1"/>
  <c r="X289" i="1"/>
  <c r="W289" i="1"/>
  <c r="V289" i="1"/>
  <c r="U289" i="1"/>
  <c r="AJ290" i="1"/>
  <c r="AI290" i="1"/>
  <c r="AH290" i="1"/>
  <c r="AG290" i="1"/>
  <c r="AF290" i="1"/>
  <c r="AD290" i="1"/>
  <c r="AC290" i="1"/>
  <c r="AB290" i="1"/>
  <c r="Y290" i="1"/>
  <c r="X290" i="1"/>
  <c r="W290" i="1"/>
  <c r="V290" i="1"/>
  <c r="U290" i="1"/>
  <c r="AJ291" i="1"/>
  <c r="AI291" i="1"/>
  <c r="AH291" i="1"/>
  <c r="AG291" i="1"/>
  <c r="AF291" i="1"/>
  <c r="AD291" i="1"/>
  <c r="AC291" i="1"/>
  <c r="AB291" i="1"/>
  <c r="Y291" i="1"/>
  <c r="X291" i="1"/>
  <c r="W291" i="1"/>
  <c r="V291" i="1"/>
  <c r="U291" i="1"/>
  <c r="AJ292" i="1"/>
  <c r="AI292" i="1"/>
  <c r="AG292" i="1"/>
  <c r="AF292" i="1"/>
  <c r="AD292" i="1"/>
  <c r="AC292" i="1"/>
  <c r="AB292" i="1"/>
  <c r="Y292" i="1"/>
  <c r="X292" i="1"/>
  <c r="W292" i="1"/>
  <c r="V292" i="1"/>
  <c r="U292" i="1"/>
  <c r="AJ293" i="1"/>
  <c r="AI293" i="1"/>
  <c r="AG293" i="1"/>
  <c r="AF293" i="1"/>
  <c r="AD293" i="1"/>
  <c r="AC293" i="1"/>
  <c r="AB293" i="1"/>
  <c r="Y293" i="1"/>
  <c r="X293" i="1"/>
  <c r="W293" i="1"/>
  <c r="V293" i="1"/>
  <c r="U293" i="1"/>
  <c r="AJ294" i="1"/>
  <c r="AI294" i="1"/>
  <c r="AG294" i="1"/>
  <c r="AF294" i="1"/>
  <c r="AD294" i="1"/>
  <c r="AC294" i="1"/>
  <c r="AB294" i="1"/>
  <c r="Y294" i="1"/>
  <c r="X294" i="1"/>
  <c r="W294" i="1"/>
  <c r="V294" i="1"/>
  <c r="U294" i="1"/>
  <c r="AJ295" i="1"/>
  <c r="AI295" i="1"/>
  <c r="AG295" i="1"/>
  <c r="AF295" i="1"/>
  <c r="AD295" i="1"/>
  <c r="AC295" i="1"/>
  <c r="AB295" i="1"/>
  <c r="Y295" i="1"/>
  <c r="X295" i="1"/>
  <c r="W295" i="1"/>
  <c r="V295" i="1"/>
  <c r="U295" i="1"/>
  <c r="AJ275" i="1"/>
  <c r="AI275" i="1"/>
  <c r="AG275" i="1"/>
  <c r="AF275" i="1"/>
  <c r="AD275" i="1"/>
  <c r="AC275" i="1"/>
  <c r="AB275" i="1"/>
  <c r="Y275" i="1"/>
  <c r="X275" i="1"/>
  <c r="W275" i="1"/>
  <c r="V275" i="1"/>
  <c r="AJ276" i="1"/>
  <c r="AI276" i="1"/>
  <c r="AG276" i="1"/>
  <c r="AF276" i="1"/>
  <c r="AD276" i="1"/>
  <c r="AC276" i="1"/>
  <c r="AB276" i="1"/>
  <c r="Y276" i="1"/>
  <c r="X276" i="1"/>
  <c r="W276" i="1"/>
  <c r="V276" i="1"/>
  <c r="AJ277" i="1"/>
  <c r="AI277" i="1"/>
  <c r="AG277" i="1"/>
  <c r="AF277" i="1"/>
  <c r="AD277" i="1"/>
  <c r="AC277" i="1"/>
  <c r="AB277" i="1"/>
  <c r="Y277" i="1"/>
  <c r="X277" i="1"/>
  <c r="W277" i="1"/>
  <c r="V277" i="1"/>
  <c r="AJ278" i="1"/>
  <c r="AI278" i="1"/>
  <c r="AG278" i="1"/>
  <c r="AF278" i="1"/>
  <c r="AD278" i="1"/>
  <c r="AC278" i="1"/>
  <c r="AB278" i="1"/>
  <c r="Y278" i="1"/>
  <c r="X278" i="1"/>
  <c r="W278" i="1"/>
  <c r="V278" i="1"/>
  <c r="AJ279" i="1"/>
  <c r="AI279" i="1"/>
  <c r="AG279" i="1"/>
  <c r="AF279" i="1"/>
  <c r="AD279" i="1"/>
  <c r="AC279" i="1"/>
  <c r="AB279" i="1"/>
  <c r="Y279" i="1"/>
  <c r="X279" i="1"/>
  <c r="W279" i="1"/>
  <c r="V279" i="1"/>
  <c r="AJ280" i="1"/>
  <c r="AI280" i="1"/>
  <c r="AG280" i="1"/>
  <c r="AF280" i="1"/>
  <c r="AD280" i="1"/>
  <c r="AC280" i="1"/>
  <c r="AB280" i="1"/>
  <c r="Y280" i="1"/>
  <c r="X280" i="1"/>
  <c r="W280" i="1"/>
  <c r="V280" i="1"/>
  <c r="AJ281" i="1"/>
  <c r="AI281" i="1"/>
  <c r="AG281" i="1"/>
  <c r="AF281" i="1"/>
  <c r="AD281" i="1"/>
  <c r="AC281" i="1"/>
  <c r="AB281" i="1"/>
  <c r="Y281" i="1"/>
  <c r="X281" i="1"/>
  <c r="W281" i="1"/>
  <c r="V281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AJ247" i="1"/>
  <c r="AI247" i="1"/>
  <c r="AG247" i="1"/>
  <c r="AF247" i="1"/>
  <c r="AD247" i="1"/>
  <c r="AC247" i="1"/>
  <c r="AB247" i="1"/>
  <c r="Y247" i="1"/>
  <c r="X247" i="1"/>
  <c r="W247" i="1"/>
  <c r="V247" i="1"/>
  <c r="U247" i="1"/>
  <c r="AJ248" i="1"/>
  <c r="AI248" i="1"/>
  <c r="AG248" i="1"/>
  <c r="AF248" i="1"/>
  <c r="AD248" i="1"/>
  <c r="AC248" i="1"/>
  <c r="AB248" i="1"/>
  <c r="Y248" i="1"/>
  <c r="X248" i="1"/>
  <c r="W248" i="1"/>
  <c r="V248" i="1"/>
  <c r="U248" i="1"/>
  <c r="AJ249" i="1"/>
  <c r="AI249" i="1"/>
  <c r="AG249" i="1"/>
  <c r="AF249" i="1"/>
  <c r="AD249" i="1"/>
  <c r="AC249" i="1"/>
  <c r="AB249" i="1"/>
  <c r="Y249" i="1"/>
  <c r="X249" i="1"/>
  <c r="W249" i="1"/>
  <c r="V249" i="1"/>
  <c r="U249" i="1"/>
  <c r="AJ250" i="1"/>
  <c r="AI250" i="1"/>
  <c r="AG250" i="1"/>
  <c r="AF250" i="1"/>
  <c r="AD250" i="1"/>
  <c r="AC250" i="1"/>
  <c r="AB250" i="1"/>
  <c r="Y250" i="1"/>
  <c r="X250" i="1"/>
  <c r="W250" i="1"/>
  <c r="V250" i="1"/>
  <c r="U250" i="1"/>
  <c r="AJ251" i="1"/>
  <c r="AI251" i="1"/>
  <c r="AG251" i="1"/>
  <c r="AF251" i="1"/>
  <c r="AD251" i="1"/>
  <c r="AC251" i="1"/>
  <c r="AB251" i="1"/>
  <c r="Y251" i="1"/>
  <c r="X251" i="1"/>
  <c r="W251" i="1"/>
  <c r="V251" i="1"/>
  <c r="U251" i="1"/>
  <c r="AJ252" i="1"/>
  <c r="AI252" i="1"/>
  <c r="AG252" i="1"/>
  <c r="AF252" i="1"/>
  <c r="AD252" i="1"/>
  <c r="AC252" i="1"/>
  <c r="AB252" i="1"/>
  <c r="Y252" i="1"/>
  <c r="X252" i="1"/>
  <c r="W252" i="1"/>
  <c r="V252" i="1"/>
  <c r="U252" i="1"/>
  <c r="AJ253" i="1"/>
  <c r="AI253" i="1"/>
  <c r="AG253" i="1"/>
  <c r="AF253" i="1"/>
  <c r="AD253" i="1"/>
  <c r="AC253" i="1"/>
  <c r="AB253" i="1"/>
  <c r="Y253" i="1"/>
  <c r="X253" i="1"/>
  <c r="W253" i="1"/>
  <c r="V253" i="1"/>
  <c r="U253" i="1"/>
  <c r="AJ191" i="1"/>
  <c r="AI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AJ192" i="1"/>
  <c r="AI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AJ193" i="1"/>
  <c r="AI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AJ194" i="1"/>
  <c r="AI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AJ195" i="1"/>
  <c r="AI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AJ196" i="1"/>
  <c r="AI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AJ197" i="1"/>
  <c r="AI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AJ307" i="1"/>
  <c r="AI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AJ308" i="1"/>
  <c r="AI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AJ309" i="1"/>
  <c r="AI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AJ240" i="1"/>
  <c r="AI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AJ241" i="1"/>
  <c r="AI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AJ242" i="1"/>
  <c r="AI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AJ243" i="1"/>
  <c r="AI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AJ244" i="1"/>
  <c r="AI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AJ245" i="1"/>
  <c r="AI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AJ246" i="1"/>
  <c r="AI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AJ422" i="1"/>
  <c r="AI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AJ423" i="1"/>
  <c r="AI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AJ424" i="1"/>
  <c r="AI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AJ425" i="1"/>
  <c r="AI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AJ426" i="1"/>
  <c r="AI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AJ427" i="1"/>
  <c r="AI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AJ428" i="1"/>
  <c r="AI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AJ415" i="1"/>
  <c r="AI415" i="1"/>
  <c r="AH415" i="1"/>
  <c r="AG415" i="1"/>
  <c r="AF415" i="1"/>
  <c r="AD415" i="1"/>
  <c r="AC415" i="1"/>
  <c r="AB415" i="1"/>
  <c r="Y415" i="1"/>
  <c r="X415" i="1"/>
  <c r="W415" i="1"/>
  <c r="V415" i="1"/>
  <c r="U415" i="1"/>
  <c r="AJ416" i="1"/>
  <c r="AI416" i="1"/>
  <c r="AH416" i="1"/>
  <c r="AG416" i="1"/>
  <c r="AF416" i="1"/>
  <c r="AD416" i="1"/>
  <c r="AC416" i="1"/>
  <c r="AB416" i="1"/>
  <c r="Y416" i="1"/>
  <c r="X416" i="1"/>
  <c r="W416" i="1"/>
  <c r="V416" i="1"/>
  <c r="U416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AJ418" i="1"/>
  <c r="AI418" i="1"/>
  <c r="AG418" i="1"/>
  <c r="AF418" i="1"/>
  <c r="AD418" i="1"/>
  <c r="AC418" i="1"/>
  <c r="AB418" i="1"/>
  <c r="Y418" i="1"/>
  <c r="X418" i="1"/>
  <c r="W418" i="1"/>
  <c r="V418" i="1"/>
  <c r="U418" i="1"/>
  <c r="AJ419" i="1"/>
  <c r="AI419" i="1"/>
  <c r="AG419" i="1"/>
  <c r="AF419" i="1"/>
  <c r="AD419" i="1"/>
  <c r="AC419" i="1"/>
  <c r="AB419" i="1"/>
  <c r="Y419" i="1"/>
  <c r="X419" i="1"/>
  <c r="W419" i="1"/>
  <c r="V419" i="1"/>
  <c r="U419" i="1"/>
  <c r="AJ420" i="1"/>
  <c r="AI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AJ421" i="1"/>
  <c r="AI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AJ408" i="1"/>
  <c r="AI408" i="1"/>
  <c r="AG408" i="1"/>
  <c r="AF408" i="1"/>
  <c r="AD408" i="1"/>
  <c r="AC408" i="1"/>
  <c r="AB408" i="1"/>
  <c r="Y408" i="1"/>
  <c r="X408" i="1"/>
  <c r="W408" i="1"/>
  <c r="V408" i="1"/>
  <c r="U408" i="1"/>
  <c r="AJ409" i="1"/>
  <c r="AI409" i="1"/>
  <c r="AG409" i="1"/>
  <c r="AF409" i="1"/>
  <c r="AD409" i="1"/>
  <c r="AC409" i="1"/>
  <c r="AB409" i="1"/>
  <c r="Y409" i="1"/>
  <c r="X409" i="1"/>
  <c r="W409" i="1"/>
  <c r="V409" i="1"/>
  <c r="U409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AJ352" i="1"/>
  <c r="AI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AJ353" i="1"/>
  <c r="AI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AJ296" i="1"/>
  <c r="AI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AJ297" i="1"/>
  <c r="AI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AJ298" i="1"/>
  <c r="AI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AJ299" i="1"/>
  <c r="AI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AJ300" i="1"/>
  <c r="AI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AJ301" i="1"/>
  <c r="AI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AJ302" i="1"/>
  <c r="AI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AJ212" i="1"/>
  <c r="AI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AJ213" i="1"/>
  <c r="AI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AJ156" i="1"/>
  <c r="AI156" i="1"/>
  <c r="AG156" i="1"/>
  <c r="AF156" i="1"/>
  <c r="AD156" i="1"/>
  <c r="AC156" i="1"/>
  <c r="AB156" i="1"/>
  <c r="Y156" i="1"/>
  <c r="X156" i="1"/>
  <c r="W156" i="1"/>
  <c r="V156" i="1"/>
  <c r="U156" i="1"/>
  <c r="AJ157" i="1"/>
  <c r="AI157" i="1"/>
  <c r="AG157" i="1"/>
  <c r="AF157" i="1"/>
  <c r="AD157" i="1"/>
  <c r="AC157" i="1"/>
  <c r="AB157" i="1"/>
  <c r="Y157" i="1"/>
  <c r="X157" i="1"/>
  <c r="W157" i="1"/>
  <c r="V157" i="1"/>
  <c r="U157" i="1"/>
  <c r="AJ158" i="1"/>
  <c r="AI158" i="1"/>
  <c r="AG158" i="1"/>
  <c r="AF158" i="1"/>
  <c r="AD158" i="1"/>
  <c r="AC158" i="1"/>
  <c r="AB158" i="1"/>
  <c r="Y158" i="1"/>
  <c r="X158" i="1"/>
  <c r="W158" i="1"/>
  <c r="V158" i="1"/>
  <c r="U158" i="1"/>
  <c r="AJ159" i="1"/>
  <c r="AI159" i="1"/>
  <c r="AG159" i="1"/>
  <c r="AF159" i="1"/>
  <c r="AD159" i="1"/>
  <c r="AC159" i="1"/>
  <c r="AB159" i="1"/>
  <c r="Y159" i="1"/>
  <c r="X159" i="1"/>
  <c r="W159" i="1"/>
  <c r="V159" i="1"/>
  <c r="U159" i="1"/>
  <c r="AJ160" i="1"/>
  <c r="AI160" i="1"/>
  <c r="AG160" i="1"/>
  <c r="AF160" i="1"/>
  <c r="AD160" i="1"/>
  <c r="AC160" i="1"/>
  <c r="AB160" i="1"/>
  <c r="Y160" i="1"/>
  <c r="X160" i="1"/>
  <c r="W160" i="1"/>
  <c r="V160" i="1"/>
  <c r="U160" i="1"/>
  <c r="AJ161" i="1"/>
  <c r="AI161" i="1"/>
  <c r="AG161" i="1"/>
  <c r="AF161" i="1"/>
  <c r="AD161" i="1"/>
  <c r="AC161" i="1"/>
  <c r="AB161" i="1"/>
  <c r="Y161" i="1"/>
  <c r="X161" i="1"/>
  <c r="W161" i="1"/>
  <c r="V161" i="1"/>
  <c r="U161" i="1"/>
  <c r="AJ162" i="1"/>
  <c r="AI162" i="1"/>
  <c r="AG162" i="1"/>
  <c r="AF162" i="1"/>
  <c r="AD162" i="1"/>
  <c r="AC162" i="1"/>
  <c r="AB162" i="1"/>
  <c r="Y162" i="1"/>
  <c r="X162" i="1"/>
  <c r="W162" i="1"/>
  <c r="V162" i="1"/>
  <c r="U162" i="1"/>
  <c r="AJ135" i="1"/>
  <c r="AI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AJ136" i="1"/>
  <c r="AI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AJ137" i="1"/>
  <c r="AI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AJ138" i="1"/>
  <c r="AI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AJ139" i="1"/>
  <c r="AI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AJ140" i="1"/>
  <c r="AI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AJ141" i="1"/>
  <c r="AI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AJ205" i="1"/>
  <c r="AI205" i="1"/>
  <c r="AG205" i="1"/>
  <c r="AF205" i="1"/>
  <c r="AD205" i="1"/>
  <c r="AC205" i="1"/>
  <c r="AB205" i="1"/>
  <c r="Y205" i="1"/>
  <c r="X205" i="1"/>
  <c r="W205" i="1"/>
  <c r="V205" i="1"/>
  <c r="U205" i="1"/>
  <c r="AJ206" i="1"/>
  <c r="AI206" i="1"/>
  <c r="AG206" i="1"/>
  <c r="AF206" i="1"/>
  <c r="AD206" i="1"/>
  <c r="AC206" i="1"/>
  <c r="AB206" i="1"/>
  <c r="Y206" i="1"/>
  <c r="X206" i="1"/>
  <c r="W206" i="1"/>
  <c r="V206" i="1"/>
  <c r="U206" i="1"/>
  <c r="AJ207" i="1"/>
  <c r="AI207" i="1"/>
  <c r="AG207" i="1"/>
  <c r="AF207" i="1"/>
  <c r="AD207" i="1"/>
  <c r="AC207" i="1"/>
  <c r="AB207" i="1"/>
  <c r="Y207" i="1"/>
  <c r="X207" i="1"/>
  <c r="W207" i="1"/>
  <c r="V207" i="1"/>
  <c r="U207" i="1"/>
  <c r="AJ208" i="1"/>
  <c r="AI208" i="1"/>
  <c r="AG208" i="1"/>
  <c r="AF208" i="1"/>
  <c r="AD208" i="1"/>
  <c r="AC208" i="1"/>
  <c r="AB208" i="1"/>
  <c r="Y208" i="1"/>
  <c r="X208" i="1"/>
  <c r="W208" i="1"/>
  <c r="V208" i="1"/>
  <c r="U208" i="1"/>
  <c r="AJ209" i="1"/>
  <c r="AI209" i="1"/>
  <c r="AG209" i="1"/>
  <c r="AF209" i="1"/>
  <c r="AD209" i="1"/>
  <c r="AC209" i="1"/>
  <c r="AB209" i="1"/>
  <c r="Y209" i="1"/>
  <c r="X209" i="1"/>
  <c r="W209" i="1"/>
  <c r="V209" i="1"/>
  <c r="U209" i="1"/>
  <c r="AJ210" i="1"/>
  <c r="AI210" i="1"/>
  <c r="AG210" i="1"/>
  <c r="AF210" i="1"/>
  <c r="AD210" i="1"/>
  <c r="AC210" i="1"/>
  <c r="AB210" i="1"/>
  <c r="Y210" i="1"/>
  <c r="X210" i="1"/>
  <c r="W210" i="1"/>
  <c r="V210" i="1"/>
  <c r="U210" i="1"/>
  <c r="AJ211" i="1"/>
  <c r="AI211" i="1"/>
  <c r="AG211" i="1"/>
  <c r="AF211" i="1"/>
  <c r="AD211" i="1"/>
  <c r="AC211" i="1"/>
  <c r="AB211" i="1"/>
  <c r="Y211" i="1"/>
  <c r="X211" i="1"/>
  <c r="W211" i="1"/>
  <c r="V211" i="1"/>
  <c r="U211" i="1"/>
  <c r="AJ177" i="1"/>
  <c r="AI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AJ178" i="1"/>
  <c r="AI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AJ179" i="1"/>
  <c r="AI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AJ180" i="1"/>
  <c r="AI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AJ181" i="1"/>
  <c r="AI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AJ182" i="1"/>
  <c r="AI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AJ183" i="1"/>
  <c r="AI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AJ170" i="1"/>
  <c r="AI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AJ171" i="1"/>
  <c r="AI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AJ172" i="1"/>
  <c r="AI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AJ163" i="1"/>
  <c r="AI163" i="1"/>
  <c r="AG163" i="1"/>
  <c r="AF163" i="1"/>
  <c r="AD163" i="1"/>
  <c r="AC163" i="1"/>
  <c r="AB163" i="1"/>
  <c r="Y163" i="1"/>
  <c r="X163" i="1"/>
  <c r="W163" i="1"/>
  <c r="V163" i="1"/>
  <c r="AJ164" i="1"/>
  <c r="AI164" i="1"/>
  <c r="AG164" i="1"/>
  <c r="AF164" i="1"/>
  <c r="AD164" i="1"/>
  <c r="AC164" i="1"/>
  <c r="AB164" i="1"/>
  <c r="Y164" i="1"/>
  <c r="X164" i="1"/>
  <c r="W164" i="1"/>
  <c r="V164" i="1"/>
  <c r="AJ165" i="1"/>
  <c r="AI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AJ166" i="1"/>
  <c r="AI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AJ167" i="1"/>
  <c r="AI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AJ168" i="1"/>
  <c r="AI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AJ142" i="1"/>
  <c r="AI142" i="1"/>
  <c r="AG142" i="1"/>
  <c r="AF142" i="1"/>
  <c r="AD142" i="1"/>
  <c r="AC142" i="1"/>
  <c r="AB142" i="1"/>
  <c r="Y142" i="1"/>
  <c r="X142" i="1"/>
  <c r="W142" i="1"/>
  <c r="V142" i="1"/>
  <c r="U142" i="1"/>
  <c r="AJ143" i="1"/>
  <c r="AI143" i="1"/>
  <c r="AG143" i="1"/>
  <c r="AF143" i="1"/>
  <c r="AD143" i="1"/>
  <c r="AC143" i="1"/>
  <c r="AB143" i="1"/>
  <c r="Y143" i="1"/>
  <c r="X143" i="1"/>
  <c r="W143" i="1"/>
  <c r="V143" i="1"/>
  <c r="U143" i="1"/>
  <c r="AJ144" i="1"/>
  <c r="AI144" i="1"/>
  <c r="AG144" i="1"/>
  <c r="AF144" i="1"/>
  <c r="AD144" i="1"/>
  <c r="AC144" i="1"/>
  <c r="AB144" i="1"/>
  <c r="Y144" i="1"/>
  <c r="X144" i="1"/>
  <c r="W144" i="1"/>
  <c r="V144" i="1"/>
  <c r="U144" i="1"/>
  <c r="AJ145" i="1"/>
  <c r="AI145" i="1"/>
  <c r="AG145" i="1"/>
  <c r="AF145" i="1"/>
  <c r="AD145" i="1"/>
  <c r="AC145" i="1"/>
  <c r="AB145" i="1"/>
  <c r="Y145" i="1"/>
  <c r="X145" i="1"/>
  <c r="W145" i="1"/>
  <c r="V145" i="1"/>
  <c r="U145" i="1"/>
  <c r="AJ146" i="1"/>
  <c r="AI146" i="1"/>
  <c r="AG146" i="1"/>
  <c r="AF146" i="1"/>
  <c r="AD146" i="1"/>
  <c r="AC146" i="1"/>
  <c r="AB146" i="1"/>
  <c r="Y146" i="1"/>
  <c r="X146" i="1"/>
  <c r="W146" i="1"/>
  <c r="V146" i="1"/>
  <c r="U146" i="1"/>
  <c r="AJ147" i="1"/>
  <c r="AI147" i="1"/>
  <c r="AG147" i="1"/>
  <c r="AF147" i="1"/>
  <c r="AD147" i="1"/>
  <c r="AC147" i="1"/>
  <c r="AB147" i="1"/>
  <c r="Y147" i="1"/>
  <c r="X147" i="1"/>
  <c r="W147" i="1"/>
  <c r="V147" i="1"/>
  <c r="U147" i="1"/>
  <c r="AJ148" i="1"/>
  <c r="AI148" i="1"/>
  <c r="AG148" i="1"/>
  <c r="AF148" i="1"/>
  <c r="AD148" i="1"/>
  <c r="AC148" i="1"/>
  <c r="AB148" i="1"/>
  <c r="Y148" i="1"/>
  <c r="X148" i="1"/>
  <c r="W148" i="1"/>
  <c r="V148" i="1"/>
  <c r="U148" i="1"/>
  <c r="AJ198" i="1"/>
  <c r="AI198" i="1"/>
  <c r="AH198" i="1"/>
  <c r="AG198" i="1"/>
  <c r="AF198" i="1"/>
  <c r="AD198" i="1"/>
  <c r="AC198" i="1"/>
  <c r="AB198" i="1"/>
  <c r="Y198" i="1"/>
  <c r="X198" i="1"/>
  <c r="W198" i="1"/>
  <c r="V198" i="1"/>
  <c r="U198" i="1"/>
  <c r="AJ199" i="1"/>
  <c r="AI199" i="1"/>
  <c r="AH199" i="1"/>
  <c r="AG199" i="1"/>
  <c r="AF199" i="1"/>
  <c r="AD199" i="1"/>
  <c r="AC199" i="1"/>
  <c r="AB199" i="1"/>
  <c r="Y199" i="1"/>
  <c r="X199" i="1"/>
  <c r="W199" i="1"/>
  <c r="V199" i="1"/>
  <c r="U199" i="1"/>
  <c r="AJ200" i="1"/>
  <c r="AI200" i="1"/>
  <c r="AH200" i="1"/>
  <c r="AG200" i="1"/>
  <c r="AF200" i="1"/>
  <c r="AD200" i="1"/>
  <c r="AC200" i="1"/>
  <c r="AB200" i="1"/>
  <c r="Y200" i="1"/>
  <c r="X200" i="1"/>
  <c r="W200" i="1"/>
  <c r="V200" i="1"/>
  <c r="U200" i="1"/>
  <c r="AJ201" i="1"/>
  <c r="AI201" i="1"/>
  <c r="AH201" i="1"/>
  <c r="AG201" i="1"/>
  <c r="AF201" i="1"/>
  <c r="AD201" i="1"/>
  <c r="AC201" i="1"/>
  <c r="AB201" i="1"/>
  <c r="Y201" i="1"/>
  <c r="X201" i="1"/>
  <c r="W201" i="1"/>
  <c r="V201" i="1"/>
  <c r="U201" i="1"/>
  <c r="AJ202" i="1"/>
  <c r="AI202" i="1"/>
  <c r="AH202" i="1"/>
  <c r="AG202" i="1"/>
  <c r="AF202" i="1"/>
  <c r="AD202" i="1"/>
  <c r="AC202" i="1"/>
  <c r="AB202" i="1"/>
  <c r="Y202" i="1"/>
  <c r="X202" i="1"/>
  <c r="W202" i="1"/>
  <c r="V202" i="1"/>
  <c r="U202" i="1"/>
  <c r="AJ203" i="1"/>
  <c r="AI203" i="1"/>
  <c r="AH203" i="1"/>
  <c r="AG203" i="1"/>
  <c r="AF203" i="1"/>
  <c r="AD203" i="1"/>
  <c r="AC203" i="1"/>
  <c r="AB203" i="1"/>
  <c r="Y203" i="1"/>
  <c r="X203" i="1"/>
  <c r="W203" i="1"/>
  <c r="V203" i="1"/>
  <c r="U203" i="1"/>
  <c r="AJ204" i="1"/>
  <c r="AI204" i="1"/>
  <c r="AH204" i="1"/>
  <c r="AG204" i="1"/>
  <c r="AF204" i="1"/>
  <c r="AD204" i="1"/>
  <c r="AC204" i="1"/>
  <c r="AB204" i="1"/>
  <c r="Y204" i="1"/>
  <c r="X204" i="1"/>
  <c r="W204" i="1"/>
  <c r="V204" i="1"/>
  <c r="U204" i="1"/>
  <c r="AJ128" i="1"/>
  <c r="AI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AJ129" i="1"/>
  <c r="AI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AJ130" i="1"/>
  <c r="AI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AJ131" i="1"/>
  <c r="AI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AJ132" i="1"/>
  <c r="AI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AJ133" i="1"/>
  <c r="AI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AJ184" i="1"/>
  <c r="AI184" i="1"/>
  <c r="AG184" i="1"/>
  <c r="AF184" i="1"/>
  <c r="AD184" i="1"/>
  <c r="AC184" i="1"/>
  <c r="AB184" i="1"/>
  <c r="Y184" i="1"/>
  <c r="X184" i="1"/>
  <c r="W184" i="1"/>
  <c r="V184" i="1"/>
  <c r="U184" i="1"/>
  <c r="AJ185" i="1"/>
  <c r="AI185" i="1"/>
  <c r="AG185" i="1"/>
  <c r="AF185" i="1"/>
  <c r="AD185" i="1"/>
  <c r="AC185" i="1"/>
  <c r="AB185" i="1"/>
  <c r="Y185" i="1"/>
  <c r="X185" i="1"/>
  <c r="W185" i="1"/>
  <c r="V185" i="1"/>
  <c r="U185" i="1"/>
  <c r="AJ186" i="1"/>
  <c r="AI186" i="1"/>
  <c r="AG186" i="1"/>
  <c r="AF186" i="1"/>
  <c r="AD186" i="1"/>
  <c r="AC186" i="1"/>
  <c r="AB186" i="1"/>
  <c r="Y186" i="1"/>
  <c r="X186" i="1"/>
  <c r="W186" i="1"/>
  <c r="V186" i="1"/>
  <c r="U186" i="1"/>
  <c r="AJ187" i="1"/>
  <c r="AI187" i="1"/>
  <c r="AG187" i="1"/>
  <c r="AF187" i="1"/>
  <c r="AD187" i="1"/>
  <c r="AC187" i="1"/>
  <c r="AB187" i="1"/>
  <c r="Y187" i="1"/>
  <c r="X187" i="1"/>
  <c r="W187" i="1"/>
  <c r="V187" i="1"/>
  <c r="U187" i="1"/>
  <c r="AJ188" i="1"/>
  <c r="AI188" i="1"/>
  <c r="AG188" i="1"/>
  <c r="AF188" i="1"/>
  <c r="AD188" i="1"/>
  <c r="AC188" i="1"/>
  <c r="AB188" i="1"/>
  <c r="Y188" i="1"/>
  <c r="X188" i="1"/>
  <c r="W188" i="1"/>
  <c r="V188" i="1"/>
  <c r="U188" i="1"/>
  <c r="AJ189" i="1"/>
  <c r="AI189" i="1"/>
  <c r="AG189" i="1"/>
  <c r="AF189" i="1"/>
  <c r="AD189" i="1"/>
  <c r="AC189" i="1"/>
  <c r="AB189" i="1"/>
  <c r="Y189" i="1"/>
  <c r="X189" i="1"/>
  <c r="W189" i="1"/>
  <c r="V189" i="1"/>
  <c r="U189" i="1"/>
  <c r="AJ190" i="1"/>
  <c r="AI190" i="1"/>
  <c r="AG190" i="1"/>
  <c r="AF190" i="1"/>
  <c r="AD190" i="1"/>
  <c r="AC190" i="1"/>
  <c r="AB190" i="1"/>
  <c r="Y190" i="1"/>
  <c r="X190" i="1"/>
  <c r="W190" i="1"/>
  <c r="V190" i="1"/>
  <c r="U190" i="1"/>
  <c r="AJ72" i="1"/>
  <c r="AI72" i="1"/>
  <c r="AG72" i="1"/>
  <c r="AF72" i="1"/>
  <c r="AD72" i="1"/>
  <c r="AC72" i="1"/>
  <c r="AB72" i="1"/>
  <c r="Y72" i="1"/>
  <c r="X72" i="1"/>
  <c r="W72" i="1"/>
  <c r="V72" i="1"/>
  <c r="AJ73" i="1"/>
  <c r="AI73" i="1"/>
  <c r="AG73" i="1"/>
  <c r="AF73" i="1"/>
  <c r="AD73" i="1"/>
  <c r="AC73" i="1"/>
  <c r="AB73" i="1"/>
  <c r="Y73" i="1"/>
  <c r="X73" i="1"/>
  <c r="W73" i="1"/>
  <c r="V73" i="1"/>
  <c r="AJ74" i="1"/>
  <c r="AI74" i="1"/>
  <c r="AG74" i="1"/>
  <c r="AF74" i="1"/>
  <c r="AD74" i="1"/>
  <c r="AC74" i="1"/>
  <c r="AB74" i="1"/>
  <c r="Y74" i="1"/>
  <c r="X74" i="1"/>
  <c r="W74" i="1"/>
  <c r="V74" i="1"/>
  <c r="AJ75" i="1"/>
  <c r="AI75" i="1"/>
  <c r="AG75" i="1"/>
  <c r="AF75" i="1"/>
  <c r="AD75" i="1"/>
  <c r="AC75" i="1"/>
  <c r="AB75" i="1"/>
  <c r="Y75" i="1"/>
  <c r="X75" i="1"/>
  <c r="W75" i="1"/>
  <c r="V75" i="1"/>
  <c r="AJ76" i="1"/>
  <c r="AI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AJ77" i="1"/>
  <c r="AI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AJ78" i="1"/>
  <c r="AI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AJ100" i="1"/>
  <c r="AI100" i="1"/>
  <c r="AG100" i="1"/>
  <c r="AF100" i="1"/>
  <c r="AD100" i="1"/>
  <c r="AC100" i="1"/>
  <c r="AB100" i="1"/>
  <c r="Y100" i="1"/>
  <c r="X100" i="1"/>
  <c r="W100" i="1"/>
  <c r="V100" i="1"/>
  <c r="U100" i="1"/>
  <c r="AJ101" i="1"/>
  <c r="AI101" i="1"/>
  <c r="AG101" i="1"/>
  <c r="AF101" i="1"/>
  <c r="AD101" i="1"/>
  <c r="AC101" i="1"/>
  <c r="AB101" i="1"/>
  <c r="Y101" i="1"/>
  <c r="X101" i="1"/>
  <c r="W101" i="1"/>
  <c r="V101" i="1"/>
  <c r="U101" i="1"/>
  <c r="AJ102" i="1"/>
  <c r="AI102" i="1"/>
  <c r="AG102" i="1"/>
  <c r="AF102" i="1"/>
  <c r="AD102" i="1"/>
  <c r="AC102" i="1"/>
  <c r="AB102" i="1"/>
  <c r="Y102" i="1"/>
  <c r="X102" i="1"/>
  <c r="W102" i="1"/>
  <c r="V102" i="1"/>
  <c r="U102" i="1"/>
  <c r="AJ103" i="1"/>
  <c r="AI103" i="1"/>
  <c r="AG103" i="1"/>
  <c r="AF103" i="1"/>
  <c r="AD103" i="1"/>
  <c r="AC103" i="1"/>
  <c r="AB103" i="1"/>
  <c r="Y103" i="1"/>
  <c r="X103" i="1"/>
  <c r="W103" i="1"/>
  <c r="V103" i="1"/>
  <c r="U103" i="1"/>
  <c r="AJ104" i="1"/>
  <c r="AI104" i="1"/>
  <c r="AG104" i="1"/>
  <c r="AF104" i="1"/>
  <c r="AD104" i="1"/>
  <c r="AC104" i="1"/>
  <c r="AB104" i="1"/>
  <c r="Y104" i="1"/>
  <c r="X104" i="1"/>
  <c r="W104" i="1"/>
  <c r="V104" i="1"/>
  <c r="U104" i="1"/>
  <c r="AJ105" i="1"/>
  <c r="AI105" i="1"/>
  <c r="AG105" i="1"/>
  <c r="AF105" i="1"/>
  <c r="AD105" i="1"/>
  <c r="AC105" i="1"/>
  <c r="AB105" i="1"/>
  <c r="Y105" i="1"/>
  <c r="X105" i="1"/>
  <c r="W105" i="1"/>
  <c r="V105" i="1"/>
  <c r="U105" i="1"/>
  <c r="AJ106" i="1"/>
  <c r="AI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AJ44" i="1"/>
  <c r="AI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AJ45" i="1"/>
  <c r="AI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AJ46" i="1"/>
  <c r="AI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AJ47" i="1"/>
  <c r="AI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AJ48" i="1"/>
  <c r="AI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AJ49" i="1"/>
  <c r="AI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AJ107" i="1"/>
  <c r="AI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AJ108" i="1"/>
  <c r="AI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AJ109" i="1"/>
  <c r="AI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AJ110" i="1"/>
  <c r="AI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AJ111" i="1"/>
  <c r="AI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AJ112" i="1"/>
  <c r="AI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AJ113" i="1"/>
  <c r="AI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AJ58" i="1"/>
  <c r="AI58" i="1"/>
  <c r="AH58" i="1"/>
  <c r="AG58" i="1"/>
  <c r="AF58" i="1"/>
  <c r="AD58" i="1"/>
  <c r="AC58" i="1"/>
  <c r="AB58" i="1"/>
  <c r="Y58" i="1"/>
  <c r="X58" i="1"/>
  <c r="W58" i="1"/>
  <c r="V58" i="1"/>
  <c r="U58" i="1"/>
  <c r="AJ59" i="1"/>
  <c r="AI59" i="1"/>
  <c r="AG59" i="1"/>
  <c r="AF59" i="1"/>
  <c r="AD59" i="1"/>
  <c r="AC59" i="1"/>
  <c r="AB59" i="1"/>
  <c r="Y59" i="1"/>
  <c r="X59" i="1"/>
  <c r="W59" i="1"/>
  <c r="V59" i="1"/>
  <c r="U59" i="1"/>
  <c r="AJ60" i="1"/>
  <c r="AI60" i="1"/>
  <c r="AH60" i="1"/>
  <c r="AG60" i="1"/>
  <c r="AF60" i="1"/>
  <c r="AD60" i="1"/>
  <c r="AC60" i="1"/>
  <c r="AB60" i="1"/>
  <c r="Y60" i="1"/>
  <c r="X60" i="1"/>
  <c r="W60" i="1"/>
  <c r="V60" i="1"/>
  <c r="U60" i="1"/>
  <c r="AJ61" i="1"/>
  <c r="AI61" i="1"/>
  <c r="AH61" i="1"/>
  <c r="AG61" i="1"/>
  <c r="AF61" i="1"/>
  <c r="AD61" i="1"/>
  <c r="AC61" i="1"/>
  <c r="AB61" i="1"/>
  <c r="Y61" i="1"/>
  <c r="X61" i="1"/>
  <c r="W61" i="1"/>
  <c r="V61" i="1"/>
  <c r="U61" i="1"/>
  <c r="AJ62" i="1"/>
  <c r="AI62" i="1"/>
  <c r="AH62" i="1"/>
  <c r="AG62" i="1"/>
  <c r="AF62" i="1"/>
  <c r="AD62" i="1"/>
  <c r="AC62" i="1"/>
  <c r="AB62" i="1"/>
  <c r="Y62" i="1"/>
  <c r="X62" i="1"/>
  <c r="W62" i="1"/>
  <c r="V62" i="1"/>
  <c r="U62" i="1"/>
  <c r="AJ63" i="1"/>
  <c r="AI63" i="1"/>
  <c r="AH63" i="1"/>
  <c r="AG63" i="1"/>
  <c r="AF63" i="1"/>
  <c r="AD63" i="1"/>
  <c r="AC63" i="1"/>
  <c r="AB63" i="1"/>
  <c r="Y63" i="1"/>
  <c r="X63" i="1"/>
  <c r="W63" i="1"/>
  <c r="V63" i="1"/>
  <c r="U63" i="1"/>
  <c r="AJ64" i="1"/>
  <c r="AI64" i="1"/>
  <c r="AH64" i="1"/>
  <c r="AG64" i="1"/>
  <c r="AF64" i="1"/>
  <c r="AD64" i="1"/>
  <c r="AC64" i="1"/>
  <c r="AB64" i="1"/>
  <c r="Y64" i="1"/>
  <c r="X64" i="1"/>
  <c r="W64" i="1"/>
  <c r="V64" i="1"/>
  <c r="U64" i="1"/>
  <c r="AJ548" i="1"/>
  <c r="AI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AJ549" i="1"/>
  <c r="AI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AJ550" i="1"/>
  <c r="AI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AJ551" i="1"/>
  <c r="AI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AJ552" i="1"/>
  <c r="AI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AJ553" i="1"/>
  <c r="AI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AJ554" i="1"/>
  <c r="AI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AJ1304" i="1"/>
  <c r="AI1304" i="1"/>
  <c r="AG1304" i="1"/>
  <c r="AF1304" i="1"/>
  <c r="AD1304" i="1"/>
  <c r="AC1304" i="1"/>
  <c r="AB1304" i="1"/>
  <c r="Y1304" i="1"/>
  <c r="X1304" i="1"/>
  <c r="W1304" i="1"/>
  <c r="V1304" i="1"/>
  <c r="AJ1305" i="1"/>
  <c r="AI1305" i="1"/>
  <c r="AG1305" i="1"/>
  <c r="AF1305" i="1"/>
  <c r="AD1305" i="1"/>
  <c r="AC1305" i="1"/>
  <c r="AB1305" i="1"/>
  <c r="Y1305" i="1"/>
  <c r="X1305" i="1"/>
  <c r="W1305" i="1"/>
  <c r="V1305" i="1"/>
  <c r="AJ1306" i="1"/>
  <c r="AI1306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AJ1307" i="1"/>
  <c r="AI1307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AJ1308" i="1"/>
  <c r="AI1308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AJ1309" i="1"/>
  <c r="AI1309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AJ1310" i="1"/>
  <c r="AI1310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AJ65" i="1"/>
  <c r="AI65" i="1"/>
  <c r="AG65" i="1"/>
  <c r="AF65" i="1"/>
  <c r="AD65" i="1"/>
  <c r="AC65" i="1"/>
  <c r="AB65" i="1"/>
  <c r="Y65" i="1"/>
  <c r="X65" i="1"/>
  <c r="W65" i="1"/>
  <c r="V65" i="1"/>
  <c r="U65" i="1"/>
  <c r="AJ66" i="1"/>
  <c r="AI66" i="1"/>
  <c r="AG66" i="1"/>
  <c r="AF66" i="1"/>
  <c r="AD66" i="1"/>
  <c r="AC66" i="1"/>
  <c r="AB66" i="1"/>
  <c r="Y66" i="1"/>
  <c r="X66" i="1"/>
  <c r="W66" i="1"/>
  <c r="V66" i="1"/>
  <c r="U66" i="1"/>
  <c r="AJ67" i="1"/>
  <c r="AI67" i="1"/>
  <c r="AG67" i="1"/>
  <c r="AF67" i="1"/>
  <c r="AD67" i="1"/>
  <c r="AC67" i="1"/>
  <c r="AB67" i="1"/>
  <c r="Y67" i="1"/>
  <c r="X67" i="1"/>
  <c r="W67" i="1"/>
  <c r="V67" i="1"/>
  <c r="U67" i="1"/>
  <c r="AJ68" i="1"/>
  <c r="AI68" i="1"/>
  <c r="AG68" i="1"/>
  <c r="AF68" i="1"/>
  <c r="AD68" i="1"/>
  <c r="AC68" i="1"/>
  <c r="AB68" i="1"/>
  <c r="Y68" i="1"/>
  <c r="X68" i="1"/>
  <c r="W68" i="1"/>
  <c r="V68" i="1"/>
  <c r="U68" i="1"/>
  <c r="AJ69" i="1"/>
  <c r="AI69" i="1"/>
  <c r="AG69" i="1"/>
  <c r="AF69" i="1"/>
  <c r="AD69" i="1"/>
  <c r="AC69" i="1"/>
  <c r="AB69" i="1"/>
  <c r="Y69" i="1"/>
  <c r="X69" i="1"/>
  <c r="W69" i="1"/>
  <c r="V69" i="1"/>
  <c r="U69" i="1"/>
  <c r="AJ70" i="1"/>
  <c r="AI70" i="1"/>
  <c r="AG70" i="1"/>
  <c r="AF70" i="1"/>
  <c r="AD70" i="1"/>
  <c r="AC70" i="1"/>
  <c r="AB70" i="1"/>
  <c r="Y70" i="1"/>
  <c r="X70" i="1"/>
  <c r="W70" i="1"/>
  <c r="V70" i="1"/>
  <c r="U70" i="1"/>
  <c r="AJ71" i="1"/>
  <c r="AI71" i="1"/>
  <c r="AG71" i="1"/>
  <c r="AF71" i="1"/>
  <c r="AD71" i="1"/>
  <c r="AC71" i="1"/>
  <c r="AB71" i="1"/>
  <c r="Y71" i="1"/>
  <c r="X71" i="1"/>
  <c r="W71" i="1"/>
  <c r="V71" i="1"/>
  <c r="U71" i="1"/>
  <c r="AJ1255" i="1"/>
  <c r="AI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AJ1256" i="1"/>
  <c r="AI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AJ1257" i="1"/>
  <c r="AI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AJ1258" i="1"/>
  <c r="AI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AJ1259" i="1"/>
  <c r="AI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AJ1260" i="1"/>
  <c r="AI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AJ1261" i="1"/>
  <c r="AI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AJ51" i="1"/>
  <c r="AI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AJ52" i="1"/>
  <c r="AI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AJ53" i="1"/>
  <c r="AI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AJ54" i="1"/>
  <c r="AI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AJ55" i="1"/>
  <c r="AI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AJ56" i="1"/>
  <c r="AI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AJ57" i="1"/>
  <c r="AI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AJ40" i="1"/>
  <c r="AI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AJ41" i="1"/>
  <c r="AI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AJ42" i="1"/>
  <c r="AI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AJ30" i="1"/>
  <c r="AI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AJ31" i="1"/>
  <c r="AI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AJ32" i="1"/>
  <c r="AI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AJ16" i="1"/>
  <c r="AI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AJ17" i="1"/>
  <c r="AI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AJ18" i="1"/>
  <c r="AI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AJ19" i="1"/>
  <c r="AI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AJ20" i="1"/>
  <c r="AI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AJ21" i="1"/>
  <c r="AI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AJ22" i="1"/>
  <c r="AI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AJ85" i="1"/>
  <c r="AI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AJ9" i="1"/>
  <c r="AI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AJ10" i="1"/>
  <c r="AI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AJ11" i="1"/>
  <c r="AI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AJ12" i="1"/>
  <c r="AI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AJ13" i="1"/>
  <c r="AI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AJ14" i="1"/>
  <c r="AI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AJ15" i="1"/>
  <c r="AI15" i="1"/>
  <c r="AG15" i="1"/>
  <c r="AE15" i="1"/>
  <c r="AD15" i="1"/>
  <c r="Z15" i="1"/>
  <c r="X15" i="1"/>
  <c r="W15" i="1"/>
  <c r="V15" i="1"/>
  <c r="U15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0" i="1"/>
  <c r="T1437" i="1"/>
  <c r="T1438" i="1"/>
  <c r="T1439" i="1"/>
  <c r="T1440" i="1"/>
  <c r="T1441" i="1"/>
  <c r="T1442" i="1"/>
  <c r="T1443" i="1"/>
  <c r="T1430" i="1"/>
  <c r="T1431" i="1"/>
  <c r="T1432" i="1"/>
  <c r="T1433" i="1"/>
  <c r="T1434" i="1"/>
  <c r="T1435" i="1"/>
  <c r="T1436" i="1"/>
  <c r="T1423" i="1"/>
  <c r="T1424" i="1"/>
  <c r="T1425" i="1"/>
  <c r="T1426" i="1"/>
  <c r="T1427" i="1"/>
  <c r="T1428" i="1"/>
  <c r="T1429" i="1"/>
  <c r="T331" i="1"/>
  <c r="T332" i="1"/>
  <c r="T333" i="1"/>
  <c r="T334" i="1"/>
  <c r="T335" i="1"/>
  <c r="T336" i="1"/>
  <c r="T337" i="1"/>
  <c r="T1395" i="1"/>
  <c r="T1396" i="1"/>
  <c r="T1397" i="1"/>
  <c r="T1398" i="1"/>
  <c r="T1399" i="1"/>
  <c r="T1400" i="1"/>
  <c r="T1401" i="1"/>
  <c r="T1409" i="1"/>
  <c r="T1410" i="1"/>
  <c r="T1411" i="1"/>
  <c r="T1412" i="1"/>
  <c r="T1413" i="1"/>
  <c r="T1414" i="1"/>
  <c r="T1415" i="1"/>
  <c r="T1402" i="1"/>
  <c r="T1403" i="1"/>
  <c r="T1404" i="1"/>
  <c r="T1405" i="1"/>
  <c r="T1406" i="1"/>
  <c r="T1407" i="1"/>
  <c r="T1408" i="1"/>
  <c r="T1388" i="1"/>
  <c r="T1389" i="1"/>
  <c r="T1390" i="1"/>
  <c r="T1391" i="1"/>
  <c r="T1392" i="1"/>
  <c r="T1393" i="1"/>
  <c r="T1394" i="1"/>
  <c r="T1374" i="1"/>
  <c r="T1375" i="1"/>
  <c r="T1376" i="1"/>
  <c r="T1377" i="1"/>
  <c r="T1378" i="1"/>
  <c r="T1379" i="1"/>
  <c r="T1380" i="1"/>
  <c r="T1367" i="1"/>
  <c r="T1368" i="1"/>
  <c r="T1369" i="1"/>
  <c r="T1370" i="1"/>
  <c r="T1371" i="1"/>
  <c r="T1372" i="1"/>
  <c r="T1373" i="1"/>
  <c r="T1381" i="1"/>
  <c r="T1382" i="1"/>
  <c r="T1383" i="1"/>
  <c r="T1384" i="1"/>
  <c r="T1385" i="1"/>
  <c r="T1386" i="1"/>
  <c r="T1387" i="1"/>
  <c r="T1346" i="1"/>
  <c r="T1347" i="1"/>
  <c r="T1348" i="1"/>
  <c r="T1349" i="1"/>
  <c r="T1350" i="1"/>
  <c r="T1351" i="1"/>
  <c r="T1352" i="1"/>
  <c r="T1332" i="1"/>
  <c r="T1333" i="1"/>
  <c r="T1334" i="1"/>
  <c r="T1335" i="1"/>
  <c r="T1336" i="1"/>
  <c r="T1337" i="1"/>
  <c r="T1338" i="1"/>
  <c r="T1283" i="1"/>
  <c r="T1284" i="1"/>
  <c r="T1285" i="1"/>
  <c r="T1286" i="1"/>
  <c r="T1287" i="1"/>
  <c r="T1288" i="1"/>
  <c r="T1289" i="1"/>
  <c r="T968" i="1"/>
  <c r="T969" i="1"/>
  <c r="T970" i="1"/>
  <c r="T971" i="1"/>
  <c r="T972" i="1"/>
  <c r="T973" i="1"/>
  <c r="T974" i="1"/>
  <c r="T793" i="1"/>
  <c r="T794" i="1"/>
  <c r="T795" i="1"/>
  <c r="T796" i="1"/>
  <c r="T797" i="1"/>
  <c r="T798" i="1"/>
  <c r="T799" i="1"/>
  <c r="T1157" i="1"/>
  <c r="T1158" i="1"/>
  <c r="T1159" i="1"/>
  <c r="T1160" i="1"/>
  <c r="T1161" i="1"/>
  <c r="T1162" i="1"/>
  <c r="T1163" i="1"/>
  <c r="T723" i="1"/>
  <c r="T724" i="1"/>
  <c r="T725" i="1"/>
  <c r="T726" i="1"/>
  <c r="T727" i="1"/>
  <c r="T728" i="1"/>
  <c r="T729" i="1"/>
  <c r="T1122" i="1"/>
  <c r="T1123" i="1"/>
  <c r="T1124" i="1"/>
  <c r="T1125" i="1"/>
  <c r="T1126" i="1"/>
  <c r="T1127" i="1"/>
  <c r="T1128" i="1"/>
  <c r="T268" i="1"/>
  <c r="T269" i="1"/>
  <c r="T270" i="1"/>
  <c r="T271" i="1"/>
  <c r="T272" i="1"/>
  <c r="T273" i="1"/>
  <c r="T274" i="1"/>
  <c r="T121" i="1"/>
  <c r="T122" i="1"/>
  <c r="T123" i="1"/>
  <c r="T124" i="1"/>
  <c r="T125" i="1"/>
  <c r="T126" i="1"/>
  <c r="T127" i="1"/>
  <c r="T800" i="1"/>
  <c r="T801" i="1"/>
  <c r="T802" i="1"/>
  <c r="T803" i="1"/>
  <c r="T804" i="1"/>
  <c r="T805" i="1"/>
  <c r="T806" i="1"/>
  <c r="T1311" i="1"/>
  <c r="T1312" i="1"/>
  <c r="T1313" i="1"/>
  <c r="T1314" i="1"/>
  <c r="T1315" i="1"/>
  <c r="T1316" i="1"/>
  <c r="T1317" i="1"/>
  <c r="T1325" i="1"/>
  <c r="T1326" i="1"/>
  <c r="T1327" i="1"/>
  <c r="T1328" i="1"/>
  <c r="T1329" i="1"/>
  <c r="T1330" i="1"/>
  <c r="T1331" i="1"/>
  <c r="T1353" i="1"/>
  <c r="T1354" i="1"/>
  <c r="T1355" i="1"/>
  <c r="T1356" i="1"/>
  <c r="T1357" i="1"/>
  <c r="T1358" i="1"/>
  <c r="T1359" i="1"/>
  <c r="T1297" i="1"/>
  <c r="T1298" i="1"/>
  <c r="T1299" i="1"/>
  <c r="T1300" i="1"/>
  <c r="T1301" i="1"/>
  <c r="T1302" i="1"/>
  <c r="T1303" i="1"/>
  <c r="T1339" i="1"/>
  <c r="T1340" i="1"/>
  <c r="T1341" i="1"/>
  <c r="T1342" i="1"/>
  <c r="T1343" i="1"/>
  <c r="T1344" i="1"/>
  <c r="T1345" i="1"/>
  <c r="T1290" i="1"/>
  <c r="T1291" i="1"/>
  <c r="T1292" i="1"/>
  <c r="T1293" i="1"/>
  <c r="T1294" i="1"/>
  <c r="T1295" i="1"/>
  <c r="T1296" i="1"/>
  <c r="T1031" i="1"/>
  <c r="T1032" i="1"/>
  <c r="T1033" i="1"/>
  <c r="T1034" i="1"/>
  <c r="T1035" i="1"/>
  <c r="T1036" i="1"/>
  <c r="T1037" i="1"/>
  <c r="T1276" i="1"/>
  <c r="T1277" i="1"/>
  <c r="T1278" i="1"/>
  <c r="T1279" i="1"/>
  <c r="T1280" i="1"/>
  <c r="T1281" i="1"/>
  <c r="T1282" i="1"/>
  <c r="T1269" i="1"/>
  <c r="T1270" i="1"/>
  <c r="T1271" i="1"/>
  <c r="T1272" i="1"/>
  <c r="T1273" i="1"/>
  <c r="T1274" i="1"/>
  <c r="T1275" i="1"/>
  <c r="T1199" i="1"/>
  <c r="T1200" i="1"/>
  <c r="T1201" i="1"/>
  <c r="T1202" i="1"/>
  <c r="T1203" i="1"/>
  <c r="T1204" i="1"/>
  <c r="T1205" i="1"/>
  <c r="T1234" i="1"/>
  <c r="T1235" i="1"/>
  <c r="T1236" i="1"/>
  <c r="T1237" i="1"/>
  <c r="T1238" i="1"/>
  <c r="T1239" i="1"/>
  <c r="T1240" i="1"/>
  <c r="T1171" i="1"/>
  <c r="T1172" i="1"/>
  <c r="T1173" i="1"/>
  <c r="T1174" i="1"/>
  <c r="T1175" i="1"/>
  <c r="T1176" i="1"/>
  <c r="T1177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185" i="1"/>
  <c r="T1186" i="1"/>
  <c r="T1187" i="1"/>
  <c r="T1188" i="1"/>
  <c r="T1189" i="1"/>
  <c r="T1190" i="1"/>
  <c r="T1191" i="1"/>
  <c r="T1220" i="1"/>
  <c r="T1221" i="1"/>
  <c r="T1222" i="1"/>
  <c r="T1223" i="1"/>
  <c r="T1224" i="1"/>
  <c r="T1225" i="1"/>
  <c r="T1226" i="1"/>
  <c r="T380" i="1"/>
  <c r="T381" i="1"/>
  <c r="T382" i="1"/>
  <c r="T383" i="1"/>
  <c r="T384" i="1"/>
  <c r="T385" i="1"/>
  <c r="T386" i="1"/>
  <c r="T1227" i="1"/>
  <c r="T1228" i="1"/>
  <c r="T1229" i="1"/>
  <c r="T1230" i="1"/>
  <c r="T1231" i="1"/>
  <c r="T1232" i="1"/>
  <c r="T1233" i="1"/>
  <c r="T1178" i="1"/>
  <c r="T1179" i="1"/>
  <c r="T1180" i="1"/>
  <c r="T1181" i="1"/>
  <c r="T1182" i="1"/>
  <c r="T1183" i="1"/>
  <c r="T1184" i="1"/>
  <c r="T1241" i="1"/>
  <c r="T1242" i="1"/>
  <c r="T1243" i="1"/>
  <c r="T1244" i="1"/>
  <c r="T1245" i="1"/>
  <c r="T1246" i="1"/>
  <c r="T1247" i="1"/>
  <c r="T1192" i="1"/>
  <c r="T1193" i="1"/>
  <c r="T1194" i="1"/>
  <c r="T1195" i="1"/>
  <c r="T1196" i="1"/>
  <c r="T1197" i="1"/>
  <c r="T1198" i="1"/>
  <c r="T1143" i="1"/>
  <c r="T1144" i="1"/>
  <c r="T1145" i="1"/>
  <c r="T1146" i="1"/>
  <c r="T1147" i="1"/>
  <c r="T1148" i="1"/>
  <c r="T1149" i="1"/>
  <c r="T1073" i="1"/>
  <c r="T1074" i="1"/>
  <c r="T1075" i="1"/>
  <c r="T1076" i="1"/>
  <c r="T1077" i="1"/>
  <c r="T1078" i="1"/>
  <c r="T1079" i="1"/>
  <c r="T1094" i="1"/>
  <c r="T1095" i="1"/>
  <c r="T1096" i="1"/>
  <c r="T1097" i="1"/>
  <c r="T1098" i="1"/>
  <c r="T1099" i="1"/>
  <c r="T1100" i="1"/>
  <c r="T1129" i="1"/>
  <c r="T1130" i="1"/>
  <c r="T1131" i="1"/>
  <c r="T1132" i="1"/>
  <c r="T1133" i="1"/>
  <c r="T1134" i="1"/>
  <c r="T1135" i="1"/>
  <c r="T625" i="1"/>
  <c r="T626" i="1"/>
  <c r="T627" i="1"/>
  <c r="T628" i="1"/>
  <c r="T629" i="1"/>
  <c r="T630" i="1"/>
  <c r="T631" i="1"/>
  <c r="T1066" i="1"/>
  <c r="T1067" i="1"/>
  <c r="T1068" i="1"/>
  <c r="T1069" i="1"/>
  <c r="T1070" i="1"/>
  <c r="T1071" i="1"/>
  <c r="T1072" i="1"/>
  <c r="T1115" i="1"/>
  <c r="T1116" i="1"/>
  <c r="T1117" i="1"/>
  <c r="T1118" i="1"/>
  <c r="T1119" i="1"/>
  <c r="T1120" i="1"/>
  <c r="T1121" i="1"/>
  <c r="T345" i="1"/>
  <c r="T346" i="1"/>
  <c r="T347" i="1"/>
  <c r="T348" i="1"/>
  <c r="T349" i="1"/>
  <c r="T350" i="1"/>
  <c r="T351" i="1"/>
  <c r="T1087" i="1"/>
  <c r="T1088" i="1"/>
  <c r="T1089" i="1"/>
  <c r="T1090" i="1"/>
  <c r="T1091" i="1"/>
  <c r="T1092" i="1"/>
  <c r="T1093" i="1"/>
  <c r="T1059" i="1"/>
  <c r="T1060" i="1"/>
  <c r="T1061" i="1"/>
  <c r="T1062" i="1"/>
  <c r="T1063" i="1"/>
  <c r="T1064" i="1"/>
  <c r="T1065" i="1"/>
  <c r="T1101" i="1"/>
  <c r="T1102" i="1"/>
  <c r="T1103" i="1"/>
  <c r="T1104" i="1"/>
  <c r="T1105" i="1"/>
  <c r="T1106" i="1"/>
  <c r="T1107" i="1"/>
  <c r="T1150" i="1"/>
  <c r="T1151" i="1"/>
  <c r="T1152" i="1"/>
  <c r="T1153" i="1"/>
  <c r="T1154" i="1"/>
  <c r="T1155" i="1"/>
  <c r="T1156" i="1"/>
  <c r="T1108" i="1"/>
  <c r="T1109" i="1"/>
  <c r="T1110" i="1"/>
  <c r="T1111" i="1"/>
  <c r="T1112" i="1"/>
  <c r="T1113" i="1"/>
  <c r="T1114" i="1"/>
  <c r="T1136" i="1"/>
  <c r="T1137" i="1"/>
  <c r="T1138" i="1"/>
  <c r="T1139" i="1"/>
  <c r="T1140" i="1"/>
  <c r="T1141" i="1"/>
  <c r="T1142" i="1"/>
  <c r="T226" i="1"/>
  <c r="T227" i="1"/>
  <c r="T228" i="1"/>
  <c r="T229" i="1"/>
  <c r="T230" i="1"/>
  <c r="T231" i="1"/>
  <c r="T232" i="1"/>
  <c r="T1052" i="1"/>
  <c r="T1053" i="1"/>
  <c r="T1054" i="1"/>
  <c r="T1055" i="1"/>
  <c r="T1056" i="1"/>
  <c r="T1057" i="1"/>
  <c r="T1058" i="1"/>
  <c r="T534" i="1"/>
  <c r="T535" i="1"/>
  <c r="T536" i="1"/>
  <c r="T537" i="1"/>
  <c r="T538" i="1"/>
  <c r="T539" i="1"/>
  <c r="T540" i="1"/>
  <c r="T1038" i="1"/>
  <c r="T1039" i="1"/>
  <c r="T1040" i="1"/>
  <c r="T1041" i="1"/>
  <c r="T1042" i="1"/>
  <c r="T1043" i="1"/>
  <c r="T1044" i="1"/>
  <c r="T1024" i="1"/>
  <c r="T1025" i="1"/>
  <c r="T1026" i="1"/>
  <c r="T1027" i="1"/>
  <c r="T1028" i="1"/>
  <c r="T1029" i="1"/>
  <c r="T1030" i="1"/>
  <c r="T1017" i="1"/>
  <c r="T1018" i="1"/>
  <c r="T1019" i="1"/>
  <c r="T1020" i="1"/>
  <c r="T1021" i="1"/>
  <c r="T1022" i="1"/>
  <c r="T1023" i="1"/>
  <c r="T1010" i="1"/>
  <c r="T1011" i="1"/>
  <c r="T1012" i="1"/>
  <c r="T1013" i="1"/>
  <c r="T1014" i="1"/>
  <c r="T1015" i="1"/>
  <c r="T1016" i="1"/>
  <c r="T1003" i="1"/>
  <c r="T1004" i="1"/>
  <c r="T1005" i="1"/>
  <c r="T1006" i="1"/>
  <c r="T1007" i="1"/>
  <c r="T1008" i="1"/>
  <c r="T1009" i="1"/>
  <c r="T996" i="1"/>
  <c r="T997" i="1"/>
  <c r="T998" i="1"/>
  <c r="T999" i="1"/>
  <c r="T1000" i="1"/>
  <c r="T1001" i="1"/>
  <c r="T1002" i="1"/>
  <c r="T989" i="1"/>
  <c r="T990" i="1"/>
  <c r="T991" i="1"/>
  <c r="T992" i="1"/>
  <c r="T993" i="1"/>
  <c r="T994" i="1"/>
  <c r="T995" i="1"/>
  <c r="T982" i="1"/>
  <c r="T983" i="1"/>
  <c r="T984" i="1"/>
  <c r="T985" i="1"/>
  <c r="T986" i="1"/>
  <c r="T987" i="1"/>
  <c r="T988" i="1"/>
  <c r="T975" i="1"/>
  <c r="T976" i="1"/>
  <c r="T977" i="1"/>
  <c r="T978" i="1"/>
  <c r="T979" i="1"/>
  <c r="T980" i="1"/>
  <c r="T981" i="1"/>
  <c r="T961" i="1"/>
  <c r="T962" i="1"/>
  <c r="T963" i="1"/>
  <c r="T964" i="1"/>
  <c r="T965" i="1"/>
  <c r="T966" i="1"/>
  <c r="T967" i="1"/>
  <c r="T954" i="1"/>
  <c r="T955" i="1"/>
  <c r="T956" i="1"/>
  <c r="T957" i="1"/>
  <c r="T958" i="1"/>
  <c r="T959" i="1"/>
  <c r="T960" i="1"/>
  <c r="T933" i="1"/>
  <c r="T934" i="1"/>
  <c r="T935" i="1"/>
  <c r="T936" i="1"/>
  <c r="T937" i="1"/>
  <c r="T938" i="1"/>
  <c r="T939" i="1"/>
  <c r="T947" i="1"/>
  <c r="T948" i="1"/>
  <c r="T949" i="1"/>
  <c r="T950" i="1"/>
  <c r="T951" i="1"/>
  <c r="T952" i="1"/>
  <c r="T953" i="1"/>
  <c r="T919" i="1"/>
  <c r="T920" i="1"/>
  <c r="T921" i="1"/>
  <c r="T922" i="1"/>
  <c r="T923" i="1"/>
  <c r="T924" i="1"/>
  <c r="T925" i="1"/>
  <c r="T898" i="1"/>
  <c r="T899" i="1"/>
  <c r="T900" i="1"/>
  <c r="T901" i="1"/>
  <c r="T902" i="1"/>
  <c r="T903" i="1"/>
  <c r="T904" i="1"/>
  <c r="T891" i="1"/>
  <c r="T892" i="1"/>
  <c r="T893" i="1"/>
  <c r="T894" i="1"/>
  <c r="T895" i="1"/>
  <c r="T896" i="1"/>
  <c r="T897" i="1"/>
  <c r="T884" i="1"/>
  <c r="T885" i="1"/>
  <c r="T886" i="1"/>
  <c r="T887" i="1"/>
  <c r="T888" i="1"/>
  <c r="T889" i="1"/>
  <c r="T890" i="1"/>
  <c r="T940" i="1"/>
  <c r="T941" i="1"/>
  <c r="T942" i="1"/>
  <c r="T943" i="1"/>
  <c r="T944" i="1"/>
  <c r="T945" i="1"/>
  <c r="T946" i="1"/>
  <c r="T905" i="1"/>
  <c r="T906" i="1"/>
  <c r="T907" i="1"/>
  <c r="T908" i="1"/>
  <c r="T909" i="1"/>
  <c r="T910" i="1"/>
  <c r="T911" i="1"/>
  <c r="T877" i="1"/>
  <c r="T878" i="1"/>
  <c r="T879" i="1"/>
  <c r="T880" i="1"/>
  <c r="T881" i="1"/>
  <c r="T882" i="1"/>
  <c r="T883" i="1"/>
  <c r="T856" i="1"/>
  <c r="T857" i="1"/>
  <c r="T858" i="1"/>
  <c r="T859" i="1"/>
  <c r="T860" i="1"/>
  <c r="T861" i="1"/>
  <c r="T862" i="1"/>
  <c r="T611" i="1"/>
  <c r="T612" i="1"/>
  <c r="T613" i="1"/>
  <c r="T614" i="1"/>
  <c r="T615" i="1"/>
  <c r="T616" i="1"/>
  <c r="T617" i="1"/>
  <c r="T814" i="1"/>
  <c r="T815" i="1"/>
  <c r="T816" i="1"/>
  <c r="T817" i="1"/>
  <c r="T818" i="1"/>
  <c r="T819" i="1"/>
  <c r="T820" i="1"/>
  <c r="T1164" i="1"/>
  <c r="T1165" i="1"/>
  <c r="T1166" i="1"/>
  <c r="T1167" i="1"/>
  <c r="T1168" i="1"/>
  <c r="T1169" i="1"/>
  <c r="T1170" i="1"/>
  <c r="T821" i="1"/>
  <c r="T822" i="1"/>
  <c r="T823" i="1"/>
  <c r="T824" i="1"/>
  <c r="T825" i="1"/>
  <c r="T826" i="1"/>
  <c r="T827" i="1"/>
  <c r="T842" i="1"/>
  <c r="T843" i="1"/>
  <c r="T844" i="1"/>
  <c r="T845" i="1"/>
  <c r="T846" i="1"/>
  <c r="T847" i="1"/>
  <c r="T848" i="1"/>
  <c r="T786" i="1"/>
  <c r="T787" i="1"/>
  <c r="T788" i="1"/>
  <c r="T789" i="1"/>
  <c r="T790" i="1"/>
  <c r="T791" i="1"/>
  <c r="T792" i="1"/>
  <c r="T779" i="1"/>
  <c r="T780" i="1"/>
  <c r="T781" i="1"/>
  <c r="T782" i="1"/>
  <c r="T783" i="1"/>
  <c r="T784" i="1"/>
  <c r="T785" i="1"/>
  <c r="T772" i="1"/>
  <c r="T773" i="1"/>
  <c r="T774" i="1"/>
  <c r="T775" i="1"/>
  <c r="T776" i="1"/>
  <c r="T777" i="1"/>
  <c r="T778" i="1"/>
  <c r="T870" i="1"/>
  <c r="T871" i="1"/>
  <c r="T872" i="1"/>
  <c r="T873" i="1"/>
  <c r="T874" i="1"/>
  <c r="T875" i="1"/>
  <c r="T876" i="1"/>
  <c r="T1318" i="1"/>
  <c r="T1319" i="1"/>
  <c r="T1320" i="1"/>
  <c r="T1321" i="1"/>
  <c r="T1322" i="1"/>
  <c r="T1323" i="1"/>
  <c r="T1324" i="1"/>
  <c r="T86" i="1"/>
  <c r="T87" i="1"/>
  <c r="T88" i="1"/>
  <c r="T89" i="1"/>
  <c r="T90" i="1"/>
  <c r="T91" i="1"/>
  <c r="T92" i="1"/>
  <c r="T835" i="1"/>
  <c r="T836" i="1"/>
  <c r="T837" i="1"/>
  <c r="T838" i="1"/>
  <c r="T839" i="1"/>
  <c r="T840" i="1"/>
  <c r="T841" i="1"/>
  <c r="T807" i="1"/>
  <c r="T808" i="1"/>
  <c r="T809" i="1"/>
  <c r="T810" i="1"/>
  <c r="T811" i="1"/>
  <c r="T812" i="1"/>
  <c r="T813" i="1"/>
  <c r="T254" i="1"/>
  <c r="T255" i="1"/>
  <c r="T256" i="1"/>
  <c r="T257" i="1"/>
  <c r="T258" i="1"/>
  <c r="T259" i="1"/>
  <c r="T260" i="1"/>
  <c r="T93" i="1"/>
  <c r="T94" i="1"/>
  <c r="T95" i="1"/>
  <c r="T96" i="1"/>
  <c r="T97" i="1"/>
  <c r="T98" i="1"/>
  <c r="T99" i="1"/>
  <c r="T758" i="1"/>
  <c r="T759" i="1"/>
  <c r="T760" i="1"/>
  <c r="T761" i="1"/>
  <c r="T762" i="1"/>
  <c r="T763" i="1"/>
  <c r="T764" i="1"/>
  <c r="T849" i="1"/>
  <c r="T850" i="1"/>
  <c r="T851" i="1"/>
  <c r="T852" i="1"/>
  <c r="T853" i="1"/>
  <c r="T854" i="1"/>
  <c r="T855" i="1"/>
  <c r="T863" i="1"/>
  <c r="T864" i="1"/>
  <c r="T865" i="1"/>
  <c r="T866" i="1"/>
  <c r="T867" i="1"/>
  <c r="T868" i="1"/>
  <c r="T869" i="1"/>
  <c r="T765" i="1"/>
  <c r="T766" i="1"/>
  <c r="T767" i="1"/>
  <c r="T768" i="1"/>
  <c r="T769" i="1"/>
  <c r="T770" i="1"/>
  <c r="T771" i="1"/>
  <c r="T737" i="1"/>
  <c r="T738" i="1"/>
  <c r="T739" i="1"/>
  <c r="T740" i="1"/>
  <c r="T741" i="1"/>
  <c r="T742" i="1"/>
  <c r="T743" i="1"/>
  <c r="T373" i="1"/>
  <c r="T374" i="1"/>
  <c r="T375" i="1"/>
  <c r="T376" i="1"/>
  <c r="T377" i="1"/>
  <c r="T378" i="1"/>
  <c r="T379" i="1"/>
  <c r="T702" i="1"/>
  <c r="T703" i="1"/>
  <c r="T704" i="1"/>
  <c r="T705" i="1"/>
  <c r="T706" i="1"/>
  <c r="T707" i="1"/>
  <c r="T708" i="1"/>
  <c r="T751" i="1"/>
  <c r="T752" i="1"/>
  <c r="T753" i="1"/>
  <c r="T754" i="1"/>
  <c r="T755" i="1"/>
  <c r="T756" i="1"/>
  <c r="T757" i="1"/>
  <c r="T1360" i="1"/>
  <c r="T1361" i="1"/>
  <c r="T1362" i="1"/>
  <c r="T1363" i="1"/>
  <c r="T1364" i="1"/>
  <c r="T1365" i="1"/>
  <c r="T1366" i="1"/>
  <c r="T695" i="1"/>
  <c r="T696" i="1"/>
  <c r="T697" i="1"/>
  <c r="T698" i="1"/>
  <c r="T699" i="1"/>
  <c r="T700" i="1"/>
  <c r="T701" i="1"/>
  <c r="T716" i="1"/>
  <c r="T717" i="1"/>
  <c r="T718" i="1"/>
  <c r="T719" i="1"/>
  <c r="T720" i="1"/>
  <c r="T721" i="1"/>
  <c r="T722" i="1"/>
  <c r="T709" i="1"/>
  <c r="T710" i="1"/>
  <c r="T711" i="1"/>
  <c r="T712" i="1"/>
  <c r="T713" i="1"/>
  <c r="T714" i="1"/>
  <c r="T715" i="1"/>
  <c r="T744" i="1"/>
  <c r="T745" i="1"/>
  <c r="T746" i="1"/>
  <c r="T747" i="1"/>
  <c r="T748" i="1"/>
  <c r="T749" i="1"/>
  <c r="T750" i="1"/>
  <c r="T688" i="1"/>
  <c r="T689" i="1"/>
  <c r="T690" i="1"/>
  <c r="T691" i="1"/>
  <c r="T692" i="1"/>
  <c r="T693" i="1"/>
  <c r="T694" i="1"/>
  <c r="T681" i="1"/>
  <c r="T682" i="1"/>
  <c r="T683" i="1"/>
  <c r="T684" i="1"/>
  <c r="T685" i="1"/>
  <c r="T686" i="1"/>
  <c r="T687" i="1"/>
  <c r="T730" i="1"/>
  <c r="T731" i="1"/>
  <c r="T732" i="1"/>
  <c r="T733" i="1"/>
  <c r="T734" i="1"/>
  <c r="T735" i="1"/>
  <c r="T736" i="1"/>
  <c r="T674" i="1"/>
  <c r="T675" i="1"/>
  <c r="T676" i="1"/>
  <c r="T677" i="1"/>
  <c r="T678" i="1"/>
  <c r="T679" i="1"/>
  <c r="T680" i="1"/>
  <c r="T667" i="1"/>
  <c r="T668" i="1"/>
  <c r="T669" i="1"/>
  <c r="T670" i="1"/>
  <c r="T671" i="1"/>
  <c r="T672" i="1"/>
  <c r="T673" i="1"/>
  <c r="T660" i="1"/>
  <c r="T661" i="1"/>
  <c r="T662" i="1"/>
  <c r="T663" i="1"/>
  <c r="T664" i="1"/>
  <c r="T665" i="1"/>
  <c r="T666" i="1"/>
  <c r="T114" i="1"/>
  <c r="T115" i="1"/>
  <c r="T116" i="1"/>
  <c r="T117" i="1"/>
  <c r="T118" i="1"/>
  <c r="T119" i="1"/>
  <c r="T120" i="1"/>
  <c r="T653" i="1"/>
  <c r="T654" i="1"/>
  <c r="T655" i="1"/>
  <c r="T656" i="1"/>
  <c r="T657" i="1"/>
  <c r="T658" i="1"/>
  <c r="T659" i="1"/>
  <c r="T646" i="1"/>
  <c r="T647" i="1"/>
  <c r="T648" i="1"/>
  <c r="T649" i="1"/>
  <c r="T650" i="1"/>
  <c r="T651" i="1"/>
  <c r="T652" i="1"/>
  <c r="T639" i="1"/>
  <c r="T640" i="1"/>
  <c r="T641" i="1"/>
  <c r="T642" i="1"/>
  <c r="T643" i="1"/>
  <c r="T644" i="1"/>
  <c r="T645" i="1"/>
  <c r="T632" i="1"/>
  <c r="T633" i="1"/>
  <c r="T634" i="1"/>
  <c r="T635" i="1"/>
  <c r="T636" i="1"/>
  <c r="T637" i="1"/>
  <c r="T638" i="1"/>
  <c r="T604" i="1"/>
  <c r="T605" i="1"/>
  <c r="T606" i="1"/>
  <c r="T607" i="1"/>
  <c r="T608" i="1"/>
  <c r="T609" i="1"/>
  <c r="T610" i="1"/>
  <c r="T324" i="1"/>
  <c r="T325" i="1"/>
  <c r="T326" i="1"/>
  <c r="T327" i="1"/>
  <c r="T328" i="1"/>
  <c r="T329" i="1"/>
  <c r="T330" i="1"/>
  <c r="T597" i="1"/>
  <c r="T598" i="1"/>
  <c r="T599" i="1"/>
  <c r="T600" i="1"/>
  <c r="T601" i="1"/>
  <c r="T602" i="1"/>
  <c r="T603" i="1"/>
  <c r="T583" i="1"/>
  <c r="T584" i="1"/>
  <c r="T585" i="1"/>
  <c r="T586" i="1"/>
  <c r="T587" i="1"/>
  <c r="T588" i="1"/>
  <c r="T589" i="1"/>
  <c r="T366" i="1"/>
  <c r="T367" i="1"/>
  <c r="T368" i="1"/>
  <c r="T369" i="1"/>
  <c r="T370" i="1"/>
  <c r="T371" i="1"/>
  <c r="T372" i="1"/>
  <c r="T590" i="1"/>
  <c r="T591" i="1"/>
  <c r="T592" i="1"/>
  <c r="T593" i="1"/>
  <c r="T594" i="1"/>
  <c r="T595" i="1"/>
  <c r="T596" i="1"/>
  <c r="T926" i="1"/>
  <c r="T927" i="1"/>
  <c r="T928" i="1"/>
  <c r="T929" i="1"/>
  <c r="T930" i="1"/>
  <c r="T931" i="1"/>
  <c r="T932" i="1"/>
  <c r="T576" i="1"/>
  <c r="T577" i="1"/>
  <c r="T578" i="1"/>
  <c r="T579" i="1"/>
  <c r="T580" i="1"/>
  <c r="T581" i="1"/>
  <c r="T582" i="1"/>
  <c r="T618" i="1"/>
  <c r="T619" i="1"/>
  <c r="T620" i="1"/>
  <c r="T621" i="1"/>
  <c r="T622" i="1"/>
  <c r="T623" i="1"/>
  <c r="T624" i="1"/>
  <c r="T569" i="1"/>
  <c r="T570" i="1"/>
  <c r="T571" i="1"/>
  <c r="T572" i="1"/>
  <c r="T573" i="1"/>
  <c r="T574" i="1"/>
  <c r="T575" i="1"/>
  <c r="T562" i="1"/>
  <c r="T563" i="1"/>
  <c r="T564" i="1"/>
  <c r="T565" i="1"/>
  <c r="T566" i="1"/>
  <c r="T567" i="1"/>
  <c r="T568" i="1"/>
  <c r="T912" i="1"/>
  <c r="T913" i="1"/>
  <c r="T914" i="1"/>
  <c r="T915" i="1"/>
  <c r="T916" i="1"/>
  <c r="T917" i="1"/>
  <c r="T918" i="1"/>
  <c r="T520" i="1"/>
  <c r="T521" i="1"/>
  <c r="T522" i="1"/>
  <c r="T523" i="1"/>
  <c r="T524" i="1"/>
  <c r="T525" i="1"/>
  <c r="T526" i="1"/>
  <c r="T1416" i="1"/>
  <c r="T1417" i="1"/>
  <c r="T1418" i="1"/>
  <c r="T1419" i="1"/>
  <c r="T1420" i="1"/>
  <c r="T1421" i="1"/>
  <c r="T1422" i="1"/>
  <c r="T527" i="1"/>
  <c r="T528" i="1"/>
  <c r="T529" i="1"/>
  <c r="T530" i="1"/>
  <c r="T531" i="1"/>
  <c r="T532" i="1"/>
  <c r="T533" i="1"/>
  <c r="T513" i="1"/>
  <c r="T514" i="1"/>
  <c r="T515" i="1"/>
  <c r="T516" i="1"/>
  <c r="T517" i="1"/>
  <c r="T518" i="1"/>
  <c r="T519" i="1"/>
  <c r="T499" i="1"/>
  <c r="T500" i="1"/>
  <c r="T501" i="1"/>
  <c r="T502" i="1"/>
  <c r="T503" i="1"/>
  <c r="T504" i="1"/>
  <c r="T505" i="1"/>
  <c r="T492" i="1"/>
  <c r="T493" i="1"/>
  <c r="T494" i="1"/>
  <c r="T495" i="1"/>
  <c r="T496" i="1"/>
  <c r="T497" i="1"/>
  <c r="T498" i="1"/>
  <c r="T506" i="1"/>
  <c r="T507" i="1"/>
  <c r="T508" i="1"/>
  <c r="T509" i="1"/>
  <c r="T510" i="1"/>
  <c r="T511" i="1"/>
  <c r="T512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1262" i="1"/>
  <c r="T1263" i="1"/>
  <c r="T1264" i="1"/>
  <c r="T1265" i="1"/>
  <c r="T1266" i="1"/>
  <c r="T1267" i="1"/>
  <c r="T1268" i="1"/>
  <c r="T450" i="1"/>
  <c r="T451" i="1"/>
  <c r="T452" i="1"/>
  <c r="T453" i="1"/>
  <c r="T454" i="1"/>
  <c r="T455" i="1"/>
  <c r="T456" i="1"/>
  <c r="T443" i="1"/>
  <c r="T444" i="1"/>
  <c r="T445" i="1"/>
  <c r="T446" i="1"/>
  <c r="T447" i="1"/>
  <c r="T448" i="1"/>
  <c r="T449" i="1"/>
  <c r="T401" i="1"/>
  <c r="T402" i="1"/>
  <c r="T403" i="1"/>
  <c r="T404" i="1"/>
  <c r="T405" i="1"/>
  <c r="T406" i="1"/>
  <c r="T407" i="1"/>
  <c r="T436" i="1"/>
  <c r="T437" i="1"/>
  <c r="T438" i="1"/>
  <c r="T439" i="1"/>
  <c r="T440" i="1"/>
  <c r="T441" i="1"/>
  <c r="T442" i="1"/>
  <c r="T429" i="1"/>
  <c r="T430" i="1"/>
  <c r="T431" i="1"/>
  <c r="T432" i="1"/>
  <c r="T433" i="1"/>
  <c r="T434" i="1"/>
  <c r="T435" i="1"/>
  <c r="T464" i="1"/>
  <c r="T465" i="1"/>
  <c r="T466" i="1"/>
  <c r="T467" i="1"/>
  <c r="T468" i="1"/>
  <c r="T469" i="1"/>
  <c r="T470" i="1"/>
  <c r="T1248" i="1"/>
  <c r="T1249" i="1"/>
  <c r="T1250" i="1"/>
  <c r="T1251" i="1"/>
  <c r="T1252" i="1"/>
  <c r="T1253" i="1"/>
  <c r="T1254" i="1"/>
  <c r="T359" i="1"/>
  <c r="T360" i="1"/>
  <c r="T361" i="1"/>
  <c r="T362" i="1"/>
  <c r="T363" i="1"/>
  <c r="T364" i="1"/>
  <c r="T365" i="1"/>
  <c r="T338" i="1"/>
  <c r="T339" i="1"/>
  <c r="T340" i="1"/>
  <c r="T341" i="1"/>
  <c r="T342" i="1"/>
  <c r="T343" i="1"/>
  <c r="T344" i="1"/>
  <c r="T317" i="1"/>
  <c r="T318" i="1"/>
  <c r="T319" i="1"/>
  <c r="T320" i="1"/>
  <c r="T321" i="1"/>
  <c r="T322" i="1"/>
  <c r="T323" i="1"/>
  <c r="T261" i="1"/>
  <c r="T262" i="1"/>
  <c r="T263" i="1"/>
  <c r="T264" i="1"/>
  <c r="T265" i="1"/>
  <c r="T266" i="1"/>
  <c r="T267" i="1"/>
  <c r="T457" i="1"/>
  <c r="T458" i="1"/>
  <c r="T459" i="1"/>
  <c r="T460" i="1"/>
  <c r="T461" i="1"/>
  <c r="T462" i="1"/>
  <c r="T463" i="1"/>
  <c r="T1045" i="1"/>
  <c r="T1046" i="1"/>
  <c r="T1047" i="1"/>
  <c r="T1048" i="1"/>
  <c r="T1049" i="1"/>
  <c r="T1050" i="1"/>
  <c r="T1051" i="1"/>
  <c r="T1080" i="1"/>
  <c r="T1081" i="1"/>
  <c r="T1082" i="1"/>
  <c r="T1083" i="1"/>
  <c r="T1084" i="1"/>
  <c r="T1085" i="1"/>
  <c r="T1086" i="1"/>
  <c r="T828" i="1"/>
  <c r="T829" i="1"/>
  <c r="T830" i="1"/>
  <c r="T831" i="1"/>
  <c r="T832" i="1"/>
  <c r="T833" i="1"/>
  <c r="T834" i="1"/>
  <c r="T282" i="1"/>
  <c r="T283" i="1"/>
  <c r="T284" i="1"/>
  <c r="T285" i="1"/>
  <c r="T286" i="1"/>
  <c r="T287" i="1"/>
  <c r="T288" i="1"/>
  <c r="T394" i="1"/>
  <c r="T395" i="1"/>
  <c r="T396" i="1"/>
  <c r="T397" i="1"/>
  <c r="T398" i="1"/>
  <c r="T399" i="1"/>
  <c r="T400" i="1"/>
  <c r="T387" i="1"/>
  <c r="T388" i="1"/>
  <c r="T389" i="1"/>
  <c r="T390" i="1"/>
  <c r="T391" i="1"/>
  <c r="T392" i="1"/>
  <c r="T393" i="1"/>
  <c r="T310" i="1"/>
  <c r="T311" i="1"/>
  <c r="T312" i="1"/>
  <c r="T313" i="1"/>
  <c r="T314" i="1"/>
  <c r="T315" i="1"/>
  <c r="T316" i="1"/>
  <c r="T289" i="1"/>
  <c r="T290" i="1"/>
  <c r="T291" i="1"/>
  <c r="T292" i="1"/>
  <c r="T293" i="1"/>
  <c r="T294" i="1"/>
  <c r="T295" i="1"/>
  <c r="T275" i="1"/>
  <c r="T276" i="1"/>
  <c r="T277" i="1"/>
  <c r="T278" i="1"/>
  <c r="T279" i="1"/>
  <c r="T280" i="1"/>
  <c r="T281" i="1"/>
  <c r="T555" i="1"/>
  <c r="T556" i="1"/>
  <c r="T557" i="1"/>
  <c r="T558" i="1"/>
  <c r="T559" i="1"/>
  <c r="T560" i="1"/>
  <c r="T561" i="1"/>
  <c r="T541" i="1"/>
  <c r="T542" i="1"/>
  <c r="T543" i="1"/>
  <c r="T544" i="1"/>
  <c r="T545" i="1"/>
  <c r="T546" i="1"/>
  <c r="T547" i="1"/>
  <c r="T247" i="1"/>
  <c r="T248" i="1"/>
  <c r="T249" i="1"/>
  <c r="T250" i="1"/>
  <c r="T251" i="1"/>
  <c r="T252" i="1"/>
  <c r="T253" i="1"/>
  <c r="T191" i="1"/>
  <c r="T192" i="1"/>
  <c r="T193" i="1"/>
  <c r="T194" i="1"/>
  <c r="T195" i="1"/>
  <c r="T196" i="1"/>
  <c r="T197" i="1"/>
  <c r="T303" i="1"/>
  <c r="T304" i="1"/>
  <c r="T305" i="1"/>
  <c r="T306" i="1"/>
  <c r="T307" i="1"/>
  <c r="T308" i="1"/>
  <c r="T309" i="1"/>
  <c r="T240" i="1"/>
  <c r="T241" i="1"/>
  <c r="T242" i="1"/>
  <c r="T243" i="1"/>
  <c r="T244" i="1"/>
  <c r="T245" i="1"/>
  <c r="T246" i="1"/>
  <c r="T219" i="1"/>
  <c r="T220" i="1"/>
  <c r="T221" i="1"/>
  <c r="T222" i="1"/>
  <c r="T223" i="1"/>
  <c r="T224" i="1"/>
  <c r="T225" i="1"/>
  <c r="T233" i="1"/>
  <c r="T234" i="1"/>
  <c r="T235" i="1"/>
  <c r="T236" i="1"/>
  <c r="T237" i="1"/>
  <c r="T238" i="1"/>
  <c r="T239" i="1"/>
  <c r="T422" i="1"/>
  <c r="T423" i="1"/>
  <c r="T424" i="1"/>
  <c r="T425" i="1"/>
  <c r="T426" i="1"/>
  <c r="T427" i="1"/>
  <c r="T428" i="1"/>
  <c r="T415" i="1"/>
  <c r="T416" i="1"/>
  <c r="T417" i="1"/>
  <c r="T418" i="1"/>
  <c r="T419" i="1"/>
  <c r="T420" i="1"/>
  <c r="T421" i="1"/>
  <c r="T408" i="1"/>
  <c r="T409" i="1"/>
  <c r="T410" i="1"/>
  <c r="T411" i="1"/>
  <c r="T412" i="1"/>
  <c r="T413" i="1"/>
  <c r="T414" i="1"/>
  <c r="T352" i="1"/>
  <c r="T353" i="1"/>
  <c r="T354" i="1"/>
  <c r="T355" i="1"/>
  <c r="T356" i="1"/>
  <c r="T357" i="1"/>
  <c r="T358" i="1"/>
  <c r="T296" i="1"/>
  <c r="T297" i="1"/>
  <c r="T298" i="1"/>
  <c r="T299" i="1"/>
  <c r="T300" i="1"/>
  <c r="T301" i="1"/>
  <c r="T302" i="1"/>
  <c r="T212" i="1"/>
  <c r="T213" i="1"/>
  <c r="T214" i="1"/>
  <c r="T215" i="1"/>
  <c r="T216" i="1"/>
  <c r="T217" i="1"/>
  <c r="T218" i="1"/>
  <c r="T156" i="1"/>
  <c r="T157" i="1"/>
  <c r="T158" i="1"/>
  <c r="T159" i="1"/>
  <c r="T160" i="1"/>
  <c r="T161" i="1"/>
  <c r="T162" i="1"/>
  <c r="T135" i="1"/>
  <c r="T136" i="1"/>
  <c r="T137" i="1"/>
  <c r="T138" i="1"/>
  <c r="T139" i="1"/>
  <c r="T140" i="1"/>
  <c r="T141" i="1"/>
  <c r="T205" i="1"/>
  <c r="T206" i="1"/>
  <c r="T207" i="1"/>
  <c r="T208" i="1"/>
  <c r="T209" i="1"/>
  <c r="T210" i="1"/>
  <c r="T211" i="1"/>
  <c r="T177" i="1"/>
  <c r="T178" i="1"/>
  <c r="T179" i="1"/>
  <c r="T180" i="1"/>
  <c r="T181" i="1"/>
  <c r="T182" i="1"/>
  <c r="T183" i="1"/>
  <c r="T170" i="1"/>
  <c r="T171" i="1"/>
  <c r="T172" i="1"/>
  <c r="T173" i="1"/>
  <c r="T174" i="1"/>
  <c r="T175" i="1"/>
  <c r="T176" i="1"/>
  <c r="T163" i="1"/>
  <c r="T164" i="1"/>
  <c r="T165" i="1"/>
  <c r="T166" i="1"/>
  <c r="T167" i="1"/>
  <c r="T168" i="1"/>
  <c r="T169" i="1"/>
  <c r="T142" i="1"/>
  <c r="T143" i="1"/>
  <c r="T144" i="1"/>
  <c r="T145" i="1"/>
  <c r="T146" i="1"/>
  <c r="T147" i="1"/>
  <c r="T148" i="1"/>
  <c r="T198" i="1"/>
  <c r="T199" i="1"/>
  <c r="T200" i="1"/>
  <c r="T201" i="1"/>
  <c r="T202" i="1"/>
  <c r="T203" i="1"/>
  <c r="T204" i="1"/>
  <c r="T128" i="1"/>
  <c r="T129" i="1"/>
  <c r="T130" i="1"/>
  <c r="T131" i="1"/>
  <c r="T132" i="1"/>
  <c r="T133" i="1"/>
  <c r="T134" i="1"/>
  <c r="T149" i="1"/>
  <c r="T150" i="1"/>
  <c r="T151" i="1"/>
  <c r="T152" i="1"/>
  <c r="T153" i="1"/>
  <c r="T154" i="1"/>
  <c r="T155" i="1"/>
  <c r="T184" i="1"/>
  <c r="T185" i="1"/>
  <c r="T186" i="1"/>
  <c r="T187" i="1"/>
  <c r="T188" i="1"/>
  <c r="T189" i="1"/>
  <c r="T190" i="1"/>
  <c r="T72" i="1"/>
  <c r="T73" i="1"/>
  <c r="T74" i="1"/>
  <c r="T75" i="1"/>
  <c r="T76" i="1"/>
  <c r="T77" i="1"/>
  <c r="T78" i="1"/>
  <c r="T100" i="1"/>
  <c r="T101" i="1"/>
  <c r="T102" i="1"/>
  <c r="T103" i="1"/>
  <c r="T104" i="1"/>
  <c r="T105" i="1"/>
  <c r="T106" i="1"/>
  <c r="T44" i="1"/>
  <c r="T45" i="1"/>
  <c r="T46" i="1"/>
  <c r="T47" i="1"/>
  <c r="T48" i="1"/>
  <c r="T49" i="1"/>
  <c r="T50" i="1"/>
  <c r="T107" i="1"/>
  <c r="T108" i="1"/>
  <c r="T109" i="1"/>
  <c r="T110" i="1"/>
  <c r="T111" i="1"/>
  <c r="T112" i="1"/>
  <c r="T113" i="1"/>
  <c r="T58" i="1"/>
  <c r="T59" i="1"/>
  <c r="T60" i="1"/>
  <c r="T61" i="1"/>
  <c r="T62" i="1"/>
  <c r="T63" i="1"/>
  <c r="T64" i="1"/>
  <c r="T548" i="1"/>
  <c r="T549" i="1"/>
  <c r="T550" i="1"/>
  <c r="T551" i="1"/>
  <c r="T552" i="1"/>
  <c r="T553" i="1"/>
  <c r="T554" i="1"/>
  <c r="T1304" i="1"/>
  <c r="T1305" i="1"/>
  <c r="T1306" i="1"/>
  <c r="T1307" i="1"/>
  <c r="T1308" i="1"/>
  <c r="T1309" i="1"/>
  <c r="T1310" i="1"/>
  <c r="T65" i="1"/>
  <c r="T66" i="1"/>
  <c r="T67" i="1"/>
  <c r="T68" i="1"/>
  <c r="T69" i="1"/>
  <c r="T71" i="1"/>
  <c r="T1255" i="1"/>
  <c r="T1256" i="1"/>
  <c r="T1257" i="1"/>
  <c r="T1258" i="1"/>
  <c r="T1259" i="1"/>
  <c r="T1260" i="1"/>
  <c r="T1261" i="1"/>
  <c r="T51" i="1"/>
  <c r="T52" i="1"/>
  <c r="T53" i="1"/>
  <c r="T54" i="1"/>
  <c r="T55" i="1"/>
  <c r="T56" i="1"/>
  <c r="T57" i="1"/>
  <c r="T37" i="1"/>
  <c r="T38" i="1"/>
  <c r="T39" i="1"/>
  <c r="T40" i="1"/>
  <c r="T41" i="1"/>
  <c r="T42" i="1"/>
  <c r="T43" i="1"/>
  <c r="T30" i="1"/>
  <c r="T31" i="1"/>
  <c r="T32" i="1"/>
  <c r="T33" i="1"/>
  <c r="T34" i="1"/>
  <c r="T35" i="1"/>
  <c r="T36" i="1"/>
  <c r="T16" i="1"/>
  <c r="T17" i="1"/>
  <c r="T18" i="1"/>
  <c r="T19" i="1"/>
  <c r="T20" i="1"/>
  <c r="T21" i="1"/>
  <c r="T22" i="1"/>
  <c r="T79" i="1"/>
  <c r="T80" i="1"/>
  <c r="T81" i="1"/>
  <c r="T82" i="1"/>
  <c r="T83" i="1"/>
  <c r="T84" i="1"/>
  <c r="T85" i="1"/>
  <c r="T9" i="1"/>
  <c r="T10" i="1"/>
  <c r="T11" i="1"/>
  <c r="T12" i="1"/>
  <c r="T13" i="1"/>
  <c r="T14" i="1"/>
  <c r="T23" i="1"/>
  <c r="T24" i="1"/>
  <c r="T25" i="1"/>
  <c r="T26" i="1"/>
  <c r="T27" i="1"/>
  <c r="T28" i="1"/>
  <c r="T29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3" i="1"/>
  <c r="T4" i="1"/>
  <c r="T5" i="1"/>
  <c r="T6" i="1"/>
  <c r="T7" i="1"/>
  <c r="T8" i="1"/>
  <c r="O373" i="1"/>
  <c r="V373" i="1" s="1"/>
  <c r="O374" i="1"/>
  <c r="V374" i="1" s="1"/>
  <c r="O375" i="1"/>
  <c r="V375" i="1" s="1"/>
  <c r="O376" i="1"/>
  <c r="V376" i="1" s="1"/>
  <c r="O377" i="1"/>
  <c r="V377" i="1" s="1"/>
  <c r="O378" i="1"/>
  <c r="V378" i="1" s="1"/>
  <c r="O379" i="1"/>
  <c r="V379" i="1" s="1"/>
  <c r="L875" i="1"/>
  <c r="AH875" i="1" s="1"/>
  <c r="L876" i="1"/>
  <c r="AH876" i="1" s="1"/>
  <c r="J875" i="1"/>
  <c r="J876" i="1"/>
  <c r="D875" i="1"/>
  <c r="U875" i="1" s="1"/>
  <c r="D876" i="1"/>
  <c r="U876" i="1" s="1"/>
  <c r="L576" i="1"/>
  <c r="AH576" i="1" s="1"/>
  <c r="L577" i="1"/>
  <c r="AH577" i="1" s="1"/>
  <c r="L578" i="1"/>
  <c r="AH578" i="1" s="1"/>
  <c r="L579" i="1"/>
  <c r="AH579" i="1" s="1"/>
  <c r="L580" i="1"/>
  <c r="AH580" i="1" s="1"/>
  <c r="L581" i="1"/>
  <c r="AH581" i="1" s="1"/>
  <c r="L582" i="1"/>
  <c r="AH582" i="1" s="1"/>
  <c r="D926" i="1"/>
  <c r="U926" i="1" s="1"/>
  <c r="D927" i="1"/>
  <c r="U927" i="1" s="1"/>
  <c r="D928" i="1"/>
  <c r="U928" i="1" s="1"/>
  <c r="D929" i="1"/>
  <c r="U929" i="1" s="1"/>
  <c r="D930" i="1"/>
  <c r="U930" i="1" s="1"/>
  <c r="D931" i="1"/>
  <c r="U931" i="1" s="1"/>
  <c r="D932" i="1"/>
  <c r="U932" i="1" s="1"/>
  <c r="J929" i="1"/>
  <c r="J930" i="1"/>
  <c r="J931" i="1"/>
  <c r="J932" i="1"/>
  <c r="J926" i="1"/>
  <c r="Z926" i="1" s="1"/>
  <c r="J927" i="1"/>
  <c r="J928" i="1"/>
  <c r="AE928" i="1" s="1"/>
  <c r="L593" i="1"/>
  <c r="AH593" i="1" s="1"/>
  <c r="L594" i="1"/>
  <c r="AH594" i="1" s="1"/>
  <c r="L595" i="1"/>
  <c r="AH595" i="1" s="1"/>
  <c r="L596" i="1"/>
  <c r="AH596" i="1" s="1"/>
  <c r="D366" i="1"/>
  <c r="U366" i="1" s="1"/>
  <c r="D367" i="1"/>
  <c r="U367" i="1" s="1"/>
  <c r="D368" i="1"/>
  <c r="U368" i="1" s="1"/>
  <c r="D369" i="1"/>
  <c r="U369" i="1" s="1"/>
  <c r="D370" i="1"/>
  <c r="U370" i="1" s="1"/>
  <c r="D371" i="1"/>
  <c r="U371" i="1" s="1"/>
  <c r="D372" i="1"/>
  <c r="U372" i="1" s="1"/>
  <c r="J366" i="1"/>
  <c r="J367" i="1"/>
  <c r="J368" i="1"/>
  <c r="J369" i="1"/>
  <c r="J370" i="1"/>
  <c r="J371" i="1"/>
  <c r="J372" i="1"/>
  <c r="L597" i="1"/>
  <c r="AH597" i="1" s="1"/>
  <c r="L598" i="1"/>
  <c r="AH598" i="1" s="1"/>
  <c r="L599" i="1"/>
  <c r="AH599" i="1" s="1"/>
  <c r="L600" i="1"/>
  <c r="AH600" i="1" s="1"/>
  <c r="L601" i="1"/>
  <c r="AH601" i="1" s="1"/>
  <c r="L602" i="1"/>
  <c r="AH602" i="1" s="1"/>
  <c r="L603" i="1"/>
  <c r="AH603" i="1" s="1"/>
  <c r="O597" i="1"/>
  <c r="V597" i="1" s="1"/>
  <c r="O598" i="1"/>
  <c r="V598" i="1" s="1"/>
  <c r="O599" i="1"/>
  <c r="V599" i="1" s="1"/>
  <c r="O600" i="1"/>
  <c r="V600" i="1" s="1"/>
  <c r="O601" i="1"/>
  <c r="V601" i="1" s="1"/>
  <c r="O602" i="1"/>
  <c r="V602" i="1" s="1"/>
  <c r="O603" i="1"/>
  <c r="V603" i="1" s="1"/>
  <c r="L324" i="1"/>
  <c r="AH324" i="1" s="1"/>
  <c r="L325" i="1"/>
  <c r="AH325" i="1" s="1"/>
  <c r="J324" i="1"/>
  <c r="L326" i="1"/>
  <c r="AH326" i="1" s="1"/>
  <c r="J325" i="1"/>
  <c r="J326" i="1"/>
  <c r="L327" i="1"/>
  <c r="AH327" i="1" s="1"/>
  <c r="L328" i="1"/>
  <c r="AH328" i="1" s="1"/>
  <c r="J328" i="1"/>
  <c r="J330" i="1"/>
  <c r="J327" i="1"/>
  <c r="L329" i="1"/>
  <c r="AH329" i="1" s="1"/>
  <c r="L330" i="1"/>
  <c r="AH330" i="1" s="1"/>
  <c r="J329" i="1"/>
  <c r="J632" i="1"/>
  <c r="L634" i="1"/>
  <c r="AH634" i="1" s="1"/>
  <c r="J633" i="1"/>
  <c r="AE633" i="1" s="1"/>
  <c r="J634" i="1"/>
  <c r="L635" i="1"/>
  <c r="AH635" i="1" s="1"/>
  <c r="L636" i="1"/>
  <c r="AH636" i="1" s="1"/>
  <c r="J635" i="1"/>
  <c r="J636" i="1"/>
  <c r="J637" i="1"/>
  <c r="J638" i="1"/>
  <c r="J639" i="1"/>
  <c r="D639" i="1"/>
  <c r="U639" i="1" s="1"/>
  <c r="J640" i="1"/>
  <c r="D640" i="1"/>
  <c r="U640" i="1" s="1"/>
  <c r="L641" i="1"/>
  <c r="AH641" i="1" s="1"/>
  <c r="J641" i="1"/>
  <c r="D641" i="1"/>
  <c r="U641" i="1" s="1"/>
  <c r="L642" i="1"/>
  <c r="AH642" i="1" s="1"/>
  <c r="J642" i="1"/>
  <c r="D642" i="1"/>
  <c r="U642" i="1" s="1"/>
  <c r="L643" i="1"/>
  <c r="AH643" i="1" s="1"/>
  <c r="J643" i="1"/>
  <c r="D643" i="1"/>
  <c r="U643" i="1" s="1"/>
  <c r="L644" i="1"/>
  <c r="AH644" i="1" s="1"/>
  <c r="J644" i="1"/>
  <c r="D644" i="1"/>
  <c r="U644" i="1" s="1"/>
  <c r="L645" i="1"/>
  <c r="AH645" i="1" s="1"/>
  <c r="J645" i="1"/>
  <c r="D645" i="1"/>
  <c r="U645" i="1" s="1"/>
  <c r="L646" i="1"/>
  <c r="AH646" i="1" s="1"/>
  <c r="J646" i="1"/>
  <c r="L647" i="1"/>
  <c r="AH647" i="1" s="1"/>
  <c r="L648" i="1"/>
  <c r="AH648" i="1" s="1"/>
  <c r="J647" i="1"/>
  <c r="J648" i="1"/>
  <c r="L649" i="1"/>
  <c r="AH649" i="1" s="1"/>
  <c r="L650" i="1"/>
  <c r="AH650" i="1" s="1"/>
  <c r="L651" i="1"/>
  <c r="AH651" i="1" s="1"/>
  <c r="L652" i="1"/>
  <c r="AH652" i="1" s="1"/>
  <c r="L653" i="1"/>
  <c r="AH653" i="1" s="1"/>
  <c r="L654" i="1"/>
  <c r="AH654" i="1" s="1"/>
  <c r="L655" i="1"/>
  <c r="AH655" i="1" s="1"/>
  <c r="L656" i="1"/>
  <c r="AH656" i="1" s="1"/>
  <c r="L657" i="1"/>
  <c r="AH657" i="1" s="1"/>
  <c r="L658" i="1"/>
  <c r="AH658" i="1" s="1"/>
  <c r="L659" i="1"/>
  <c r="AH659" i="1" s="1"/>
  <c r="L478" i="1"/>
  <c r="AH478" i="1" s="1"/>
  <c r="J478" i="1"/>
  <c r="D478" i="1"/>
  <c r="U478" i="1" s="1"/>
  <c r="L479" i="1"/>
  <c r="AH479" i="1" s="1"/>
  <c r="L480" i="1"/>
  <c r="AH480" i="1" s="1"/>
  <c r="J479" i="1"/>
  <c r="Z479" i="1" s="1"/>
  <c r="J480" i="1"/>
  <c r="D479" i="1"/>
  <c r="U479" i="1" s="1"/>
  <c r="D480" i="1"/>
  <c r="U480" i="1" s="1"/>
  <c r="L481" i="1"/>
  <c r="AH481" i="1" s="1"/>
  <c r="L482" i="1"/>
  <c r="AH482" i="1" s="1"/>
  <c r="J481" i="1"/>
  <c r="AE481" i="1" s="1"/>
  <c r="J482" i="1"/>
  <c r="D481" i="1"/>
  <c r="U481" i="1" s="1"/>
  <c r="D482" i="1"/>
  <c r="U482" i="1" s="1"/>
  <c r="L483" i="1"/>
  <c r="AH483" i="1" s="1"/>
  <c r="L484" i="1"/>
  <c r="AH484" i="1" s="1"/>
  <c r="J483" i="1"/>
  <c r="J484" i="1"/>
  <c r="D483" i="1"/>
  <c r="U483" i="1" s="1"/>
  <c r="D484" i="1"/>
  <c r="U484" i="1" s="1"/>
  <c r="L506" i="1"/>
  <c r="AH506" i="1" s="1"/>
  <c r="J506" i="1"/>
  <c r="Z506" i="1" s="1"/>
  <c r="L507" i="1"/>
  <c r="AH507" i="1" s="1"/>
  <c r="L508" i="1"/>
  <c r="AH508" i="1" s="1"/>
  <c r="J507" i="1"/>
  <c r="J508" i="1"/>
  <c r="L509" i="1"/>
  <c r="AH509" i="1" s="1"/>
  <c r="L510" i="1"/>
  <c r="AH510" i="1" s="1"/>
  <c r="J509" i="1"/>
  <c r="J510" i="1"/>
  <c r="AE510" i="1" s="1"/>
  <c r="L511" i="1"/>
  <c r="AH511" i="1" s="1"/>
  <c r="L512" i="1"/>
  <c r="AH512" i="1" s="1"/>
  <c r="J511" i="1"/>
  <c r="J512" i="1"/>
  <c r="L492" i="1"/>
  <c r="AH492" i="1" s="1"/>
  <c r="J492" i="1"/>
  <c r="L493" i="1"/>
  <c r="AH493" i="1" s="1"/>
  <c r="L494" i="1"/>
  <c r="AH494" i="1" s="1"/>
  <c r="J493" i="1"/>
  <c r="J494" i="1"/>
  <c r="L495" i="1"/>
  <c r="AH495" i="1" s="1"/>
  <c r="L496" i="1"/>
  <c r="AH496" i="1" s="1"/>
  <c r="J495" i="1"/>
  <c r="AE495" i="1" s="1"/>
  <c r="J496" i="1"/>
  <c r="L497" i="1"/>
  <c r="AH497" i="1" s="1"/>
  <c r="L498" i="1"/>
  <c r="AH498" i="1" s="1"/>
  <c r="J497" i="1"/>
  <c r="J498" i="1"/>
  <c r="L499" i="1"/>
  <c r="AH499" i="1" s="1"/>
  <c r="D499" i="1"/>
  <c r="U499" i="1" s="1"/>
  <c r="L501" i="1"/>
  <c r="AH501" i="1" s="1"/>
  <c r="D500" i="1"/>
  <c r="U500" i="1" s="1"/>
  <c r="D501" i="1"/>
  <c r="U501" i="1" s="1"/>
  <c r="D502" i="1"/>
  <c r="U502" i="1" s="1"/>
  <c r="D503" i="1"/>
  <c r="U503" i="1" s="1"/>
  <c r="D504" i="1"/>
  <c r="U504" i="1" s="1"/>
  <c r="D505" i="1"/>
  <c r="U505" i="1" s="1"/>
  <c r="L533" i="1"/>
  <c r="AH533" i="1" s="1"/>
  <c r="L521" i="1"/>
  <c r="AH521" i="1" s="1"/>
  <c r="L520" i="1"/>
  <c r="AH520" i="1" s="1"/>
  <c r="J912" i="1"/>
  <c r="D912" i="1"/>
  <c r="U912" i="1" s="1"/>
  <c r="J913" i="1"/>
  <c r="D913" i="1"/>
  <c r="U913" i="1" s="1"/>
  <c r="D914" i="1"/>
  <c r="U914" i="1" s="1"/>
  <c r="D915" i="1"/>
  <c r="U915" i="1" s="1"/>
  <c r="D916" i="1"/>
  <c r="U916" i="1" s="1"/>
  <c r="D917" i="1"/>
  <c r="U917" i="1" s="1"/>
  <c r="D918" i="1"/>
  <c r="U918" i="1" s="1"/>
  <c r="L562" i="1"/>
  <c r="AH562" i="1" s="1"/>
  <c r="L563" i="1"/>
  <c r="AH563" i="1" s="1"/>
  <c r="L564" i="1"/>
  <c r="AH564" i="1" s="1"/>
  <c r="L565" i="1"/>
  <c r="AH565" i="1" s="1"/>
  <c r="L567" i="1"/>
  <c r="AH567" i="1" s="1"/>
  <c r="L620" i="1"/>
  <c r="AH620" i="1" s="1"/>
  <c r="L621" i="1"/>
  <c r="AH621" i="1" s="1"/>
  <c r="L618" i="1"/>
  <c r="AH618" i="1" s="1"/>
  <c r="L619" i="1"/>
  <c r="AH619" i="1" s="1"/>
  <c r="L622" i="1"/>
  <c r="AH622" i="1" s="1"/>
  <c r="L623" i="1"/>
  <c r="AH623" i="1" s="1"/>
  <c r="L624" i="1"/>
  <c r="AH624" i="1" s="1"/>
  <c r="J485" i="1"/>
  <c r="Z485" i="1" s="1"/>
  <c r="J486" i="1"/>
  <c r="L1262" i="1"/>
  <c r="AH1262" i="1" s="1"/>
  <c r="J1262" i="1"/>
  <c r="L1263" i="1"/>
  <c r="AH1263" i="1" s="1"/>
  <c r="L1264" i="1"/>
  <c r="AH1264" i="1" s="1"/>
  <c r="J1263" i="1"/>
  <c r="J1264" i="1"/>
  <c r="L1265" i="1"/>
  <c r="AH1265" i="1" s="1"/>
  <c r="L1266" i="1"/>
  <c r="AH1266" i="1" s="1"/>
  <c r="J1265" i="1"/>
  <c r="AE1265" i="1" s="1"/>
  <c r="J1266" i="1"/>
  <c r="L1267" i="1"/>
  <c r="AH1267" i="1" s="1"/>
  <c r="L1268" i="1"/>
  <c r="AH1268" i="1" s="1"/>
  <c r="J1267" i="1"/>
  <c r="J1268" i="1"/>
  <c r="D443" i="1"/>
  <c r="U443" i="1" s="1"/>
  <c r="D444" i="1"/>
  <c r="U444" i="1" s="1"/>
  <c r="D445" i="1"/>
  <c r="U445" i="1" s="1"/>
  <c r="D446" i="1"/>
  <c r="U446" i="1" s="1"/>
  <c r="D447" i="1"/>
  <c r="U447" i="1" s="1"/>
  <c r="D448" i="1"/>
  <c r="U448" i="1" s="1"/>
  <c r="D449" i="1"/>
  <c r="U449" i="1" s="1"/>
  <c r="J401" i="1"/>
  <c r="D401" i="1"/>
  <c r="U401" i="1" s="1"/>
  <c r="D402" i="1"/>
  <c r="U402" i="1" s="1"/>
  <c r="D404" i="1"/>
  <c r="U404" i="1" s="1"/>
  <c r="D405" i="1"/>
  <c r="U405" i="1" s="1"/>
  <c r="D406" i="1"/>
  <c r="U406" i="1" s="1"/>
  <c r="D407" i="1"/>
  <c r="U407" i="1" s="1"/>
  <c r="L429" i="1"/>
  <c r="AH429" i="1" s="1"/>
  <c r="L430" i="1"/>
  <c r="AH430" i="1" s="1"/>
  <c r="L464" i="1"/>
  <c r="AH464" i="1" s="1"/>
  <c r="L465" i="1"/>
  <c r="AH465" i="1" s="1"/>
  <c r="L466" i="1"/>
  <c r="AH466" i="1" s="1"/>
  <c r="L467" i="1"/>
  <c r="AH467" i="1" s="1"/>
  <c r="L468" i="1"/>
  <c r="AH468" i="1" s="1"/>
  <c r="L469" i="1"/>
  <c r="AH469" i="1" s="1"/>
  <c r="L470" i="1"/>
  <c r="AH470" i="1" s="1"/>
  <c r="J1248" i="1"/>
  <c r="J1251" i="1"/>
  <c r="J1252" i="1"/>
  <c r="J1253" i="1"/>
  <c r="J1254" i="1"/>
  <c r="AE1254" i="1" s="1"/>
  <c r="L338" i="1"/>
  <c r="AH338" i="1" s="1"/>
  <c r="J338" i="1"/>
  <c r="D338" i="1"/>
  <c r="U338" i="1" s="1"/>
  <c r="L339" i="1"/>
  <c r="AH339" i="1" s="1"/>
  <c r="L340" i="1"/>
  <c r="AH340" i="1" s="1"/>
  <c r="J339" i="1"/>
  <c r="J340" i="1"/>
  <c r="D339" i="1"/>
  <c r="U339" i="1" s="1"/>
  <c r="D340" i="1"/>
  <c r="U340" i="1" s="1"/>
  <c r="L341" i="1"/>
  <c r="AH341" i="1" s="1"/>
  <c r="L342" i="1"/>
  <c r="AH342" i="1" s="1"/>
  <c r="J341" i="1"/>
  <c r="J342" i="1"/>
  <c r="D341" i="1"/>
  <c r="U341" i="1" s="1"/>
  <c r="D342" i="1"/>
  <c r="U342" i="1" s="1"/>
  <c r="L343" i="1"/>
  <c r="AH343" i="1" s="1"/>
  <c r="L344" i="1"/>
  <c r="AH344" i="1" s="1"/>
  <c r="J343" i="1"/>
  <c r="J344" i="1"/>
  <c r="D343" i="1"/>
  <c r="U343" i="1" s="1"/>
  <c r="D344" i="1"/>
  <c r="U344" i="1" s="1"/>
  <c r="D317" i="1"/>
  <c r="U317" i="1" s="1"/>
  <c r="D318" i="1"/>
  <c r="U318" i="1" s="1"/>
  <c r="J261" i="1"/>
  <c r="J262" i="1"/>
  <c r="AE262" i="1" s="1"/>
  <c r="J457" i="1"/>
  <c r="D457" i="1"/>
  <c r="U457" i="1" s="1"/>
  <c r="J458" i="1"/>
  <c r="J459" i="1"/>
  <c r="D458" i="1"/>
  <c r="U458" i="1" s="1"/>
  <c r="D459" i="1"/>
  <c r="U459" i="1" s="1"/>
  <c r="J462" i="1"/>
  <c r="J463" i="1"/>
  <c r="AE463" i="1" s="1"/>
  <c r="J460" i="1"/>
  <c r="J461" i="1"/>
  <c r="D460" i="1"/>
  <c r="U460" i="1" s="1"/>
  <c r="D461" i="1"/>
  <c r="U461" i="1" s="1"/>
  <c r="L462" i="1"/>
  <c r="AH462" i="1" s="1"/>
  <c r="L463" i="1"/>
  <c r="AH463" i="1" s="1"/>
  <c r="D462" i="1"/>
  <c r="U462" i="1" s="1"/>
  <c r="D463" i="1"/>
  <c r="U463" i="1" s="1"/>
  <c r="R1051" i="1"/>
  <c r="AI1051" i="1" s="1"/>
  <c r="J1045" i="1"/>
  <c r="J1046" i="1"/>
  <c r="D1045" i="1"/>
  <c r="U1045" i="1" s="1"/>
  <c r="D1046" i="1"/>
  <c r="U1046" i="1" s="1"/>
  <c r="D1047" i="1"/>
  <c r="U1047" i="1" s="1"/>
  <c r="D1048" i="1"/>
  <c r="U1048" i="1" s="1"/>
  <c r="D1049" i="1"/>
  <c r="U1049" i="1" s="1"/>
  <c r="D1050" i="1"/>
  <c r="U1050" i="1" s="1"/>
  <c r="D1051" i="1"/>
  <c r="U1051" i="1" s="1"/>
  <c r="L1080" i="1"/>
  <c r="AH1080" i="1" s="1"/>
  <c r="L1081" i="1"/>
  <c r="AH1081" i="1" s="1"/>
  <c r="J1080" i="1"/>
  <c r="J1081" i="1"/>
  <c r="L1082" i="1"/>
  <c r="AH1082" i="1" s="1"/>
  <c r="L1083" i="1"/>
  <c r="AH1083" i="1" s="1"/>
  <c r="L1084" i="1"/>
  <c r="AH1084" i="1" s="1"/>
  <c r="L1085" i="1"/>
  <c r="AH1085" i="1" s="1"/>
  <c r="L1086" i="1"/>
  <c r="AH1086" i="1" s="1"/>
  <c r="J1082" i="1"/>
  <c r="J1083" i="1"/>
  <c r="AE1083" i="1" s="1"/>
  <c r="J1084" i="1"/>
  <c r="J1085" i="1"/>
  <c r="AE1085" i="1" s="1"/>
  <c r="J1086" i="1"/>
  <c r="L284" i="1"/>
  <c r="AH284" i="1" s="1"/>
  <c r="L285" i="1"/>
  <c r="AH285" i="1" s="1"/>
  <c r="L287" i="1"/>
  <c r="AH287" i="1" s="1"/>
  <c r="L398" i="1"/>
  <c r="AH398" i="1" s="1"/>
  <c r="L397" i="1"/>
  <c r="AH397" i="1" s="1"/>
  <c r="L396" i="1"/>
  <c r="AH396" i="1" s="1"/>
  <c r="L395" i="1"/>
  <c r="AH395" i="1" s="1"/>
  <c r="L394" i="1"/>
  <c r="AH394" i="1" s="1"/>
  <c r="L399" i="1"/>
  <c r="AH399" i="1" s="1"/>
  <c r="L400" i="1"/>
  <c r="AH400" i="1" s="1"/>
  <c r="J387" i="1"/>
  <c r="L388" i="1"/>
  <c r="AH388" i="1" s="1"/>
  <c r="L389" i="1"/>
  <c r="AH389" i="1" s="1"/>
  <c r="L390" i="1"/>
  <c r="AH390" i="1" s="1"/>
  <c r="L391" i="1"/>
  <c r="AH391" i="1" s="1"/>
  <c r="L392" i="1"/>
  <c r="AH392" i="1" s="1"/>
  <c r="L393" i="1"/>
  <c r="AH393" i="1" s="1"/>
  <c r="L289" i="1"/>
  <c r="AH289" i="1" s="1"/>
  <c r="J289" i="1"/>
  <c r="AE289" i="1" s="1"/>
  <c r="J290" i="1"/>
  <c r="AE290" i="1" s="1"/>
  <c r="J291" i="1"/>
  <c r="L292" i="1"/>
  <c r="AH292" i="1" s="1"/>
  <c r="L293" i="1"/>
  <c r="AH293" i="1" s="1"/>
  <c r="J292" i="1"/>
  <c r="J293" i="1"/>
  <c r="L294" i="1"/>
  <c r="AH294" i="1" s="1"/>
  <c r="L295" i="1"/>
  <c r="AH295" i="1" s="1"/>
  <c r="J295" i="1"/>
  <c r="J294" i="1"/>
  <c r="L275" i="1"/>
  <c r="AH275" i="1" s="1"/>
  <c r="J275" i="1"/>
  <c r="D275" i="1"/>
  <c r="U275" i="1" s="1"/>
  <c r="L276" i="1"/>
  <c r="AH276" i="1" s="1"/>
  <c r="L277" i="1"/>
  <c r="AH277" i="1" s="1"/>
  <c r="J276" i="1"/>
  <c r="J277" i="1"/>
  <c r="AE277" i="1" s="1"/>
  <c r="D276" i="1"/>
  <c r="U276" i="1" s="1"/>
  <c r="D277" i="1"/>
  <c r="U277" i="1" s="1"/>
  <c r="L278" i="1"/>
  <c r="AH278" i="1" s="1"/>
  <c r="L279" i="1"/>
  <c r="AH279" i="1" s="1"/>
  <c r="J278" i="1"/>
  <c r="J279" i="1"/>
  <c r="D278" i="1"/>
  <c r="U278" i="1" s="1"/>
  <c r="D279" i="1"/>
  <c r="U279" i="1" s="1"/>
  <c r="L280" i="1"/>
  <c r="AH280" i="1" s="1"/>
  <c r="L281" i="1"/>
  <c r="AH281" i="1" s="1"/>
  <c r="J280" i="1"/>
  <c r="AE280" i="1" s="1"/>
  <c r="J281" i="1"/>
  <c r="D280" i="1"/>
  <c r="U280" i="1" s="1"/>
  <c r="D281" i="1"/>
  <c r="U281" i="1" s="1"/>
  <c r="L247" i="1"/>
  <c r="AH247" i="1" s="1"/>
  <c r="J247" i="1"/>
  <c r="Z247" i="1" s="1"/>
  <c r="L248" i="1"/>
  <c r="AH248" i="1" s="1"/>
  <c r="L249" i="1"/>
  <c r="AH249" i="1" s="1"/>
  <c r="J248" i="1"/>
  <c r="J249" i="1"/>
  <c r="Z249" i="1" s="1"/>
  <c r="J253" i="1"/>
  <c r="Z253" i="1" s="1"/>
  <c r="J252" i="1"/>
  <c r="L250" i="1"/>
  <c r="AH250" i="1" s="1"/>
  <c r="L251" i="1"/>
  <c r="AH251" i="1" s="1"/>
  <c r="J250" i="1"/>
  <c r="J251" i="1"/>
  <c r="Z251" i="1" s="1"/>
  <c r="L252" i="1"/>
  <c r="AH252" i="1" s="1"/>
  <c r="L253" i="1"/>
  <c r="AH253" i="1" s="1"/>
  <c r="L191" i="1"/>
  <c r="AH191" i="1" s="1"/>
  <c r="L192" i="1"/>
  <c r="AH192" i="1" s="1"/>
  <c r="L193" i="1"/>
  <c r="AH193" i="1" s="1"/>
  <c r="L194" i="1"/>
  <c r="AH194" i="1" s="1"/>
  <c r="L195" i="1"/>
  <c r="AH195" i="1" s="1"/>
  <c r="L196" i="1"/>
  <c r="AH196" i="1" s="1"/>
  <c r="L197" i="1"/>
  <c r="AH197" i="1" s="1"/>
  <c r="L307" i="1"/>
  <c r="AH307" i="1" s="1"/>
  <c r="L308" i="1"/>
  <c r="AH308" i="1" s="1"/>
  <c r="L309" i="1"/>
  <c r="AH309" i="1" s="1"/>
  <c r="L240" i="1"/>
  <c r="AH240" i="1" s="1"/>
  <c r="L241" i="1"/>
  <c r="AH241" i="1" s="1"/>
  <c r="L242" i="1"/>
  <c r="AH242" i="1" s="1"/>
  <c r="L243" i="1"/>
  <c r="AH243" i="1" s="1"/>
  <c r="L244" i="1"/>
  <c r="AH244" i="1" s="1"/>
  <c r="L245" i="1"/>
  <c r="AH245" i="1" s="1"/>
  <c r="L246" i="1"/>
  <c r="AH246" i="1" s="1"/>
  <c r="L422" i="1"/>
  <c r="AH422" i="1" s="1"/>
  <c r="L423" i="1"/>
  <c r="AH423" i="1" s="1"/>
  <c r="L424" i="1"/>
  <c r="AH424" i="1" s="1"/>
  <c r="L425" i="1"/>
  <c r="AH425" i="1" s="1"/>
  <c r="L426" i="1"/>
  <c r="AH426" i="1" s="1"/>
  <c r="L427" i="1"/>
  <c r="AH427" i="1" s="1"/>
  <c r="L428" i="1"/>
  <c r="AH428" i="1" s="1"/>
  <c r="J415" i="1"/>
  <c r="AA415" i="1" s="1"/>
  <c r="J416" i="1"/>
  <c r="J418" i="1"/>
  <c r="Z418" i="1" s="1"/>
  <c r="J419" i="1"/>
  <c r="AE419" i="1" s="1"/>
  <c r="L418" i="1"/>
  <c r="AH418" i="1" s="1"/>
  <c r="L419" i="1"/>
  <c r="AH419" i="1" s="1"/>
  <c r="L420" i="1"/>
  <c r="AH420" i="1" s="1"/>
  <c r="L421" i="1"/>
  <c r="AH421" i="1" s="1"/>
  <c r="L408" i="1"/>
  <c r="AH408" i="1" s="1"/>
  <c r="L409" i="1"/>
  <c r="AH409" i="1" s="1"/>
  <c r="J408" i="1"/>
  <c r="AA408" i="1" s="1"/>
  <c r="J409" i="1"/>
  <c r="Z409" i="1" s="1"/>
  <c r="L352" i="1"/>
  <c r="AH352" i="1" s="1"/>
  <c r="L353" i="1"/>
  <c r="AH353" i="1" s="1"/>
  <c r="M354" i="1"/>
  <c r="M355" i="1"/>
  <c r="M356" i="1"/>
  <c r="M357" i="1"/>
  <c r="M358" i="1"/>
  <c r="L296" i="1"/>
  <c r="AH296" i="1" s="1"/>
  <c r="L297" i="1"/>
  <c r="AH297" i="1" s="1"/>
  <c r="L298" i="1"/>
  <c r="AH298" i="1" s="1"/>
  <c r="L299" i="1"/>
  <c r="AH299" i="1" s="1"/>
  <c r="L300" i="1"/>
  <c r="AH300" i="1" s="1"/>
  <c r="L301" i="1"/>
  <c r="AH301" i="1" s="1"/>
  <c r="L302" i="1"/>
  <c r="AH302" i="1" s="1"/>
  <c r="L212" i="1"/>
  <c r="AH212" i="1" s="1"/>
  <c r="L213" i="1"/>
  <c r="AH213" i="1" s="1"/>
  <c r="L156" i="1"/>
  <c r="AH156" i="1" s="1"/>
  <c r="J156" i="1"/>
  <c r="AA156" i="1" s="1"/>
  <c r="L157" i="1"/>
  <c r="AH157" i="1" s="1"/>
  <c r="L158" i="1"/>
  <c r="AH158" i="1" s="1"/>
  <c r="J157" i="1"/>
  <c r="J158" i="1"/>
  <c r="L159" i="1"/>
  <c r="AH159" i="1" s="1"/>
  <c r="L160" i="1"/>
  <c r="AH160" i="1" s="1"/>
  <c r="J159" i="1"/>
  <c r="J160" i="1"/>
  <c r="L161" i="1"/>
  <c r="AH161" i="1" s="1"/>
  <c r="L162" i="1"/>
  <c r="AH162" i="1" s="1"/>
  <c r="J161" i="1"/>
  <c r="J162" i="1"/>
  <c r="L135" i="1"/>
  <c r="AH135" i="1" s="1"/>
  <c r="L136" i="1"/>
  <c r="AH136" i="1" s="1"/>
  <c r="L137" i="1"/>
  <c r="AH137" i="1" s="1"/>
  <c r="L138" i="1"/>
  <c r="AH138" i="1" s="1"/>
  <c r="L139" i="1"/>
  <c r="AH139" i="1" s="1"/>
  <c r="L140" i="1"/>
  <c r="AH140" i="1" s="1"/>
  <c r="L141" i="1"/>
  <c r="AH141" i="1" s="1"/>
  <c r="L205" i="1"/>
  <c r="AH205" i="1" s="1"/>
  <c r="J205" i="1"/>
  <c r="L206" i="1"/>
  <c r="AH206" i="1" s="1"/>
  <c r="L207" i="1"/>
  <c r="AH207" i="1" s="1"/>
  <c r="J206" i="1"/>
  <c r="J207" i="1"/>
  <c r="L208" i="1"/>
  <c r="AH208" i="1" s="1"/>
  <c r="L209" i="1"/>
  <c r="AH209" i="1" s="1"/>
  <c r="J208" i="1"/>
  <c r="J209" i="1"/>
  <c r="L210" i="1"/>
  <c r="AH210" i="1" s="1"/>
  <c r="L211" i="1"/>
  <c r="AH211" i="1" s="1"/>
  <c r="J210" i="1"/>
  <c r="J211" i="1"/>
  <c r="L177" i="1"/>
  <c r="AH177" i="1" s="1"/>
  <c r="L178" i="1"/>
  <c r="AH178" i="1" s="1"/>
  <c r="L179" i="1"/>
  <c r="AH179" i="1" s="1"/>
  <c r="L180" i="1"/>
  <c r="AH180" i="1" s="1"/>
  <c r="L181" i="1"/>
  <c r="AH181" i="1" s="1"/>
  <c r="L182" i="1"/>
  <c r="AH182" i="1" s="1"/>
  <c r="L183" i="1"/>
  <c r="AH183" i="1" s="1"/>
  <c r="L170" i="1"/>
  <c r="AH170" i="1" s="1"/>
  <c r="L171" i="1"/>
  <c r="AH171" i="1" s="1"/>
  <c r="L172" i="1"/>
  <c r="AH172" i="1" s="1"/>
  <c r="L163" i="1"/>
  <c r="AH163" i="1" s="1"/>
  <c r="L164" i="1"/>
  <c r="AH164" i="1" s="1"/>
  <c r="J163" i="1"/>
  <c r="J164" i="1"/>
  <c r="D163" i="1"/>
  <c r="U163" i="1" s="1"/>
  <c r="D164" i="1"/>
  <c r="U164" i="1" s="1"/>
  <c r="L165" i="1"/>
  <c r="AH165" i="1" s="1"/>
  <c r="L166" i="1"/>
  <c r="AH166" i="1" s="1"/>
  <c r="D165" i="1"/>
  <c r="U165" i="1" s="1"/>
  <c r="D166" i="1"/>
  <c r="U166" i="1" s="1"/>
  <c r="L167" i="1"/>
  <c r="AH167" i="1" s="1"/>
  <c r="L168" i="1"/>
  <c r="AH168" i="1" s="1"/>
  <c r="D167" i="1"/>
  <c r="U167" i="1" s="1"/>
  <c r="D168" i="1"/>
  <c r="U168" i="1" s="1"/>
  <c r="D169" i="1"/>
  <c r="U169" i="1" s="1"/>
  <c r="N142" i="1"/>
  <c r="L142" i="1"/>
  <c r="AH142" i="1" s="1"/>
  <c r="J142" i="1"/>
  <c r="L143" i="1"/>
  <c r="AH143" i="1" s="1"/>
  <c r="L144" i="1"/>
  <c r="AH144" i="1" s="1"/>
  <c r="J143" i="1"/>
  <c r="Z143" i="1" s="1"/>
  <c r="J144" i="1"/>
  <c r="L145" i="1"/>
  <c r="AH145" i="1" s="1"/>
  <c r="L146" i="1"/>
  <c r="AH146" i="1" s="1"/>
  <c r="J146" i="1"/>
  <c r="Z146" i="1" s="1"/>
  <c r="J145" i="1"/>
  <c r="Z145" i="1" s="1"/>
  <c r="L147" i="1"/>
  <c r="AH147" i="1" s="1"/>
  <c r="L148" i="1"/>
  <c r="AH148" i="1" s="1"/>
  <c r="J147" i="1"/>
  <c r="J148" i="1"/>
  <c r="J198" i="1"/>
  <c r="Z198" i="1" s="1"/>
  <c r="J199" i="1"/>
  <c r="J201" i="1"/>
  <c r="J200" i="1"/>
  <c r="Z200" i="1" s="1"/>
  <c r="J202" i="1"/>
  <c r="Z202" i="1" s="1"/>
  <c r="J203" i="1"/>
  <c r="Z203" i="1" s="1"/>
  <c r="J204" i="1"/>
  <c r="L128" i="1"/>
  <c r="AH128" i="1" s="1"/>
  <c r="D128" i="1"/>
  <c r="U128" i="1" s="1"/>
  <c r="L129" i="1"/>
  <c r="AH129" i="1" s="1"/>
  <c r="L130" i="1"/>
  <c r="AH130" i="1" s="1"/>
  <c r="L131" i="1"/>
  <c r="AH131" i="1" s="1"/>
  <c r="L132" i="1"/>
  <c r="AH132" i="1" s="1"/>
  <c r="L133" i="1"/>
  <c r="AH133" i="1" s="1"/>
  <c r="L184" i="1"/>
  <c r="AH184" i="1" s="1"/>
  <c r="J184" i="1"/>
  <c r="AA184" i="1" s="1"/>
  <c r="L185" i="1"/>
  <c r="AH185" i="1" s="1"/>
  <c r="L186" i="1"/>
  <c r="AH186" i="1" s="1"/>
  <c r="J185" i="1"/>
  <c r="AA185" i="1" s="1"/>
  <c r="J186" i="1"/>
  <c r="AA186" i="1" s="1"/>
  <c r="L187" i="1"/>
  <c r="AH187" i="1" s="1"/>
  <c r="L188" i="1"/>
  <c r="AH188" i="1" s="1"/>
  <c r="J187" i="1"/>
  <c r="AA187" i="1" s="1"/>
  <c r="J188" i="1"/>
  <c r="AA188" i="1" s="1"/>
  <c r="L189" i="1"/>
  <c r="AH189" i="1" s="1"/>
  <c r="L190" i="1"/>
  <c r="AH190" i="1" s="1"/>
  <c r="J189" i="1"/>
  <c r="AA189" i="1" s="1"/>
  <c r="J190" i="1"/>
  <c r="AA190" i="1" s="1"/>
  <c r="L72" i="1"/>
  <c r="AH72" i="1" s="1"/>
  <c r="J72" i="1"/>
  <c r="AA72" i="1" s="1"/>
  <c r="D72" i="1"/>
  <c r="U72" i="1" s="1"/>
  <c r="L73" i="1"/>
  <c r="AH73" i="1" s="1"/>
  <c r="L74" i="1"/>
  <c r="AH74" i="1" s="1"/>
  <c r="J73" i="1"/>
  <c r="AA73" i="1" s="1"/>
  <c r="J74" i="1"/>
  <c r="AA74" i="1" s="1"/>
  <c r="D73" i="1"/>
  <c r="U73" i="1" s="1"/>
  <c r="D74" i="1"/>
  <c r="U74" i="1" s="1"/>
  <c r="L75" i="1"/>
  <c r="AH75" i="1" s="1"/>
  <c r="L76" i="1"/>
  <c r="AH76" i="1" s="1"/>
  <c r="J75" i="1"/>
  <c r="AA75" i="1" s="1"/>
  <c r="D75" i="1"/>
  <c r="U75" i="1" s="1"/>
  <c r="L77" i="1"/>
  <c r="AH77" i="1" s="1"/>
  <c r="L78" i="1"/>
  <c r="AH78" i="1" s="1"/>
  <c r="L100" i="1"/>
  <c r="AH100" i="1" s="1"/>
  <c r="J100" i="1"/>
  <c r="AA100" i="1" s="1"/>
  <c r="L101" i="1"/>
  <c r="AH101" i="1" s="1"/>
  <c r="L102" i="1"/>
  <c r="AH102" i="1" s="1"/>
  <c r="J101" i="1"/>
  <c r="AA101" i="1" s="1"/>
  <c r="J102" i="1"/>
  <c r="AA102" i="1" s="1"/>
  <c r="L103" i="1"/>
  <c r="AH103" i="1" s="1"/>
  <c r="L104" i="1"/>
  <c r="AH104" i="1" s="1"/>
  <c r="J103" i="1"/>
  <c r="AA103" i="1" s="1"/>
  <c r="J104" i="1"/>
  <c r="AA104" i="1" s="1"/>
  <c r="L105" i="1"/>
  <c r="AH105" i="1" s="1"/>
  <c r="L106" i="1"/>
  <c r="AH106" i="1" s="1"/>
  <c r="J105" i="1"/>
  <c r="AA105" i="1" s="1"/>
  <c r="L44" i="1"/>
  <c r="AH44" i="1" s="1"/>
  <c r="L45" i="1"/>
  <c r="AH45" i="1" s="1"/>
  <c r="L46" i="1"/>
  <c r="AH46" i="1" s="1"/>
  <c r="L47" i="1"/>
  <c r="AH47" i="1" s="1"/>
  <c r="L48" i="1"/>
  <c r="AH48" i="1" s="1"/>
  <c r="L49" i="1"/>
  <c r="AH49" i="1" s="1"/>
  <c r="L107" i="1"/>
  <c r="AH107" i="1" s="1"/>
  <c r="L108" i="1"/>
  <c r="AH108" i="1" s="1"/>
  <c r="L109" i="1"/>
  <c r="AH109" i="1" s="1"/>
  <c r="L110" i="1"/>
  <c r="AH110" i="1" s="1"/>
  <c r="L111" i="1"/>
  <c r="AH111" i="1" s="1"/>
  <c r="L112" i="1"/>
  <c r="AH112" i="1" s="1"/>
  <c r="L113" i="1"/>
  <c r="AH113" i="1" s="1"/>
  <c r="J58" i="1"/>
  <c r="AA58" i="1" s="1"/>
  <c r="L59" i="1"/>
  <c r="AH59" i="1" s="1"/>
  <c r="J59" i="1"/>
  <c r="AA59" i="1" s="1"/>
  <c r="J60" i="1"/>
  <c r="AA60" i="1" s="1"/>
  <c r="J61" i="1"/>
  <c r="AA61" i="1" s="1"/>
  <c r="J62" i="1"/>
  <c r="AA62" i="1" s="1"/>
  <c r="J63" i="1"/>
  <c r="AA63" i="1" s="1"/>
  <c r="J64" i="1"/>
  <c r="AA64" i="1" s="1"/>
  <c r="L548" i="1"/>
  <c r="AH548" i="1" s="1"/>
  <c r="L549" i="1"/>
  <c r="AH549" i="1" s="1"/>
  <c r="L550" i="1"/>
  <c r="AH550" i="1" s="1"/>
  <c r="L551" i="1"/>
  <c r="AH551" i="1" s="1"/>
  <c r="L552" i="1"/>
  <c r="AH552" i="1" s="1"/>
  <c r="L553" i="1"/>
  <c r="AH553" i="1" s="1"/>
  <c r="L554" i="1"/>
  <c r="AH554" i="1" s="1"/>
  <c r="L1304" i="1"/>
  <c r="AH1304" i="1" s="1"/>
  <c r="L1305" i="1"/>
  <c r="AH1305" i="1" s="1"/>
  <c r="J1304" i="1"/>
  <c r="AA1304" i="1" s="1"/>
  <c r="J1305" i="1"/>
  <c r="AA1305" i="1" s="1"/>
  <c r="D1304" i="1"/>
  <c r="U1304" i="1" s="1"/>
  <c r="D1305" i="1"/>
  <c r="U1305" i="1" s="1"/>
  <c r="D1306" i="1"/>
  <c r="U1306" i="1" s="1"/>
  <c r="D1307" i="1"/>
  <c r="U1307" i="1" s="1"/>
  <c r="D1308" i="1"/>
  <c r="U1308" i="1" s="1"/>
  <c r="D1309" i="1"/>
  <c r="U1309" i="1" s="1"/>
  <c r="D1310" i="1"/>
  <c r="U1310" i="1" s="1"/>
  <c r="L70" i="1"/>
  <c r="AH70" i="1" s="1"/>
  <c r="L71" i="1"/>
  <c r="AH71" i="1" s="1"/>
  <c r="L68" i="1"/>
  <c r="AH68" i="1" s="1"/>
  <c r="L69" i="1"/>
  <c r="AH69" i="1" s="1"/>
  <c r="L66" i="1"/>
  <c r="AH66" i="1" s="1"/>
  <c r="L67" i="1"/>
  <c r="AH67" i="1" s="1"/>
  <c r="L65" i="1"/>
  <c r="AH65" i="1" s="1"/>
  <c r="J65" i="1"/>
  <c r="AA65" i="1" s="1"/>
  <c r="J66" i="1"/>
  <c r="AA66" i="1" s="1"/>
  <c r="J67" i="1"/>
  <c r="AA67" i="1" s="1"/>
  <c r="J68" i="1"/>
  <c r="AA68" i="1" s="1"/>
  <c r="J69" i="1"/>
  <c r="AA69" i="1" s="1"/>
  <c r="J70" i="1"/>
  <c r="AA70" i="1" s="1"/>
  <c r="J71" i="1"/>
  <c r="AA71" i="1" s="1"/>
  <c r="L1255" i="1"/>
  <c r="AH1255" i="1" s="1"/>
  <c r="L1256" i="1"/>
  <c r="AH1256" i="1" s="1"/>
  <c r="L1257" i="1"/>
  <c r="AH1257" i="1" s="1"/>
  <c r="L1258" i="1"/>
  <c r="AH1258" i="1" s="1"/>
  <c r="L1259" i="1"/>
  <c r="AH1259" i="1" s="1"/>
  <c r="L1260" i="1"/>
  <c r="AH1260" i="1" s="1"/>
  <c r="L1261" i="1"/>
  <c r="AH1261" i="1" s="1"/>
  <c r="L51" i="1"/>
  <c r="AH51" i="1" s="1"/>
  <c r="L52" i="1"/>
  <c r="AH52" i="1" s="1"/>
  <c r="L53" i="1"/>
  <c r="AH53" i="1" s="1"/>
  <c r="L54" i="1"/>
  <c r="AH54" i="1" s="1"/>
  <c r="L55" i="1"/>
  <c r="AH55" i="1" s="1"/>
  <c r="L56" i="1"/>
  <c r="AH56" i="1" s="1"/>
  <c r="L57" i="1"/>
  <c r="AH57" i="1" s="1"/>
  <c r="L40" i="1"/>
  <c r="AH40" i="1" s="1"/>
  <c r="L41" i="1"/>
  <c r="AH41" i="1" s="1"/>
  <c r="L42" i="1"/>
  <c r="AH42" i="1" s="1"/>
  <c r="L30" i="1"/>
  <c r="AH30" i="1" s="1"/>
  <c r="L31" i="1"/>
  <c r="AH31" i="1" s="1"/>
  <c r="L32" i="1"/>
  <c r="AH32" i="1" s="1"/>
  <c r="L16" i="1"/>
  <c r="AH16" i="1" s="1"/>
  <c r="L17" i="1"/>
  <c r="AH17" i="1" s="1"/>
  <c r="L18" i="1"/>
  <c r="AH18" i="1" s="1"/>
  <c r="L19" i="1"/>
  <c r="AH19" i="1" s="1"/>
  <c r="L20" i="1"/>
  <c r="AH20" i="1" s="1"/>
  <c r="L21" i="1"/>
  <c r="AH21" i="1" s="1"/>
  <c r="L22" i="1"/>
  <c r="AH22" i="1" s="1"/>
  <c r="L9" i="1"/>
  <c r="AH9" i="1" s="1"/>
  <c r="L10" i="1"/>
  <c r="AH10" i="1" s="1"/>
  <c r="L11" i="1"/>
  <c r="AH11" i="1" s="1"/>
  <c r="L12" i="1"/>
  <c r="AH12" i="1" s="1"/>
  <c r="L13" i="1"/>
  <c r="AH13" i="1" s="1"/>
  <c r="L14" i="1"/>
  <c r="AH14" i="1" s="1"/>
  <c r="L15" i="1"/>
  <c r="AH15" i="1" s="1"/>
  <c r="G15" i="1"/>
  <c r="AA15" i="1" s="1"/>
  <c r="Z60" i="1" l="1"/>
  <c r="AA251" i="1"/>
  <c r="AE59" i="1"/>
  <c r="AC15" i="1"/>
  <c r="AE186" i="1"/>
  <c r="AF15" i="1"/>
  <c r="AE63" i="1"/>
  <c r="AE103" i="1"/>
  <c r="Z75" i="1"/>
  <c r="AE190" i="1"/>
  <c r="AE64" i="1"/>
  <c r="AE72" i="1"/>
  <c r="Z186" i="1"/>
  <c r="AE418" i="1"/>
  <c r="AE104" i="1"/>
  <c r="AE249" i="1"/>
  <c r="Z59" i="1"/>
  <c r="Z100" i="1"/>
  <c r="Z187" i="1"/>
  <c r="AB15" i="1"/>
  <c r="Z63" i="1"/>
  <c r="Z103" i="1"/>
  <c r="AE75" i="1"/>
  <c r="Z190" i="1"/>
  <c r="AA201" i="1"/>
  <c r="AE201" i="1"/>
  <c r="AA208" i="1"/>
  <c r="Z208" i="1"/>
  <c r="AE208" i="1"/>
  <c r="Z158" i="1"/>
  <c r="AA158" i="1"/>
  <c r="Z416" i="1"/>
  <c r="AE416" i="1"/>
  <c r="AA1251" i="1"/>
  <c r="AE1251" i="1"/>
  <c r="Z1251" i="1"/>
  <c r="AA637" i="1"/>
  <c r="AE637" i="1"/>
  <c r="Z157" i="1"/>
  <c r="AE157" i="1"/>
  <c r="AA157" i="1"/>
  <c r="AA278" i="1"/>
  <c r="Z278" i="1"/>
  <c r="AE278" i="1"/>
  <c r="AA293" i="1"/>
  <c r="Z293" i="1"/>
  <c r="AA1046" i="1"/>
  <c r="Z1046" i="1"/>
  <c r="AE1046" i="1"/>
  <c r="AA341" i="1"/>
  <c r="AE341" i="1"/>
  <c r="AA1248" i="1"/>
  <c r="AE1248" i="1"/>
  <c r="Z1248" i="1"/>
  <c r="AA1268" i="1"/>
  <c r="AE1268" i="1"/>
  <c r="AA1264" i="1"/>
  <c r="Z1264" i="1"/>
  <c r="AE1264" i="1"/>
  <c r="AA511" i="1"/>
  <c r="Z511" i="1"/>
  <c r="AE511" i="1"/>
  <c r="AA483" i="1"/>
  <c r="Z483" i="1"/>
  <c r="AE483" i="1"/>
  <c r="AA636" i="1"/>
  <c r="AE636" i="1"/>
  <c r="Z636" i="1"/>
  <c r="AA326" i="1"/>
  <c r="Z326" i="1"/>
  <c r="AE326" i="1"/>
  <c r="AA368" i="1"/>
  <c r="Z368" i="1"/>
  <c r="AA485" i="1"/>
  <c r="AE485" i="1"/>
  <c r="AA508" i="1"/>
  <c r="Z508" i="1"/>
  <c r="AA644" i="1"/>
  <c r="AE644" i="1"/>
  <c r="Z644" i="1"/>
  <c r="Z415" i="1"/>
  <c r="AE415" i="1"/>
  <c r="AA458" i="1"/>
  <c r="Z458" i="1"/>
  <c r="AE458" i="1"/>
  <c r="AA401" i="1"/>
  <c r="AE401" i="1"/>
  <c r="Z401" i="1"/>
  <c r="AA507" i="1"/>
  <c r="AE507" i="1"/>
  <c r="Z507" i="1"/>
  <c r="AA641" i="1"/>
  <c r="AE641" i="1"/>
  <c r="Z641" i="1"/>
  <c r="AE508" i="1"/>
  <c r="AA292" i="1"/>
  <c r="Z292" i="1"/>
  <c r="AE292" i="1"/>
  <c r="AA1045" i="1"/>
  <c r="Z1045" i="1"/>
  <c r="AE1045" i="1"/>
  <c r="AA325" i="1"/>
  <c r="Z325" i="1"/>
  <c r="AE325" i="1"/>
  <c r="AE71" i="1"/>
  <c r="AE70" i="1"/>
  <c r="AE69" i="1"/>
  <c r="AE68" i="1"/>
  <c r="AE67" i="1"/>
  <c r="AE66" i="1"/>
  <c r="AE65" i="1"/>
  <c r="AE1305" i="1"/>
  <c r="AE1304" i="1"/>
  <c r="Z61" i="1"/>
  <c r="AE105" i="1"/>
  <c r="Z101" i="1"/>
  <c r="AE73" i="1"/>
  <c r="Z188" i="1"/>
  <c r="AE184" i="1"/>
  <c r="AE409" i="1"/>
  <c r="AA416" i="1"/>
  <c r="AE253" i="1"/>
  <c r="AE368" i="1"/>
  <c r="AA927" i="1"/>
  <c r="AE927" i="1"/>
  <c r="Z927" i="1"/>
  <c r="AA199" i="1"/>
  <c r="AE199" i="1"/>
  <c r="AA161" i="1"/>
  <c r="Z161" i="1"/>
  <c r="AE161" i="1"/>
  <c r="AA329" i="1"/>
  <c r="AE329" i="1"/>
  <c r="Z329" i="1"/>
  <c r="AA926" i="1"/>
  <c r="AE926" i="1"/>
  <c r="AA198" i="1"/>
  <c r="AE198" i="1"/>
  <c r="AA281" i="1"/>
  <c r="Z281" i="1"/>
  <c r="AE281" i="1"/>
  <c r="AA1086" i="1"/>
  <c r="Z1086" i="1"/>
  <c r="AE1086" i="1"/>
  <c r="AA461" i="1"/>
  <c r="Z461" i="1"/>
  <c r="AE461" i="1"/>
  <c r="AA344" i="1"/>
  <c r="Z344" i="1"/>
  <c r="AE344" i="1"/>
  <c r="AA1267" i="1"/>
  <c r="Z1267" i="1"/>
  <c r="AE1267" i="1"/>
  <c r="AA1263" i="1"/>
  <c r="AE1263" i="1"/>
  <c r="Z1263" i="1"/>
  <c r="AA498" i="1"/>
  <c r="AE498" i="1"/>
  <c r="Z498" i="1"/>
  <c r="AA494" i="1"/>
  <c r="Z494" i="1"/>
  <c r="AE494" i="1"/>
  <c r="AA646" i="1"/>
  <c r="AE646" i="1"/>
  <c r="Z646" i="1"/>
  <c r="AA635" i="1"/>
  <c r="AE635" i="1"/>
  <c r="Z635" i="1"/>
  <c r="AA367" i="1"/>
  <c r="Z367" i="1"/>
  <c r="AE367" i="1"/>
  <c r="AA932" i="1"/>
  <c r="AE932" i="1"/>
  <c r="Z932" i="1"/>
  <c r="AA148" i="1"/>
  <c r="AE148" i="1"/>
  <c r="AA144" i="1"/>
  <c r="AE144" i="1"/>
  <c r="AA211" i="1"/>
  <c r="Z211" i="1"/>
  <c r="AE211" i="1"/>
  <c r="AA207" i="1"/>
  <c r="Z207" i="1"/>
  <c r="AE207" i="1"/>
  <c r="Z248" i="1"/>
  <c r="AA248" i="1"/>
  <c r="AA280" i="1"/>
  <c r="Z280" i="1"/>
  <c r="AA275" i="1"/>
  <c r="Z275" i="1"/>
  <c r="AE275" i="1"/>
  <c r="AA1085" i="1"/>
  <c r="Z1085" i="1"/>
  <c r="AA460" i="1"/>
  <c r="Z460" i="1"/>
  <c r="AA457" i="1"/>
  <c r="Z457" i="1"/>
  <c r="AE457" i="1"/>
  <c r="AA343" i="1"/>
  <c r="Z343" i="1"/>
  <c r="AA338" i="1"/>
  <c r="Z338" i="1"/>
  <c r="AE338" i="1"/>
  <c r="AA913" i="1"/>
  <c r="AE913" i="1"/>
  <c r="Z913" i="1"/>
  <c r="AA497" i="1"/>
  <c r="AE497" i="1"/>
  <c r="Z497" i="1"/>
  <c r="AA493" i="1"/>
  <c r="Z493" i="1"/>
  <c r="AE493" i="1"/>
  <c r="AA643" i="1"/>
  <c r="AE643" i="1"/>
  <c r="Z643" i="1"/>
  <c r="AA366" i="1"/>
  <c r="AE366" i="1"/>
  <c r="Z366" i="1"/>
  <c r="AA931" i="1"/>
  <c r="Z931" i="1"/>
  <c r="AE931" i="1"/>
  <c r="Z62" i="1"/>
  <c r="AE58" i="1"/>
  <c r="Z102" i="1"/>
  <c r="AE74" i="1"/>
  <c r="Z189" i="1"/>
  <c r="AE185" i="1"/>
  <c r="Z199" i="1"/>
  <c r="AE247" i="1"/>
  <c r="AE460" i="1"/>
  <c r="AA146" i="1"/>
  <c r="AE146" i="1"/>
  <c r="AA162" i="1"/>
  <c r="Z162" i="1"/>
  <c r="AE162" i="1"/>
  <c r="Z252" i="1"/>
  <c r="AA252" i="1"/>
  <c r="AA279" i="1"/>
  <c r="Z279" i="1"/>
  <c r="AE279" i="1"/>
  <c r="AA459" i="1"/>
  <c r="Z459" i="1"/>
  <c r="AE459" i="1"/>
  <c r="AA342" i="1"/>
  <c r="AE342" i="1"/>
  <c r="Z342" i="1"/>
  <c r="AA512" i="1"/>
  <c r="AE512" i="1"/>
  <c r="Z512" i="1"/>
  <c r="AA484" i="1"/>
  <c r="Z484" i="1"/>
  <c r="AE484" i="1"/>
  <c r="AA632" i="1"/>
  <c r="Z632" i="1"/>
  <c r="AE632" i="1"/>
  <c r="AA369" i="1"/>
  <c r="Z369" i="1"/>
  <c r="AE369" i="1"/>
  <c r="AA478" i="1"/>
  <c r="AE478" i="1"/>
  <c r="Z478" i="1"/>
  <c r="AA147" i="1"/>
  <c r="AE147" i="1"/>
  <c r="AA210" i="1"/>
  <c r="Z210" i="1"/>
  <c r="AE210" i="1"/>
  <c r="AA160" i="1"/>
  <c r="Z160" i="1"/>
  <c r="AE160" i="1"/>
  <c r="AA506" i="1"/>
  <c r="AE506" i="1"/>
  <c r="AA324" i="1"/>
  <c r="Z324" i="1"/>
  <c r="AA418" i="1"/>
  <c r="AA249" i="1"/>
  <c r="AA204" i="1"/>
  <c r="AE204" i="1"/>
  <c r="Z156" i="1"/>
  <c r="AE156" i="1"/>
  <c r="AA1084" i="1"/>
  <c r="Z1084" i="1"/>
  <c r="AE1084" i="1"/>
  <c r="AA262" i="1"/>
  <c r="Z262" i="1"/>
  <c r="AA510" i="1"/>
  <c r="Z510" i="1"/>
  <c r="AA640" i="1"/>
  <c r="Z640" i="1"/>
  <c r="AE640" i="1"/>
  <c r="AA164" i="1"/>
  <c r="Z164" i="1"/>
  <c r="AE164" i="1"/>
  <c r="AA159" i="1"/>
  <c r="Z159" i="1"/>
  <c r="AE159" i="1"/>
  <c r="AA294" i="1"/>
  <c r="Z294" i="1"/>
  <c r="AE294" i="1"/>
  <c r="AA291" i="1"/>
  <c r="Z291" i="1"/>
  <c r="AE291" i="1"/>
  <c r="AA1083" i="1"/>
  <c r="Z1083" i="1"/>
  <c r="AA1080" i="1"/>
  <c r="Z1080" i="1"/>
  <c r="AA462" i="1"/>
  <c r="Z462" i="1"/>
  <c r="AE462" i="1"/>
  <c r="AA261" i="1"/>
  <c r="Z261" i="1"/>
  <c r="AE261" i="1"/>
  <c r="AA1254" i="1"/>
  <c r="Z1254" i="1"/>
  <c r="AA1266" i="1"/>
  <c r="Z1266" i="1"/>
  <c r="AE1266" i="1"/>
  <c r="AA1262" i="1"/>
  <c r="AE1262" i="1"/>
  <c r="Z1262" i="1"/>
  <c r="AA912" i="1"/>
  <c r="AE912" i="1"/>
  <c r="AA509" i="1"/>
  <c r="Z509" i="1"/>
  <c r="AE509" i="1"/>
  <c r="AA479" i="1"/>
  <c r="AE479" i="1"/>
  <c r="AA645" i="1"/>
  <c r="Z645" i="1"/>
  <c r="AE645" i="1"/>
  <c r="AA634" i="1"/>
  <c r="Z634" i="1"/>
  <c r="AE634" i="1"/>
  <c r="AA330" i="1"/>
  <c r="AE330" i="1"/>
  <c r="Z330" i="1"/>
  <c r="AA372" i="1"/>
  <c r="AE372" i="1"/>
  <c r="Z372" i="1"/>
  <c r="AA929" i="1"/>
  <c r="Z929" i="1"/>
  <c r="AE929" i="1"/>
  <c r="T15" i="1"/>
  <c r="Y15" i="1"/>
  <c r="Z71" i="1"/>
  <c r="Z70" i="1"/>
  <c r="Z69" i="1"/>
  <c r="Z68" i="1"/>
  <c r="Z67" i="1"/>
  <c r="Z66" i="1"/>
  <c r="Z65" i="1"/>
  <c r="Z1305" i="1"/>
  <c r="Z1304" i="1"/>
  <c r="Z64" i="1"/>
  <c r="AE60" i="1"/>
  <c r="Z104" i="1"/>
  <c r="AE100" i="1"/>
  <c r="Z72" i="1"/>
  <c r="AE187" i="1"/>
  <c r="Z204" i="1"/>
  <c r="Z147" i="1"/>
  <c r="AE251" i="1"/>
  <c r="AE248" i="1"/>
  <c r="Z1268" i="1"/>
  <c r="Z637" i="1"/>
  <c r="AA143" i="1"/>
  <c r="AE143" i="1"/>
  <c r="AA206" i="1"/>
  <c r="Z206" i="1"/>
  <c r="AE206" i="1"/>
  <c r="AA1081" i="1"/>
  <c r="Z1081" i="1"/>
  <c r="AE1081" i="1"/>
  <c r="AA463" i="1"/>
  <c r="Z463" i="1"/>
  <c r="AA480" i="1"/>
  <c r="AE480" i="1"/>
  <c r="Z480" i="1"/>
  <c r="AA327" i="1"/>
  <c r="Z327" i="1"/>
  <c r="AE327" i="1"/>
  <c r="AA930" i="1"/>
  <c r="Z930" i="1"/>
  <c r="AE930" i="1"/>
  <c r="AA203" i="1"/>
  <c r="AE203" i="1"/>
  <c r="Z250" i="1"/>
  <c r="AE250" i="1"/>
  <c r="AA202" i="1"/>
  <c r="AE202" i="1"/>
  <c r="AA163" i="1"/>
  <c r="Z163" i="1"/>
  <c r="AE163" i="1"/>
  <c r="Z419" i="1"/>
  <c r="AA419" i="1"/>
  <c r="AA277" i="1"/>
  <c r="Z277" i="1"/>
  <c r="AA295" i="1"/>
  <c r="Z295" i="1"/>
  <c r="AA290" i="1"/>
  <c r="Z290" i="1"/>
  <c r="AA1082" i="1"/>
  <c r="Z1082" i="1"/>
  <c r="AE1082" i="1"/>
  <c r="AA340" i="1"/>
  <c r="AE340" i="1"/>
  <c r="Z340" i="1"/>
  <c r="AA1253" i="1"/>
  <c r="Z1253" i="1"/>
  <c r="AE1253" i="1"/>
  <c r="AA1265" i="1"/>
  <c r="Z1265" i="1"/>
  <c r="AA496" i="1"/>
  <c r="Z496" i="1"/>
  <c r="AE496" i="1"/>
  <c r="AA492" i="1"/>
  <c r="AE492" i="1"/>
  <c r="Z492" i="1"/>
  <c r="AA482" i="1"/>
  <c r="Z482" i="1"/>
  <c r="AE482" i="1"/>
  <c r="AA648" i="1"/>
  <c r="Z648" i="1"/>
  <c r="AE648" i="1"/>
  <c r="AA642" i="1"/>
  <c r="AE642" i="1"/>
  <c r="AA639" i="1"/>
  <c r="Z639" i="1"/>
  <c r="AE639" i="1"/>
  <c r="AA633" i="1"/>
  <c r="Z633" i="1"/>
  <c r="AA328" i="1"/>
  <c r="AE328" i="1"/>
  <c r="Z328" i="1"/>
  <c r="AA371" i="1"/>
  <c r="AE371" i="1"/>
  <c r="Z371" i="1"/>
  <c r="AA876" i="1"/>
  <c r="Z876" i="1"/>
  <c r="AE876" i="1"/>
  <c r="AE61" i="1"/>
  <c r="Z105" i="1"/>
  <c r="AE101" i="1"/>
  <c r="Z73" i="1"/>
  <c r="AE188" i="1"/>
  <c r="Z184" i="1"/>
  <c r="AE158" i="1"/>
  <c r="AA409" i="1"/>
  <c r="AA253" i="1"/>
  <c r="AE295" i="1"/>
  <c r="Z341" i="1"/>
  <c r="AE324" i="1"/>
  <c r="AA200" i="1"/>
  <c r="AE200" i="1"/>
  <c r="AA145" i="1"/>
  <c r="AE145" i="1"/>
  <c r="AA142" i="1"/>
  <c r="Z142" i="1"/>
  <c r="AE142" i="1"/>
  <c r="AA209" i="1"/>
  <c r="Z209" i="1"/>
  <c r="AE209" i="1"/>
  <c r="AA205" i="1"/>
  <c r="Z205" i="1"/>
  <c r="AE205" i="1"/>
  <c r="Z408" i="1"/>
  <c r="AE408" i="1"/>
  <c r="AA276" i="1"/>
  <c r="Z276" i="1"/>
  <c r="AE276" i="1"/>
  <c r="AA289" i="1"/>
  <c r="Z289" i="1"/>
  <c r="AA387" i="1"/>
  <c r="Z387" i="1"/>
  <c r="AE387" i="1"/>
  <c r="AA339" i="1"/>
  <c r="AE339" i="1"/>
  <c r="Z339" i="1"/>
  <c r="AA1252" i="1"/>
  <c r="Z1252" i="1"/>
  <c r="AE1252" i="1"/>
  <c r="AA486" i="1"/>
  <c r="AE486" i="1"/>
  <c r="Z486" i="1"/>
  <c r="AA495" i="1"/>
  <c r="Z495" i="1"/>
  <c r="AA481" i="1"/>
  <c r="Z481" i="1"/>
  <c r="AA647" i="1"/>
  <c r="Z647" i="1"/>
  <c r="AE647" i="1"/>
  <c r="AA638" i="1"/>
  <c r="AE638" i="1"/>
  <c r="Z638" i="1"/>
  <c r="AA370" i="1"/>
  <c r="Z370" i="1"/>
  <c r="AE370" i="1"/>
  <c r="AA928" i="1"/>
  <c r="Z928" i="1"/>
  <c r="AA875" i="1"/>
  <c r="Z875" i="1"/>
  <c r="AE875" i="1"/>
  <c r="AE62" i="1"/>
  <c r="Z58" i="1"/>
  <c r="AE102" i="1"/>
  <c r="Z74" i="1"/>
  <c r="AE189" i="1"/>
  <c r="Z185" i="1"/>
  <c r="Z201" i="1"/>
  <c r="Z148" i="1"/>
  <c r="Z144" i="1"/>
  <c r="AE252" i="1"/>
  <c r="AA250" i="1"/>
  <c r="AA247" i="1"/>
  <c r="AE293" i="1"/>
  <c r="AE1080" i="1"/>
  <c r="AE343" i="1"/>
  <c r="Z912" i="1"/>
  <c r="Z642" i="1"/>
</calcChain>
</file>

<file path=xl/sharedStrings.xml><?xml version="1.0" encoding="utf-8"?>
<sst xmlns="http://schemas.openxmlformats.org/spreadsheetml/2006/main" count="1543" uniqueCount="283">
  <si>
    <t>Financial year</t>
  </si>
  <si>
    <t>Revenue</t>
  </si>
  <si>
    <t>Operating Profit (EBIT)</t>
  </si>
  <si>
    <t>Net Income (or Net Profit)</t>
  </si>
  <si>
    <t>Preferred Dividends</t>
  </si>
  <si>
    <t>Total Assets</t>
  </si>
  <si>
    <t>Current Assets</t>
  </si>
  <si>
    <t>Inventory</t>
  </si>
  <si>
    <t>Total Liabilities</t>
  </si>
  <si>
    <t>Current Liabilities</t>
  </si>
  <si>
    <t>Total Debt (Short-term + Long-term Borrowings)</t>
  </si>
  <si>
    <t>Long-Term Debt (Non-Current Borrowings)</t>
  </si>
  <si>
    <t>Common Shareholders' Equity</t>
  </si>
  <si>
    <t>Total Equity</t>
  </si>
  <si>
    <t>Retained Earnings</t>
  </si>
  <si>
    <t>Operating Cash Flow</t>
  </si>
  <si>
    <t>Market Value</t>
  </si>
  <si>
    <t>ABAN.N0000</t>
  </si>
  <si>
    <t>AEL.N0000</t>
  </si>
  <si>
    <t>ACL.N0000</t>
  </si>
  <si>
    <t>APLA.N0000</t>
  </si>
  <si>
    <t>ACME.N0000</t>
  </si>
  <si>
    <t>AGAL.N0000</t>
  </si>
  <si>
    <t>AGST.N0000</t>
  </si>
  <si>
    <t>AHUN.N0000</t>
  </si>
  <si>
    <t>SPEN.N0000</t>
  </si>
  <si>
    <t>ALUM.N0000</t>
  </si>
  <si>
    <t>TAP.N0000</t>
  </si>
  <si>
    <t>GREG.N0000</t>
  </si>
  <si>
    <t>ALHP.N0000</t>
  </si>
  <si>
    <t>ASIY.N0000</t>
  </si>
  <si>
    <t>AHPL.N0000</t>
  </si>
  <si>
    <t>ASIR.N0000</t>
  </si>
  <si>
    <t>AMSL.N0000</t>
  </si>
  <si>
    <t>BPPL.N0000</t>
  </si>
  <si>
    <t>BFL.N0000</t>
  </si>
  <si>
    <t>BALA.N0000</t>
  </si>
  <si>
    <t>BRR.N0000</t>
  </si>
  <si>
    <t>BERU.N0000</t>
  </si>
  <si>
    <t>BLUE.N0000</t>
  </si>
  <si>
    <t>BOGA.N0000</t>
  </si>
  <si>
    <t>BOPL.N0000</t>
  </si>
  <si>
    <t>BRWN.N0000</t>
  </si>
  <si>
    <t>BBH.N0000</t>
  </si>
  <si>
    <t>BIL.N0000</t>
  </si>
  <si>
    <t>BUKI.N0000</t>
  </si>
  <si>
    <t>CIC.N0000</t>
  </si>
  <si>
    <t>COLO.N0000</t>
  </si>
  <si>
    <t>CTHR.N0000</t>
  </si>
  <si>
    <t>CTLD.N0000</t>
  </si>
  <si>
    <t>CWM.N0000</t>
  </si>
  <si>
    <t>CARG.N0000</t>
  </si>
  <si>
    <t>CABO.N0000</t>
  </si>
  <si>
    <t>CARS.N0000</t>
  </si>
  <si>
    <t>CIND.N0000</t>
  </si>
  <si>
    <t>BREW.N0000</t>
  </si>
  <si>
    <t>CCS.N0000</t>
  </si>
  <si>
    <t>GRAN.N0000</t>
  </si>
  <si>
    <t>GUAR.N0000</t>
  </si>
  <si>
    <t>CHL.N0000</t>
  </si>
  <si>
    <t>CHOT.N0000</t>
  </si>
  <si>
    <t>CINV.N0000</t>
  </si>
  <si>
    <t>CTBL.N0000</t>
  </si>
  <si>
    <t>CTC.N0000</t>
  </si>
  <si>
    <t>CHMX.N0000</t>
  </si>
  <si>
    <t>LLUB.N0000</t>
  </si>
  <si>
    <t>REEF.N0000</t>
  </si>
  <si>
    <t>PHAR.N0000</t>
  </si>
  <si>
    <t>DOCK.N0000</t>
  </si>
  <si>
    <t>CFI.N0000</t>
  </si>
  <si>
    <t>CIT.N0000</t>
  </si>
  <si>
    <t>CLND.N0000</t>
  </si>
  <si>
    <t>COMD.N0000</t>
  </si>
  <si>
    <t>SOY.N0000</t>
  </si>
  <si>
    <t>DPL.N0000</t>
  </si>
  <si>
    <t>DIAL.N0000</t>
  </si>
  <si>
    <t>DIMO.N0000</t>
  </si>
  <si>
    <t>CTEA.N0000</t>
  </si>
  <si>
    <t>DIPD.N0000</t>
  </si>
  <si>
    <t>DIST.N0000</t>
  </si>
  <si>
    <t>STAF.N0000</t>
  </si>
  <si>
    <t>ECL.N0000</t>
  </si>
  <si>
    <t>EBCR.N0000</t>
  </si>
  <si>
    <t>EAST.N0000</t>
  </si>
  <si>
    <t>EMER.N0000</t>
  </si>
  <si>
    <t>EDEN.N0000</t>
  </si>
  <si>
    <t>ELPL.N0000</t>
  </si>
  <si>
    <t>ETWO.N0000</t>
  </si>
  <si>
    <t>GHLL.N0000</t>
  </si>
  <si>
    <t>WAPO.N0000</t>
  </si>
  <si>
    <t>GEST.N0000</t>
  </si>
  <si>
    <t>MEL.N0000</t>
  </si>
  <si>
    <t>HAPU.N0000</t>
  </si>
  <si>
    <t>HARI.N0000</t>
  </si>
  <si>
    <t>HPL.N0000</t>
  </si>
  <si>
    <t>HAYC.N0000</t>
  </si>
  <si>
    <t>MGT.N0000</t>
  </si>
  <si>
    <t>HEXP.N0000</t>
  </si>
  <si>
    <t>CONN.N0000</t>
  </si>
  <si>
    <t>HAYL.N0000</t>
  </si>
  <si>
    <t>HHL.N0000</t>
  </si>
  <si>
    <t>CITH.N0000</t>
  </si>
  <si>
    <t>HOPL.N0000</t>
  </si>
  <si>
    <t>HSIG.N0000</t>
  </si>
  <si>
    <t>HUNA.N0000</t>
  </si>
  <si>
    <t>HUNT.N0000</t>
  </si>
  <si>
    <t>HVA.N0000</t>
  </si>
  <si>
    <t>ASPH.N0000</t>
  </si>
  <si>
    <t>JAT.N0000</t>
  </si>
  <si>
    <t>JETS.N0000</t>
  </si>
  <si>
    <t>JKH.N0000</t>
  </si>
  <si>
    <t>KHL.N0000</t>
  </si>
  <si>
    <t>JKL.N0000</t>
  </si>
  <si>
    <t>KAHA.N0000</t>
  </si>
  <si>
    <t>KPHL.N0000</t>
  </si>
  <si>
    <t>KFP.N0000</t>
  </si>
  <si>
    <t>KGAL.N0000</t>
  </si>
  <si>
    <t>KCAB.N0000</t>
  </si>
  <si>
    <t>TYRE.N0000</t>
  </si>
  <si>
    <t>KVAL.N0000</t>
  </si>
  <si>
    <t>KDL.N0000</t>
  </si>
  <si>
    <t>CPRT.N0000</t>
  </si>
  <si>
    <t>KOTA.N0000</t>
  </si>
  <si>
    <t>LAMB.N0000</t>
  </si>
  <si>
    <t>LVEF.N0000</t>
  </si>
  <si>
    <t>LPRT.N0000</t>
  </si>
  <si>
    <t>LALU.N0000</t>
  </si>
  <si>
    <t>ASHO.N0000</t>
  </si>
  <si>
    <t>CERA.N0000</t>
  </si>
  <si>
    <t>LIOC.N0000</t>
  </si>
  <si>
    <t>LMF.N0000</t>
  </si>
  <si>
    <t>ASCO.N0000</t>
  </si>
  <si>
    <t>TILE.N0000</t>
  </si>
  <si>
    <t>LWL.N0000</t>
  </si>
  <si>
    <t>LCEY.N0000</t>
  </si>
  <si>
    <t>LDEV.N0000</t>
  </si>
  <si>
    <t>LGL.N0000</t>
  </si>
  <si>
    <t>LPL.N0000</t>
  </si>
  <si>
    <t>LITE.N0000</t>
  </si>
  <si>
    <t>SHAW.N0000</t>
  </si>
  <si>
    <t>LION.N0000</t>
  </si>
  <si>
    <t>HPFL.N0000</t>
  </si>
  <si>
    <t>LUMX.N0000</t>
  </si>
  <si>
    <t>MADU.N0000</t>
  </si>
  <si>
    <t>MCPL.N0000</t>
  </si>
  <si>
    <t>MRH.N0000</t>
  </si>
  <si>
    <t>MAL.N0000</t>
  </si>
  <si>
    <t>MARA.N0000</t>
  </si>
  <si>
    <t>MASK.N0000</t>
  </si>
  <si>
    <t>MELS.N0000</t>
  </si>
  <si>
    <t>MSL.N0000</t>
  </si>
  <si>
    <t>MHDL.N0000</t>
  </si>
  <si>
    <t>MULL.N0000</t>
  </si>
  <si>
    <t>NAMU.N0000</t>
  </si>
  <si>
    <t>NHL.N0000</t>
  </si>
  <si>
    <t>ODEL.N0000</t>
  </si>
  <si>
    <t>OFEQ.N0000</t>
  </si>
  <si>
    <t>ONAL.N0000</t>
  </si>
  <si>
    <t>OSEA.N0000</t>
  </si>
  <si>
    <t>PALM.N0000</t>
  </si>
  <si>
    <t>PAP.N0000</t>
  </si>
  <si>
    <t>PARA.N0000</t>
  </si>
  <si>
    <t>PEG.N0000</t>
  </si>
  <si>
    <t>GLAS.N0000</t>
  </si>
  <si>
    <t>PLR.N0000</t>
  </si>
  <si>
    <t>CARE.N0000</t>
  </si>
  <si>
    <t>RIL.N0000</t>
  </si>
  <si>
    <t>RGEM.N0000</t>
  </si>
  <si>
    <t>RWSL.N0000</t>
  </si>
  <si>
    <t>RFL.N0000</t>
  </si>
  <si>
    <t>RAL.N0000</t>
  </si>
  <si>
    <t>RENU.N0000</t>
  </si>
  <si>
    <t>COCO.N0000</t>
  </si>
  <si>
    <t>RHL.N0000</t>
  </si>
  <si>
    <t>RCH.N0000</t>
  </si>
  <si>
    <t>HPWR.N0000</t>
  </si>
  <si>
    <t>RICH.N0000</t>
  </si>
  <si>
    <t>REXP.N0000</t>
  </si>
  <si>
    <t>RCL.N0000</t>
  </si>
  <si>
    <t>RPBH.N0000</t>
  </si>
  <si>
    <t>SIL.N0000</t>
  </si>
  <si>
    <t>SMOT.N0000</t>
  </si>
  <si>
    <t>SHOT.N0000</t>
  </si>
  <si>
    <t>SLND.N0000</t>
  </si>
  <si>
    <t>CSD.N0000</t>
  </si>
  <si>
    <t>SIRA.N0000</t>
  </si>
  <si>
    <t>SIGV.N0000</t>
  </si>
  <si>
    <t>SINS.N0000</t>
  </si>
  <si>
    <t>SINH.N0000</t>
  </si>
  <si>
    <t>SHL.N0000</t>
  </si>
  <si>
    <t>SLTL.N0000</t>
  </si>
  <si>
    <t>SING.N0000</t>
  </si>
  <si>
    <t>SUN.N0000</t>
  </si>
  <si>
    <t>SWAD.N0000</t>
  </si>
  <si>
    <t>PARQ.N0000</t>
  </si>
  <si>
    <t>TAJ.N0000</t>
  </si>
  <si>
    <t>TPL.N0000</t>
  </si>
  <si>
    <t>TANG.N0000</t>
  </si>
  <si>
    <t>TSML.N0000</t>
  </si>
  <si>
    <t>TJL.N0000</t>
  </si>
  <si>
    <t>TESS.N0000</t>
  </si>
  <si>
    <t>LHL.N0000</t>
  </si>
  <si>
    <t>AUTO.N0000</t>
  </si>
  <si>
    <t>CFLB.N0000</t>
  </si>
  <si>
    <t>RHTL.N0000</t>
  </si>
  <si>
    <t>KHC.N0000</t>
  </si>
  <si>
    <t>SERV.N0000</t>
  </si>
  <si>
    <t>LHCL.N0000</t>
  </si>
  <si>
    <t>NEH.N0000</t>
  </si>
  <si>
    <t>TAFL.N0000</t>
  </si>
  <si>
    <t>TKYO.N0000</t>
  </si>
  <si>
    <t>TRAN.N0000</t>
  </si>
  <si>
    <t>UDPL.N0000</t>
  </si>
  <si>
    <t>UAL.N0000</t>
  </si>
  <si>
    <t>UCAR.N0000</t>
  </si>
  <si>
    <t>UML.N0000</t>
  </si>
  <si>
    <t>VONE.N0000</t>
  </si>
  <si>
    <t>VPEL.N0000</t>
  </si>
  <si>
    <t>VLL.N0000</t>
  </si>
  <si>
    <t>CITW.N0000</t>
  </si>
  <si>
    <t>WATA.N0000</t>
  </si>
  <si>
    <t>WIND.N0000</t>
  </si>
  <si>
    <t>YORK.N0000</t>
  </si>
  <si>
    <t>-</t>
  </si>
  <si>
    <t>Leverage</t>
  </si>
  <si>
    <t>Return on Assets</t>
  </si>
  <si>
    <t>Operating Profit Margin</t>
  </si>
  <si>
    <t>Return on Equity</t>
  </si>
  <si>
    <t>Current Ratio</t>
  </si>
  <si>
    <t>Quick Ratio</t>
  </si>
  <si>
    <t>Working Capital to Total Assets</t>
  </si>
  <si>
    <t>Debt Ratio</t>
  </si>
  <si>
    <t>Asset Turnover Ratio</t>
  </si>
  <si>
    <t>Capital Turnover Ratio</t>
  </si>
  <si>
    <t>Cash Flow to Net Income</t>
  </si>
  <si>
    <t>Cash Flow to Total Liabilities</t>
  </si>
  <si>
    <t>Cash Flow to Total Assets</t>
  </si>
  <si>
    <t>Cash Flow to Current Liabilities</t>
  </si>
  <si>
    <t>Cash Flow to Total Debt</t>
  </si>
  <si>
    <t>1,458,471,</t>
  </si>
  <si>
    <t>Company Code</t>
  </si>
  <si>
    <t>Category</t>
  </si>
  <si>
    <t>Ratio Name</t>
  </si>
  <si>
    <t>Abbreviation</t>
  </si>
  <si>
    <t>Formula Used in Paper</t>
  </si>
  <si>
    <t>Profitability</t>
  </si>
  <si>
    <t>ROA</t>
  </si>
  <si>
    <t>Net Income / Total Assets</t>
  </si>
  <si>
    <t>OPM</t>
  </si>
  <si>
    <t>Operating Profit / Revenue</t>
  </si>
  <si>
    <t>ROE</t>
  </si>
  <si>
    <t>(Net Profit - Pref. Div) / Avg Equity</t>
  </si>
  <si>
    <t>Liquidity</t>
  </si>
  <si>
    <t>CR</t>
  </si>
  <si>
    <t>Current Assets / Current Liabilities</t>
  </si>
  <si>
    <t>QR</t>
  </si>
  <si>
    <t>(Current Assets - Inventory) / Current Liabilities</t>
  </si>
  <si>
    <t>WCTA</t>
  </si>
  <si>
    <t>(Current Assets - Current Liabilities) / Total Assets</t>
  </si>
  <si>
    <t>Debt to Equity Ratio</t>
  </si>
  <si>
    <t>DER</t>
  </si>
  <si>
    <t>Long-term Debt / Common Shareholders' Equity</t>
  </si>
  <si>
    <t>DR</t>
  </si>
  <si>
    <t>Total Liabilities / Total Assets</t>
  </si>
  <si>
    <t>Efficiency</t>
  </si>
  <si>
    <t>ATR</t>
  </si>
  <si>
    <t>Net Sales / Total Assets</t>
  </si>
  <si>
    <t>CTR</t>
  </si>
  <si>
    <t>Net Sales / Total Capital Employed</t>
  </si>
  <si>
    <t>Cash Flow</t>
  </si>
  <si>
    <t>CFFONI</t>
  </si>
  <si>
    <t>Operating Cash Flow / Net Income</t>
  </si>
  <si>
    <t>CFFOTL</t>
  </si>
  <si>
    <t>Operating Cash Flow / Total Liabilities</t>
  </si>
  <si>
    <t>CFFOTA</t>
  </si>
  <si>
    <t>Operating Cash Flow / Total Assets</t>
  </si>
  <si>
    <t>CFFOCL</t>
  </si>
  <si>
    <t>Operating Cash Flow / Current Liabilities</t>
  </si>
  <si>
    <t>CFFOTD</t>
  </si>
  <si>
    <t>Operating Cash Flow / Total Debt</t>
  </si>
  <si>
    <t>Market/Risk</t>
  </si>
  <si>
    <t>Market data</t>
  </si>
  <si>
    <t>Target variable (0.1)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</si>
</sst>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43" fontId="0" fillId="0" borderId="0" xfId="42" applyFont="1"/>
    <xf numFmtId="0" fontId="0" fillId="0" borderId="10" xfId="0" applyBorder="1"/>
    <xf numFmtId="43" fontId="0" fillId="0" borderId="10" xfId="42" applyFont="1" applyBorder="1"/>
    <xf numFmtId="43" fontId="0" fillId="0" borderId="10" xfId="42" applyFont="1" applyFill="1" applyBorder="1"/>
    <xf numFmtId="43" fontId="0" fillId="0" borderId="0" xfId="42" applyFont="1" applyFill="1"/>
    <xf numFmtId="43" fontId="0" fillId="0" borderId="0" xfId="42" applyFont="1" applyBorder="1"/>
    <xf numFmtId="20" fontId="0" fillId="0" borderId="0" xfId="0" applyNumberFormat="1"/>
    <xf numFmtId="0" fontId="0" fillId="0" borderId="11" xfId="0" applyBorder="1"/>
    <xf numFmtId="43" fontId="0" fillId="0" borderId="11" xfId="42" applyFont="1" applyBorder="1"/>
    <xf numFmtId="43" fontId="0" fillId="0" borderId="11" xfId="42" applyFont="1" applyFill="1" applyBorder="1"/>
    <xf numFmtId="43" fontId="0" fillId="0" borderId="0" xfId="42" applyFont="1" applyFill="1" applyBorder="1"/>
    <xf numFmtId="0" fontId="0" fillId="33" borderId="0" xfId="42" applyNumberFormat="1" applyFont="1" applyFill="1"/>
    <xf numFmtId="0" fontId="0" fillId="0" borderId="0" xfId="42" applyNumberFormat="1" applyFont="1"/>
    <xf numFmtId="0" fontId="0" fillId="0" borderId="0" xfId="42" applyNumberFormat="1" applyFont="1" applyFill="1" applyBorder="1"/>
    <xf numFmtId="0" fontId="0" fillId="0" borderId="0" xfId="0" applyBorder="1"/>
    <xf numFmtId="0" fontId="0" fillId="0" borderId="10" xfId="42" applyNumberFormat="1" applyFont="1" applyFill="1" applyBorder="1"/>
    <xf numFmtId="0" fontId="0" fillId="0" borderId="10" xfId="42" applyNumberFormat="1" applyFont="1" applyBorder="1"/>
    <xf numFmtId="0" fontId="0" fillId="0" borderId="11" xfId="42" applyNumberFormat="1" applyFont="1" applyFill="1" applyBorder="1"/>
    <xf numFmtId="0" fontId="20" fillId="0" borderId="12" xfId="0" applyFont="1" applyBorder="1"/>
    <xf numFmtId="0" fontId="19" fillId="0" borderId="13" xfId="0" applyFont="1" applyBorder="1" applyAlignment="1">
      <alignment horizontal="left" vertical="center"/>
    </xf>
    <xf numFmtId="0" fontId="19" fillId="0" borderId="12" xfId="0" applyFont="1" applyBorder="1"/>
    <xf numFmtId="0" fontId="19" fillId="0" borderId="14" xfId="0" applyFont="1" applyBorder="1" applyAlignment="1">
      <alignment horizontal="left" vertical="center"/>
    </xf>
    <xf numFmtId="0" fontId="19" fillId="0" borderId="15" xfId="0" applyFont="1" applyBorder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82814-1FD9-42CD-A671-C8E6B3B42555}">
  <dimension ref="A1:AJ1443"/>
  <sheetViews>
    <sheetView tabSelected="1" zoomScaleNormal="100" workbookViewId="0">
      <pane xSplit="2" ySplit="1" topLeftCell="S2" activePane="bottomRight" state="frozen"/>
      <selection pane="topRight" activeCell="N1" sqref="N1"/>
      <selection pane="bottomLeft" activeCell="A3" sqref="A3"/>
      <selection pane="bottomRight" activeCell="A5" sqref="A5"/>
    </sheetView>
  </sheetViews>
  <sheetFormatPr defaultRowHeight="15" x14ac:dyDescent="0.25"/>
  <cols>
    <col min="1" max="1" width="18.85546875" customWidth="1"/>
    <col min="2" max="2" width="18.28515625" customWidth="1"/>
    <col min="3" max="18" width="28.140625" style="1" hidden="1" customWidth="1"/>
    <col min="19" max="19" width="25.85546875" customWidth="1"/>
    <col min="20" max="20" width="18.42578125" customWidth="1"/>
    <col min="21" max="21" width="20.140625" customWidth="1"/>
    <col min="22" max="22" width="16.140625" customWidth="1"/>
    <col min="23" max="23" width="15.7109375" customWidth="1"/>
    <col min="24" max="24" width="16.85546875" customWidth="1"/>
    <col min="25" max="25" width="23.85546875" customWidth="1"/>
    <col min="26" max="26" width="23.7109375" customWidth="1"/>
    <col min="27" max="27" width="27" customWidth="1"/>
    <col min="28" max="28" width="23" customWidth="1"/>
    <col min="29" max="29" width="25.7109375" customWidth="1"/>
    <col min="30" max="30" width="23.85546875" customWidth="1"/>
    <col min="31" max="34" width="28.28515625" customWidth="1"/>
    <col min="35" max="35" width="16.85546875" style="1" customWidth="1"/>
    <col min="36" max="36" width="21" style="1" customWidth="1"/>
  </cols>
  <sheetData>
    <row r="1" spans="1:36" x14ac:dyDescent="0.25">
      <c r="A1" t="s">
        <v>240</v>
      </c>
      <c r="B1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12" t="s">
        <v>282</v>
      </c>
      <c r="T1" s="12" t="s">
        <v>225</v>
      </c>
      <c r="U1" s="12" t="s">
        <v>226</v>
      </c>
      <c r="V1" s="12" t="s">
        <v>227</v>
      </c>
      <c r="W1" s="12" t="s">
        <v>228</v>
      </c>
      <c r="X1" s="12" t="s">
        <v>229</v>
      </c>
      <c r="Y1" s="12" t="s">
        <v>230</v>
      </c>
      <c r="Z1" s="12" t="s">
        <v>224</v>
      </c>
      <c r="AA1" s="12" t="s">
        <v>231</v>
      </c>
      <c r="AB1" s="12" t="s">
        <v>232</v>
      </c>
      <c r="AC1" s="12" t="s">
        <v>233</v>
      </c>
      <c r="AD1" s="12" t="s">
        <v>234</v>
      </c>
      <c r="AE1" s="12" t="s">
        <v>235</v>
      </c>
      <c r="AF1" s="12" t="s">
        <v>236</v>
      </c>
      <c r="AG1" s="12" t="s">
        <v>237</v>
      </c>
      <c r="AH1" s="12" t="s">
        <v>238</v>
      </c>
      <c r="AI1" s="12" t="s">
        <v>16</v>
      </c>
      <c r="AJ1" s="12" t="s">
        <v>14</v>
      </c>
    </row>
    <row r="2" spans="1:36" x14ac:dyDescent="0.25">
      <c r="A2" t="s">
        <v>17</v>
      </c>
      <c r="B2">
        <v>2018</v>
      </c>
      <c r="C2" s="1">
        <v>3492566</v>
      </c>
      <c r="D2" s="1">
        <v>154356</v>
      </c>
      <c r="E2" s="1">
        <v>43701</v>
      </c>
      <c r="G2" s="1">
        <v>2592992</v>
      </c>
      <c r="H2" s="1">
        <v>1424676</v>
      </c>
      <c r="I2" s="1">
        <v>594123</v>
      </c>
      <c r="J2" s="1">
        <v>1413727</v>
      </c>
      <c r="K2" s="1">
        <v>1161260</v>
      </c>
      <c r="L2" s="1">
        <v>413040</v>
      </c>
      <c r="M2" s="1">
        <v>2693</v>
      </c>
      <c r="N2" s="1">
        <v>1179265</v>
      </c>
      <c r="O2" s="1">
        <v>1179265</v>
      </c>
      <c r="P2" s="1">
        <v>680521</v>
      </c>
      <c r="Q2" s="1">
        <v>100903</v>
      </c>
      <c r="R2" s="1">
        <v>84.3</v>
      </c>
      <c r="S2" s="14"/>
      <c r="T2">
        <f>E2/G2</f>
        <v>1.6853503597388655E-2</v>
      </c>
      <c r="U2">
        <f>D2/C2</f>
        <v>4.4195585709761821E-2</v>
      </c>
      <c r="V2">
        <f>(E2-F2)/O2</f>
        <v>3.7057828393109268E-2</v>
      </c>
      <c r="W2">
        <f>H2/K2</f>
        <v>1.2268363673940375</v>
      </c>
      <c r="X2">
        <f>(H2-I2)/K2</f>
        <v>0.71521709177961867</v>
      </c>
      <c r="Y2">
        <f>(H2-K2)/G2</f>
        <v>0.10158766398045192</v>
      </c>
      <c r="Z2">
        <f>J2/N2</f>
        <v>1.1988204517220471</v>
      </c>
      <c r="AA2">
        <f>J2/G2</f>
        <v>0.54521070639631741</v>
      </c>
      <c r="AB2">
        <f>C2/G2</f>
        <v>1.3469250965679802</v>
      </c>
      <c r="AC2">
        <f>C2/(G2-K2)</f>
        <v>2.4393992730483078</v>
      </c>
      <c r="AD2">
        <f>Q2/E2</f>
        <v>2.3089402988489964</v>
      </c>
      <c r="AE2">
        <f>Q2/J2</f>
        <v>7.1373751792248433E-2</v>
      </c>
      <c r="AF2">
        <f>Q2/G2</f>
        <v>3.8913733632807194E-2</v>
      </c>
      <c r="AG2">
        <f>Q2/K2</f>
        <v>8.6890963264040777E-2</v>
      </c>
      <c r="AH2">
        <f>Q2/L2</f>
        <v>0.24429353089289174</v>
      </c>
      <c r="AI2" s="1">
        <f>R2</f>
        <v>84.3</v>
      </c>
      <c r="AJ2" s="1">
        <f>P2</f>
        <v>680521</v>
      </c>
    </row>
    <row r="3" spans="1:36" x14ac:dyDescent="0.25">
      <c r="A3" t="s">
        <v>17</v>
      </c>
      <c r="B3">
        <v>2019</v>
      </c>
      <c r="C3" s="1">
        <v>2870558</v>
      </c>
      <c r="D3" s="1">
        <v>144017</v>
      </c>
      <c r="E3" s="1">
        <v>74344</v>
      </c>
      <c r="G3" s="1">
        <v>2794523</v>
      </c>
      <c r="H3" s="1">
        <v>1234689</v>
      </c>
      <c r="I3" s="1">
        <v>529926</v>
      </c>
      <c r="J3" s="1">
        <v>1444872</v>
      </c>
      <c r="K3" s="1">
        <v>1062520</v>
      </c>
      <c r="L3" s="1">
        <v>632088</v>
      </c>
      <c r="M3" s="1">
        <v>113972</v>
      </c>
      <c r="N3" s="1">
        <v>1349651</v>
      </c>
      <c r="O3" s="1">
        <v>1349651</v>
      </c>
      <c r="P3" s="1">
        <v>748070</v>
      </c>
      <c r="Q3" s="1">
        <v>55249</v>
      </c>
      <c r="R3" s="1">
        <v>52</v>
      </c>
      <c r="S3" s="13"/>
      <c r="T3">
        <f>E3/G3</f>
        <v>2.660346685284036E-2</v>
      </c>
      <c r="U3">
        <f>D3/C3</f>
        <v>5.0170384991350112E-2</v>
      </c>
      <c r="V3">
        <f>(E3-F3)/O3</f>
        <v>5.5083869830052361E-2</v>
      </c>
      <c r="W3">
        <f>H3/K3</f>
        <v>1.1620383616308398</v>
      </c>
      <c r="X3">
        <f>(H3-I3)/K3</f>
        <v>0.66329386740955465</v>
      </c>
      <c r="Y3">
        <f>(H3-K3)/G3</f>
        <v>6.1609441038774776E-2</v>
      </c>
      <c r="Z3">
        <f>J3/N3</f>
        <v>1.0705523131535486</v>
      </c>
      <c r="AA3">
        <f>J3/G3</f>
        <v>0.51703707573707569</v>
      </c>
      <c r="AB3">
        <f>C3/G3</f>
        <v>1.027208579066982</v>
      </c>
      <c r="AC3">
        <f>C3/(G3-K3)</f>
        <v>1.6573631800868704</v>
      </c>
      <c r="AD3">
        <f>Q3/E3</f>
        <v>0.74315344883245449</v>
      </c>
      <c r="AE3">
        <f>Q3/J3</f>
        <v>3.8237989247490438E-2</v>
      </c>
      <c r="AF3">
        <f>Q3/G3</f>
        <v>1.9770458142588199E-2</v>
      </c>
      <c r="AG3">
        <f>Q3/K3</f>
        <v>5.1998080036140495E-2</v>
      </c>
      <c r="AH3">
        <f>Q3/L3</f>
        <v>8.7407133183987046E-2</v>
      </c>
      <c r="AI3" s="1">
        <f>R3</f>
        <v>52</v>
      </c>
      <c r="AJ3" s="1">
        <f>P3</f>
        <v>748070</v>
      </c>
    </row>
    <row r="4" spans="1:36" x14ac:dyDescent="0.25">
      <c r="A4" t="s">
        <v>17</v>
      </c>
      <c r="B4">
        <v>2020</v>
      </c>
      <c r="C4" s="1">
        <v>2986136</v>
      </c>
      <c r="D4" s="1">
        <v>202539</v>
      </c>
      <c r="E4" s="1">
        <v>86573</v>
      </c>
      <c r="G4" s="1">
        <v>3196587</v>
      </c>
      <c r="H4" s="1">
        <v>1476782</v>
      </c>
      <c r="I4" s="1">
        <v>747888</v>
      </c>
      <c r="J4" s="1">
        <v>1765112</v>
      </c>
      <c r="K4" s="1">
        <v>1326524</v>
      </c>
      <c r="L4" s="1">
        <v>623412</v>
      </c>
      <c r="M4" s="1">
        <v>153133</v>
      </c>
      <c r="N4" s="1">
        <v>1431475</v>
      </c>
      <c r="O4" s="1">
        <v>1431475</v>
      </c>
      <c r="P4" s="1">
        <v>831993</v>
      </c>
      <c r="Q4" s="1">
        <v>226503</v>
      </c>
      <c r="R4" s="1">
        <v>60.3</v>
      </c>
      <c r="S4" s="14"/>
      <c r="T4">
        <f>E4/G4</f>
        <v>2.7082948156893587E-2</v>
      </c>
      <c r="U4">
        <f>D4/C4</f>
        <v>6.7826448627925862E-2</v>
      </c>
      <c r="V4">
        <f>(E4-F4)/O4</f>
        <v>6.0478178103005639E-2</v>
      </c>
      <c r="W4">
        <f>H4/K4</f>
        <v>1.1132719800018696</v>
      </c>
      <c r="X4">
        <f>(H4-I4)/K4</f>
        <v>0.54947667739143813</v>
      </c>
      <c r="Y4">
        <f>(H4-K4)/G4</f>
        <v>4.7005759580452527E-2</v>
      </c>
      <c r="Z4">
        <f>J4/N4</f>
        <v>1.2330721807925391</v>
      </c>
      <c r="AA4">
        <f>J4/G4</f>
        <v>0.55218644135135375</v>
      </c>
      <c r="AB4">
        <f>C4/G4</f>
        <v>0.93416384412499953</v>
      </c>
      <c r="AC4">
        <f>C4/(G4-K4)</f>
        <v>1.5968103748376392</v>
      </c>
      <c r="AD4">
        <f>Q4/E4</f>
        <v>2.6163237961027108</v>
      </c>
      <c r="AE4">
        <f>Q4/J4</f>
        <v>0.12832216879155545</v>
      </c>
      <c r="AF4">
        <f>Q4/G4</f>
        <v>7.0857761731496743E-2</v>
      </c>
      <c r="AG4">
        <f>Q4/K4</f>
        <v>0.1707492665040361</v>
      </c>
      <c r="AH4">
        <f>Q4/L4</f>
        <v>0.36332794363919846</v>
      </c>
      <c r="AI4" s="1">
        <f>R4</f>
        <v>60.3</v>
      </c>
      <c r="AJ4" s="1">
        <f>P4</f>
        <v>831993</v>
      </c>
    </row>
    <row r="5" spans="1:36" x14ac:dyDescent="0.25">
      <c r="A5" t="s">
        <v>17</v>
      </c>
      <c r="B5">
        <v>2021</v>
      </c>
      <c r="C5" s="1">
        <v>3129718</v>
      </c>
      <c r="D5" s="1">
        <v>232733</v>
      </c>
      <c r="E5" s="1">
        <v>165288</v>
      </c>
      <c r="G5" s="1">
        <v>3793248</v>
      </c>
      <c r="H5" s="1">
        <v>2043286</v>
      </c>
      <c r="I5" s="1">
        <v>1263195</v>
      </c>
      <c r="J5" s="1">
        <v>2136459</v>
      </c>
      <c r="K5" s="1">
        <v>1782387</v>
      </c>
      <c r="L5" s="1">
        <v>821295</v>
      </c>
      <c r="M5" s="1">
        <v>119425</v>
      </c>
      <c r="N5" s="1">
        <v>1656789</v>
      </c>
      <c r="O5" s="1">
        <v>1656789</v>
      </c>
      <c r="P5" s="1">
        <v>986724</v>
      </c>
      <c r="Q5" s="1">
        <v>-125531</v>
      </c>
      <c r="R5" s="1">
        <v>159.5</v>
      </c>
      <c r="S5" s="14"/>
      <c r="T5">
        <f>E5/G5</f>
        <v>4.3574266697036415E-2</v>
      </c>
      <c r="U5">
        <f>D5/C5</f>
        <v>7.4362290787860122E-2</v>
      </c>
      <c r="V5">
        <f>(E5-F5)/O5</f>
        <v>9.9764061688000102E-2</v>
      </c>
      <c r="W5">
        <f>H5/K5</f>
        <v>1.1463761798083132</v>
      </c>
      <c r="X5">
        <f>(H5-I5)/K5</f>
        <v>0.43766645515255664</v>
      </c>
      <c r="Y5">
        <f>(H5-K5)/G5</f>
        <v>6.8779842499093122E-2</v>
      </c>
      <c r="Z5">
        <f>J5/N5</f>
        <v>1.2895178565285019</v>
      </c>
      <c r="AA5">
        <f>J5/G5</f>
        <v>0.56322681775618155</v>
      </c>
      <c r="AB5">
        <f>C5/G5</f>
        <v>0.82507602982984507</v>
      </c>
      <c r="AC5">
        <f>C5/(G5-K5)</f>
        <v>1.5564069321549325</v>
      </c>
      <c r="AD5">
        <f>Q5/E5</f>
        <v>-0.75946832195924685</v>
      </c>
      <c r="AE5">
        <f>Q5/J5</f>
        <v>-5.8756568696146289E-2</v>
      </c>
      <c r="AF5">
        <f>Q5/G5</f>
        <v>-3.3093275209002945E-2</v>
      </c>
      <c r="AG5">
        <f>Q5/K5</f>
        <v>-7.0428588179783633E-2</v>
      </c>
      <c r="AH5">
        <f>Q5/L5</f>
        <v>-0.1528452017849859</v>
      </c>
      <c r="AI5" s="1">
        <f>R5</f>
        <v>159.5</v>
      </c>
      <c r="AJ5" s="1">
        <f>P5</f>
        <v>986724</v>
      </c>
    </row>
    <row r="6" spans="1:36" x14ac:dyDescent="0.25">
      <c r="A6" t="s">
        <v>17</v>
      </c>
      <c r="B6">
        <v>2022</v>
      </c>
      <c r="C6" s="1">
        <v>4329171</v>
      </c>
      <c r="D6" s="1">
        <v>216058</v>
      </c>
      <c r="E6" s="1">
        <v>104215</v>
      </c>
      <c r="G6" s="1">
        <v>5337700</v>
      </c>
      <c r="H6" s="1">
        <v>3801972</v>
      </c>
      <c r="I6" s="1">
        <v>2162729</v>
      </c>
      <c r="J6" s="1">
        <v>3579099</v>
      </c>
      <c r="K6" s="1">
        <v>3232819</v>
      </c>
      <c r="L6" s="1">
        <v>1224789</v>
      </c>
      <c r="M6" s="1">
        <v>107308</v>
      </c>
      <c r="N6" s="1">
        <v>1758602</v>
      </c>
      <c r="O6" s="1">
        <v>1758602</v>
      </c>
      <c r="P6" s="1">
        <v>1088536</v>
      </c>
      <c r="Q6" s="1">
        <v>-46994</v>
      </c>
      <c r="R6" s="1">
        <v>161.75</v>
      </c>
      <c r="S6" s="13"/>
      <c r="T6">
        <f>E6/G6</f>
        <v>1.9524326957303707E-2</v>
      </c>
      <c r="U6">
        <f>D6/C6</f>
        <v>4.99074765122468E-2</v>
      </c>
      <c r="V6">
        <f>(E6-F6)/O6</f>
        <v>5.9260139588150136E-2</v>
      </c>
      <c r="W6">
        <f>H6/K6</f>
        <v>1.1760547064342297</v>
      </c>
      <c r="X6">
        <f>(H6-I6)/K6</f>
        <v>0.50706303074808701</v>
      </c>
      <c r="Y6">
        <f>(H6-K6)/G6</f>
        <v>0.1066288851003241</v>
      </c>
      <c r="Z6">
        <f>J6/N6</f>
        <v>2.0351955701176276</v>
      </c>
      <c r="AA6">
        <f>J6/G6</f>
        <v>0.67053206437229518</v>
      </c>
      <c r="AB6">
        <f>C6/G6</f>
        <v>0.81105551080053206</v>
      </c>
      <c r="AC6">
        <f>C6/(G6-K6)</f>
        <v>2.0567295728357089</v>
      </c>
      <c r="AD6">
        <f>Q6/E6</f>
        <v>-0.45093316701050712</v>
      </c>
      <c r="AE6">
        <f>Q6/J6</f>
        <v>-1.3130120178290681E-2</v>
      </c>
      <c r="AF6">
        <f>Q6/G6</f>
        <v>-8.8041665886055796E-3</v>
      </c>
      <c r="AG6">
        <f>Q6/K6</f>
        <v>-1.4536539162879208E-2</v>
      </c>
      <c r="AH6">
        <f>Q6/L6</f>
        <v>-3.8369057854046699E-2</v>
      </c>
      <c r="AI6" s="1">
        <f>R6</f>
        <v>161.75</v>
      </c>
      <c r="AJ6" s="1">
        <f>P6</f>
        <v>1088536</v>
      </c>
    </row>
    <row r="7" spans="1:36" x14ac:dyDescent="0.25">
      <c r="A7" t="s">
        <v>17</v>
      </c>
      <c r="B7">
        <v>2023</v>
      </c>
      <c r="C7" s="1">
        <v>5246866</v>
      </c>
      <c r="D7" s="1">
        <v>482011</v>
      </c>
      <c r="E7" s="1">
        <v>133520</v>
      </c>
      <c r="G7" s="1">
        <v>4897238</v>
      </c>
      <c r="H7" s="1">
        <v>3348990</v>
      </c>
      <c r="I7" s="1">
        <v>1543615</v>
      </c>
      <c r="J7" s="1">
        <v>3039822</v>
      </c>
      <c r="K7" s="1">
        <v>2648679</v>
      </c>
      <c r="L7" s="1">
        <v>1713174</v>
      </c>
      <c r="M7" s="1">
        <v>46809</v>
      </c>
      <c r="N7" s="1">
        <v>1857416</v>
      </c>
      <c r="O7" s="1">
        <v>1857416</v>
      </c>
      <c r="P7" s="1">
        <v>1180318</v>
      </c>
      <c r="Q7" s="1">
        <v>-550558</v>
      </c>
      <c r="R7" s="1">
        <v>158</v>
      </c>
      <c r="S7" s="13"/>
      <c r="T7">
        <f>E7/G7</f>
        <v>2.7264347781341236E-2</v>
      </c>
      <c r="U7">
        <f>D7/C7</f>
        <v>9.1866458949018334E-2</v>
      </c>
      <c r="V7">
        <f>(E7-F7)/O7</f>
        <v>7.1884812018416983E-2</v>
      </c>
      <c r="W7">
        <f>H7/K7</f>
        <v>1.2644001028437195</v>
      </c>
      <c r="X7">
        <f>(H7-I7)/K7</f>
        <v>0.68161336273666984</v>
      </c>
      <c r="Y7">
        <f>(H7-K7)/G7</f>
        <v>0.14300121823770867</v>
      </c>
      <c r="Z7">
        <f>J7/N7</f>
        <v>1.6365865266585407</v>
      </c>
      <c r="AA7">
        <f>J7/G7</f>
        <v>0.62072172110075108</v>
      </c>
      <c r="AB7">
        <f>C7/G7</f>
        <v>1.0713928953422316</v>
      </c>
      <c r="AC7">
        <f>C7/(G7-K7)</f>
        <v>2.3334348798497171</v>
      </c>
      <c r="AD7">
        <f>Q7/E7</f>
        <v>-4.1234122228879571</v>
      </c>
      <c r="AE7">
        <f>Q7/J7</f>
        <v>-0.18111521003532444</v>
      </c>
      <c r="AF7">
        <f>Q7/G7</f>
        <v>-0.11242214489065061</v>
      </c>
      <c r="AG7">
        <f>Q7/K7</f>
        <v>-0.20786135277245751</v>
      </c>
      <c r="AH7">
        <f>Q7/L7</f>
        <v>-0.32136723998846584</v>
      </c>
      <c r="AI7" s="1">
        <f>R7</f>
        <v>158</v>
      </c>
      <c r="AJ7" s="1">
        <f>P7</f>
        <v>1180318</v>
      </c>
    </row>
    <row r="8" spans="1:36" x14ac:dyDescent="0.25">
      <c r="A8" t="s">
        <v>17</v>
      </c>
      <c r="B8">
        <v>2024</v>
      </c>
      <c r="C8" s="1">
        <v>6123806</v>
      </c>
      <c r="D8" s="1">
        <v>772748</v>
      </c>
      <c r="E8" s="1">
        <v>438720</v>
      </c>
      <c r="G8" s="1">
        <v>5148268</v>
      </c>
      <c r="H8" s="1">
        <v>3786229</v>
      </c>
      <c r="I8" s="1">
        <v>1503252</v>
      </c>
      <c r="J8" s="1">
        <v>2881815</v>
      </c>
      <c r="K8" s="1">
        <v>2539124</v>
      </c>
      <c r="L8" s="1">
        <v>886883</v>
      </c>
      <c r="M8" s="1">
        <v>30176</v>
      </c>
      <c r="N8" s="1">
        <v>2266454</v>
      </c>
      <c r="O8" s="1">
        <v>2266454</v>
      </c>
      <c r="P8" s="1">
        <v>1611962</v>
      </c>
      <c r="Q8" s="1">
        <v>773323</v>
      </c>
      <c r="R8" s="1">
        <v>159.5</v>
      </c>
      <c r="S8" s="13"/>
      <c r="T8">
        <f>E8/G8</f>
        <v>8.5217008904742333E-2</v>
      </c>
      <c r="U8">
        <f>D8/C8</f>
        <v>0.1261875376195784</v>
      </c>
      <c r="V8">
        <f>(E8-F8)/O8</f>
        <v>0.19357110270051808</v>
      </c>
      <c r="W8">
        <f>H8/K8</f>
        <v>1.4911556111477817</v>
      </c>
      <c r="X8">
        <f>(H8-I8)/K8</f>
        <v>0.89911993270119928</v>
      </c>
      <c r="Y8">
        <f>(H8-K8)/G8</f>
        <v>0.24223777783130171</v>
      </c>
      <c r="Z8">
        <f>J8/N8</f>
        <v>1.2715082679816136</v>
      </c>
      <c r="AA8">
        <f>J8/G8</f>
        <v>0.55976398276080419</v>
      </c>
      <c r="AB8">
        <f>C8/G8</f>
        <v>1.1894885814025222</v>
      </c>
      <c r="AC8">
        <f>C8/(G8-K8)</f>
        <v>2.3470555860466114</v>
      </c>
      <c r="AD8">
        <f>Q8/E8</f>
        <v>1.7626800692924873</v>
      </c>
      <c r="AE8">
        <f>Q8/J8</f>
        <v>0.26834581678560215</v>
      </c>
      <c r="AF8">
        <f>Q8/G8</f>
        <v>0.15021032316110972</v>
      </c>
      <c r="AG8">
        <f>Q8/K8</f>
        <v>0.30456291224847626</v>
      </c>
      <c r="AH8">
        <f>Q8/L8</f>
        <v>0.87195605282771238</v>
      </c>
      <c r="AI8" s="1">
        <f>R8</f>
        <v>159.5</v>
      </c>
      <c r="AJ8" s="1">
        <f>P8</f>
        <v>1611962</v>
      </c>
    </row>
    <row r="9" spans="1:36" s="2" customFormat="1" x14ac:dyDescent="0.25">
      <c r="A9" s="2" t="s">
        <v>19</v>
      </c>
      <c r="B9" s="2">
        <v>2018</v>
      </c>
      <c r="C9" s="3">
        <v>16251907</v>
      </c>
      <c r="D9" s="3">
        <v>1402420</v>
      </c>
      <c r="E9" s="3">
        <v>762736</v>
      </c>
      <c r="F9" s="3"/>
      <c r="G9" s="4">
        <v>19146174</v>
      </c>
      <c r="H9" s="3">
        <v>13694440</v>
      </c>
      <c r="I9" s="3">
        <v>4763792</v>
      </c>
      <c r="J9" s="3">
        <v>7572497</v>
      </c>
      <c r="K9" s="4">
        <v>6346730</v>
      </c>
      <c r="L9" s="3">
        <f>2731690+M9</f>
        <v>3081791</v>
      </c>
      <c r="M9" s="3">
        <v>350101</v>
      </c>
      <c r="N9" s="3">
        <v>10328603</v>
      </c>
      <c r="O9" s="4">
        <v>10328603</v>
      </c>
      <c r="P9" s="3">
        <v>6619568</v>
      </c>
      <c r="Q9" s="3">
        <v>235566</v>
      </c>
      <c r="R9" s="3">
        <v>41</v>
      </c>
      <c r="S9" s="16"/>
      <c r="T9" s="2">
        <f>E9/G9</f>
        <v>3.9837515317681746E-2</v>
      </c>
      <c r="U9" s="2">
        <f>D9/C9</f>
        <v>8.629264245728209E-2</v>
      </c>
      <c r="V9" s="2">
        <f>(E9-F9)/O9</f>
        <v>7.3846966525869959E-2</v>
      </c>
      <c r="W9" s="2">
        <f>H9/K9</f>
        <v>2.1577158631295172</v>
      </c>
      <c r="X9" s="2">
        <f>(H9-I9)/K9</f>
        <v>1.4071258742691117</v>
      </c>
      <c r="Y9" s="2">
        <f>(H9-K9)/G9</f>
        <v>0.38376910185815716</v>
      </c>
      <c r="Z9" s="2">
        <f>J9/N9</f>
        <v>0.73315791109407535</v>
      </c>
      <c r="AA9" s="2">
        <f>J9/G9</f>
        <v>0.39550967206294063</v>
      </c>
      <c r="AB9" s="2">
        <f>C9/G9</f>
        <v>0.84883314023992473</v>
      </c>
      <c r="AC9" s="2">
        <f>C9/(G9-K9)</f>
        <v>1.2697353885059381</v>
      </c>
      <c r="AD9" s="2">
        <f>Q9/E9</f>
        <v>0.30884342682133792</v>
      </c>
      <c r="AE9" s="2">
        <f>Q9/J9</f>
        <v>3.1108100802152844E-2</v>
      </c>
      <c r="AF9" s="2">
        <f>Q9/G9</f>
        <v>1.2303554746760372E-2</v>
      </c>
      <c r="AG9" s="2">
        <f>Q9/K9</f>
        <v>3.7116121215176948E-2</v>
      </c>
      <c r="AH9" s="2">
        <f>Q9/L9</f>
        <v>7.6438019320583389E-2</v>
      </c>
      <c r="AI9" s="3">
        <f>R9</f>
        <v>41</v>
      </c>
      <c r="AJ9" s="3">
        <f>P9</f>
        <v>6619568</v>
      </c>
    </row>
    <row r="10" spans="1:36" x14ac:dyDescent="0.25">
      <c r="A10" t="s">
        <v>19</v>
      </c>
      <c r="B10">
        <v>2019</v>
      </c>
      <c r="C10" s="1">
        <v>18183298</v>
      </c>
      <c r="D10" s="1">
        <v>1394036</v>
      </c>
      <c r="E10" s="1">
        <v>624259</v>
      </c>
      <c r="G10" s="5">
        <v>20888784</v>
      </c>
      <c r="H10" s="1">
        <v>15030878</v>
      </c>
      <c r="I10" s="1">
        <v>5679097</v>
      </c>
      <c r="J10" s="1">
        <v>9063695</v>
      </c>
      <c r="K10" s="5">
        <v>7955123</v>
      </c>
      <c r="L10" s="1">
        <f>6217924+M10</f>
        <v>6485080</v>
      </c>
      <c r="M10" s="1">
        <v>267156</v>
      </c>
      <c r="N10" s="1">
        <v>10540773</v>
      </c>
      <c r="O10" s="5">
        <v>10540773</v>
      </c>
      <c r="P10" s="1">
        <v>6838660</v>
      </c>
      <c r="Q10" s="1">
        <v>-2221403</v>
      </c>
      <c r="R10" s="1">
        <v>32.299999999999997</v>
      </c>
      <c r="S10" s="14"/>
      <c r="T10">
        <f>E10/G10</f>
        <v>2.9884889421997948E-2</v>
      </c>
      <c r="U10">
        <f>D10/C10</f>
        <v>7.6665740175407129E-2</v>
      </c>
      <c r="V10">
        <f>(E10-F10)/O10</f>
        <v>5.9223265694081449E-2</v>
      </c>
      <c r="W10">
        <f>H10/K10</f>
        <v>1.8894589059150939</v>
      </c>
      <c r="X10">
        <f>(H10-I10)/K10</f>
        <v>1.1755671156813037</v>
      </c>
      <c r="Y10">
        <f>(H10-K10)/G10</f>
        <v>0.33873465300804489</v>
      </c>
      <c r="Z10">
        <f>J10/N10</f>
        <v>0.85987004937873157</v>
      </c>
      <c r="AA10">
        <f>J10/G10</f>
        <v>0.43390247129751547</v>
      </c>
      <c r="AB10">
        <f>C10/G10</f>
        <v>0.87048140284278874</v>
      </c>
      <c r="AC10">
        <f>C10/(G10-K10)</f>
        <v>1.4058894848102172</v>
      </c>
      <c r="AD10">
        <f>Q10/E10</f>
        <v>-3.558463714580006</v>
      </c>
      <c r="AE10">
        <f>Q10/J10</f>
        <v>-0.24508801322198065</v>
      </c>
      <c r="AF10">
        <f>Q10/G10</f>
        <v>-0.10634429462241556</v>
      </c>
      <c r="AG10">
        <f>Q10/K10</f>
        <v>-0.27924181687699862</v>
      </c>
      <c r="AH10">
        <f>Q10/L10</f>
        <v>-0.3425405700469385</v>
      </c>
      <c r="AI10" s="1">
        <f>R10</f>
        <v>32.299999999999997</v>
      </c>
      <c r="AJ10" s="1">
        <f>P10</f>
        <v>6838660</v>
      </c>
    </row>
    <row r="11" spans="1:36" x14ac:dyDescent="0.25">
      <c r="A11" t="s">
        <v>19</v>
      </c>
      <c r="B11">
        <v>2020</v>
      </c>
      <c r="C11" s="1">
        <v>18682254</v>
      </c>
      <c r="D11" s="1">
        <v>1800806</v>
      </c>
      <c r="E11" s="1">
        <v>1024243</v>
      </c>
      <c r="G11" s="5">
        <v>23481336</v>
      </c>
      <c r="H11" s="1">
        <v>17095595</v>
      </c>
      <c r="I11" s="1">
        <v>6420790</v>
      </c>
      <c r="J11" s="1">
        <v>10547877</v>
      </c>
      <c r="K11" s="5">
        <v>8514293</v>
      </c>
      <c r="L11" s="1">
        <f>5190743+M11</f>
        <v>6321188</v>
      </c>
      <c r="M11" s="1">
        <v>1130445</v>
      </c>
      <c r="N11" s="1">
        <v>11237281</v>
      </c>
      <c r="O11" s="5">
        <v>11237281</v>
      </c>
      <c r="P11" s="1">
        <v>7543151</v>
      </c>
      <c r="Q11" s="1">
        <v>197924</v>
      </c>
      <c r="R11" s="1">
        <v>31.1</v>
      </c>
      <c r="S11" s="14"/>
      <c r="T11">
        <f>E11/G11</f>
        <v>4.3619451635971647E-2</v>
      </c>
      <c r="U11">
        <f>D11/C11</f>
        <v>9.6391259855475683E-2</v>
      </c>
      <c r="V11">
        <f>(E11-F11)/O11</f>
        <v>9.1146870848917996E-2</v>
      </c>
      <c r="W11">
        <f>H11/K11</f>
        <v>2.0078701778292101</v>
      </c>
      <c r="X11">
        <f>(H11-I11)/K11</f>
        <v>1.2537511922598858</v>
      </c>
      <c r="Y11">
        <f>(H11-K11)/G11</f>
        <v>0.36545203390471481</v>
      </c>
      <c r="Z11">
        <f>J11/N11</f>
        <v>0.93865028381865689</v>
      </c>
      <c r="AA11">
        <f>J11/G11</f>
        <v>0.4492025922204767</v>
      </c>
      <c r="AB11">
        <f>C11/G11</f>
        <v>0.79562142460718588</v>
      </c>
      <c r="AC11">
        <f>C11/(G11-K11)</f>
        <v>1.2482261192140625</v>
      </c>
      <c r="AD11">
        <f>Q11/E11</f>
        <v>0.19323929965838185</v>
      </c>
      <c r="AE11">
        <f>Q11/J11</f>
        <v>1.8764344711262749E-2</v>
      </c>
      <c r="AF11">
        <f>Q11/G11</f>
        <v>8.4289922856178208E-3</v>
      </c>
      <c r="AG11">
        <f>Q11/K11</f>
        <v>2.324608749076406E-2</v>
      </c>
      <c r="AH11">
        <f>Q11/L11</f>
        <v>3.1311202894139523E-2</v>
      </c>
      <c r="AI11" s="1">
        <f>R11</f>
        <v>31.1</v>
      </c>
      <c r="AJ11" s="1">
        <f>P11</f>
        <v>7543151</v>
      </c>
    </row>
    <row r="12" spans="1:36" x14ac:dyDescent="0.25">
      <c r="A12" t="s">
        <v>19</v>
      </c>
      <c r="B12">
        <v>2021</v>
      </c>
      <c r="C12" s="1">
        <v>22619123</v>
      </c>
      <c r="D12" s="1">
        <v>2311733</v>
      </c>
      <c r="E12" s="1">
        <v>1753722</v>
      </c>
      <c r="G12" s="5">
        <v>27220288</v>
      </c>
      <c r="H12" s="1">
        <v>19397016</v>
      </c>
      <c r="I12" s="1">
        <v>7901819</v>
      </c>
      <c r="J12" s="1">
        <v>11940220</v>
      </c>
      <c r="K12" s="5">
        <v>9957717</v>
      </c>
      <c r="L12" s="1">
        <f>2754357+M12</f>
        <v>3849258</v>
      </c>
      <c r="M12" s="1">
        <v>1094901</v>
      </c>
      <c r="N12" s="1">
        <v>13332933</v>
      </c>
      <c r="O12" s="5">
        <v>13332933</v>
      </c>
      <c r="P12" s="1">
        <v>8919908</v>
      </c>
      <c r="Q12" s="1">
        <v>3330430</v>
      </c>
      <c r="R12" s="1">
        <v>35.9</v>
      </c>
      <c r="S12" s="14"/>
      <c r="T12">
        <f>E12/G12</f>
        <v>6.4427018553220305E-2</v>
      </c>
      <c r="U12">
        <f>D12/C12</f>
        <v>0.10220259202799331</v>
      </c>
      <c r="V12">
        <f>(E12-F12)/O12</f>
        <v>0.13153309928130591</v>
      </c>
      <c r="W12">
        <f>H12/K12</f>
        <v>1.9479380665266948</v>
      </c>
      <c r="X12">
        <f>(H12-I12)/K12</f>
        <v>1.154400853127278</v>
      </c>
      <c r="Y12">
        <f>(H12-K12)/G12</f>
        <v>0.34677439856624587</v>
      </c>
      <c r="Z12">
        <f>J12/N12</f>
        <v>0.89554338869024541</v>
      </c>
      <c r="AA12">
        <f>J12/G12</f>
        <v>0.43865149406207604</v>
      </c>
      <c r="AB12">
        <f>C12/G12</f>
        <v>0.83096560183345602</v>
      </c>
      <c r="AC12">
        <f>C12/(G12-K12)</f>
        <v>1.3102986223778601</v>
      </c>
      <c r="AD12">
        <f>Q12/E12</f>
        <v>1.899063819693201</v>
      </c>
      <c r="AE12">
        <f>Q12/J12</f>
        <v>0.27892534643415279</v>
      </c>
      <c r="AF12">
        <f>Q12/G12</f>
        <v>0.12235101994512329</v>
      </c>
      <c r="AG12">
        <f>Q12/K12</f>
        <v>0.33445718531667451</v>
      </c>
      <c r="AH12">
        <f>Q12/L12</f>
        <v>0.86521350348560688</v>
      </c>
      <c r="AI12" s="1">
        <f>R12</f>
        <v>35.9</v>
      </c>
      <c r="AJ12" s="1">
        <f>P12</f>
        <v>8919908</v>
      </c>
    </row>
    <row r="13" spans="1:36" x14ac:dyDescent="0.25">
      <c r="A13" t="s">
        <v>19</v>
      </c>
      <c r="B13">
        <v>2022</v>
      </c>
      <c r="C13" s="1">
        <v>35328737</v>
      </c>
      <c r="D13" s="1">
        <v>5846409</v>
      </c>
      <c r="E13" s="1">
        <v>5113980</v>
      </c>
      <c r="G13" s="5">
        <v>33619806</v>
      </c>
      <c r="H13" s="1">
        <v>25311313</v>
      </c>
      <c r="I13" s="1">
        <v>9346739</v>
      </c>
      <c r="J13" s="1">
        <v>13478759</v>
      </c>
      <c r="K13" s="5">
        <v>11249414</v>
      </c>
      <c r="L13" s="1">
        <f>4857716+M13</f>
        <v>6365000</v>
      </c>
      <c r="M13" s="1">
        <v>1507284</v>
      </c>
      <c r="N13" s="1">
        <v>17416828</v>
      </c>
      <c r="O13" s="5">
        <v>17416828</v>
      </c>
      <c r="P13" s="1">
        <v>13071145</v>
      </c>
      <c r="Q13" s="1">
        <v>2494694</v>
      </c>
      <c r="R13" s="1">
        <v>57</v>
      </c>
      <c r="S13" s="14"/>
      <c r="T13">
        <f>E13/G13</f>
        <v>0.1521121210515016</v>
      </c>
      <c r="U13">
        <f>D13/C13</f>
        <v>0.16548593288234448</v>
      </c>
      <c r="V13">
        <f>(E13-F13)/O13</f>
        <v>0.29362292605748874</v>
      </c>
      <c r="W13">
        <f>H13/K13</f>
        <v>2.2500116894977817</v>
      </c>
      <c r="X13">
        <f>(H13-I13)/K13</f>
        <v>1.4191471662435038</v>
      </c>
      <c r="Y13">
        <f>(H13-K13)/G13</f>
        <v>0.41826234809326385</v>
      </c>
      <c r="Z13">
        <f>J13/N13</f>
        <v>0.77389286958566739</v>
      </c>
      <c r="AA13">
        <f>J13/G13</f>
        <v>0.40091721528672714</v>
      </c>
      <c r="AB13">
        <f>C13/G13</f>
        <v>1.0508310785612505</v>
      </c>
      <c r="AC13">
        <f>C13/(G13-K13)</f>
        <v>1.5792632064739858</v>
      </c>
      <c r="AD13">
        <f>Q13/E13</f>
        <v>0.4878184897086027</v>
      </c>
      <c r="AE13">
        <f>Q13/J13</f>
        <v>0.18508335967725217</v>
      </c>
      <c r="AF13">
        <f>Q13/G13</f>
        <v>7.4203105157715665E-2</v>
      </c>
      <c r="AG13">
        <f>Q13/K13</f>
        <v>0.2217621291206813</v>
      </c>
      <c r="AH13">
        <f>Q13/L13</f>
        <v>0.39193935585231737</v>
      </c>
      <c r="AI13" s="1">
        <f>R13</f>
        <v>57</v>
      </c>
      <c r="AJ13" s="1">
        <f>P13</f>
        <v>13071145</v>
      </c>
    </row>
    <row r="14" spans="1:36" x14ac:dyDescent="0.25">
      <c r="A14" t="s">
        <v>19</v>
      </c>
      <c r="B14">
        <v>2023</v>
      </c>
      <c r="C14" s="1">
        <v>30146826</v>
      </c>
      <c r="D14" s="1">
        <v>9079000</v>
      </c>
      <c r="E14" s="1">
        <v>7012540</v>
      </c>
      <c r="G14" s="5">
        <v>36111210</v>
      </c>
      <c r="H14" s="1">
        <v>27150893</v>
      </c>
      <c r="I14" s="1">
        <v>11719856</v>
      </c>
      <c r="J14" s="1">
        <v>8652940</v>
      </c>
      <c r="K14" s="5">
        <v>6806905</v>
      </c>
      <c r="L14" s="1">
        <f>705712+3575566</f>
        <v>4281278</v>
      </c>
      <c r="M14" s="1">
        <v>705712</v>
      </c>
      <c r="N14" s="1">
        <v>23500180</v>
      </c>
      <c r="O14" s="5">
        <v>23500180</v>
      </c>
      <c r="P14" s="1">
        <v>18749250</v>
      </c>
      <c r="Q14" s="1">
        <v>2559689</v>
      </c>
      <c r="R14" s="1">
        <v>82.3</v>
      </c>
      <c r="S14" s="14"/>
      <c r="T14">
        <f>E14/G14</f>
        <v>0.19419288359487261</v>
      </c>
      <c r="U14">
        <f>D14/C14</f>
        <v>0.30115939900273414</v>
      </c>
      <c r="V14">
        <f>(E14-F14)/O14</f>
        <v>0.29840367180166277</v>
      </c>
      <c r="W14">
        <f>H14/K14</f>
        <v>3.9887280636353819</v>
      </c>
      <c r="X14">
        <f>(H14-I14)/K14</f>
        <v>2.2669681742289631</v>
      </c>
      <c r="Y14">
        <f>(H14-K14)/G14</f>
        <v>0.56337043261635378</v>
      </c>
      <c r="Z14">
        <f>J14/N14</f>
        <v>0.36820739245401524</v>
      </c>
      <c r="AA14">
        <f>J14/G14</f>
        <v>0.23961922073505706</v>
      </c>
      <c r="AB14">
        <f>C14/G14</f>
        <v>0.8348328953806865</v>
      </c>
      <c r="AC14">
        <f>C14/(G14-K14)</f>
        <v>1.028750758634269</v>
      </c>
      <c r="AD14">
        <f>Q14/E14</f>
        <v>0.36501595712823026</v>
      </c>
      <c r="AE14">
        <f>Q14/J14</f>
        <v>0.29581725979840379</v>
      </c>
      <c r="AF14">
        <f>Q14/G14</f>
        <v>7.0883501272873434E-2</v>
      </c>
      <c r="AG14">
        <f>Q14/K14</f>
        <v>0.37604300339140917</v>
      </c>
      <c r="AH14">
        <f>Q14/L14</f>
        <v>0.59787965182359104</v>
      </c>
      <c r="AI14" s="1">
        <f>R14</f>
        <v>82.3</v>
      </c>
      <c r="AJ14" s="1">
        <f>P14</f>
        <v>18749250</v>
      </c>
    </row>
    <row r="15" spans="1:36" x14ac:dyDescent="0.25">
      <c r="A15" s="15" t="s">
        <v>19</v>
      </c>
      <c r="B15" s="15">
        <v>2024</v>
      </c>
      <c r="C15" s="6">
        <v>29196329</v>
      </c>
      <c r="D15" s="6">
        <v>4819482</v>
      </c>
      <c r="E15" s="6">
        <v>3445820</v>
      </c>
      <c r="F15" s="6"/>
      <c r="G15" s="11">
        <f>32873575+K15</f>
        <v>38268232</v>
      </c>
      <c r="H15" s="6">
        <v>28271239</v>
      </c>
      <c r="I15" s="6">
        <v>11327209</v>
      </c>
      <c r="J15" s="6">
        <v>7261727</v>
      </c>
      <c r="K15" s="11">
        <v>5394657</v>
      </c>
      <c r="L15" s="6">
        <f>335241+1569359</f>
        <v>1904600</v>
      </c>
      <c r="M15" s="6">
        <v>335241</v>
      </c>
      <c r="N15" s="6">
        <v>26624588</v>
      </c>
      <c r="O15" s="11">
        <v>26624588</v>
      </c>
      <c r="P15" s="6">
        <v>21314711</v>
      </c>
      <c r="Q15" s="6">
        <v>3762360</v>
      </c>
      <c r="R15" s="6">
        <v>84.1</v>
      </c>
      <c r="S15" s="15"/>
      <c r="T15" s="15">
        <f>E15/G15</f>
        <v>9.0043877647653023E-2</v>
      </c>
      <c r="U15" s="15">
        <f>D15/C15</f>
        <v>0.16507150607872653</v>
      </c>
      <c r="V15" s="15">
        <f>(E15-F15)/O15</f>
        <v>0.1294224721899922</v>
      </c>
      <c r="W15" s="15">
        <f>H15/K15</f>
        <v>5.2405999120982116</v>
      </c>
      <c r="X15" s="15">
        <f>(H15-I15)/K15</f>
        <v>3.1408910705536979</v>
      </c>
      <c r="Y15" s="15">
        <f>(H15-K15)/G15</f>
        <v>0.59779563372564481</v>
      </c>
      <c r="Z15" s="15">
        <f>J15/N15</f>
        <v>0.2727451406947593</v>
      </c>
      <c r="AA15" s="15">
        <f>J15/G15</f>
        <v>0.18975862276574471</v>
      </c>
      <c r="AB15" s="15">
        <f>C15/G15</f>
        <v>0.76293906130808442</v>
      </c>
      <c r="AC15" s="15">
        <f>C15/(G15-K15)</f>
        <v>0.88813975967019099</v>
      </c>
      <c r="AD15" s="15">
        <f>Q15/E15</f>
        <v>1.0918620241335879</v>
      </c>
      <c r="AE15" s="15">
        <f>Q15/J15</f>
        <v>0.51810815801805821</v>
      </c>
      <c r="AF15" s="15">
        <f>Q15/G15</f>
        <v>9.831549050920356E-2</v>
      </c>
      <c r="AG15" s="15">
        <f>Q15/K15</f>
        <v>0.69742339503697826</v>
      </c>
      <c r="AH15" s="15">
        <f>Q15/L15</f>
        <v>1.975406909587315</v>
      </c>
      <c r="AI15" s="6">
        <f>R15</f>
        <v>84.1</v>
      </c>
      <c r="AJ15" s="6">
        <f>P15</f>
        <v>21314711</v>
      </c>
    </row>
    <row r="16" spans="1:36" s="2" customFormat="1" x14ac:dyDescent="0.25">
      <c r="A16" s="2" t="s">
        <v>21</v>
      </c>
      <c r="B16" s="2">
        <v>2018</v>
      </c>
      <c r="C16" s="3">
        <v>1222549</v>
      </c>
      <c r="D16" s="3">
        <v>67976</v>
      </c>
      <c r="E16" s="3">
        <v>-68542</v>
      </c>
      <c r="F16" s="3"/>
      <c r="G16" s="3">
        <v>1568594</v>
      </c>
      <c r="H16" s="3">
        <v>639226</v>
      </c>
      <c r="I16" s="3">
        <v>236660</v>
      </c>
      <c r="J16" s="3">
        <v>1053400</v>
      </c>
      <c r="K16" s="3">
        <v>955089</v>
      </c>
      <c r="L16" s="3">
        <f>754526+M16</f>
        <v>778269</v>
      </c>
      <c r="M16" s="3">
        <v>23743</v>
      </c>
      <c r="N16" s="3">
        <v>515194</v>
      </c>
      <c r="O16" s="3">
        <v>515194</v>
      </c>
      <c r="P16" s="3">
        <v>-499343</v>
      </c>
      <c r="Q16" s="3">
        <v>70209</v>
      </c>
      <c r="R16" s="3">
        <v>5.9</v>
      </c>
      <c r="S16" s="17"/>
      <c r="T16" s="2">
        <f>E16/G16</f>
        <v>-4.3696456826941836E-2</v>
      </c>
      <c r="U16" s="2">
        <f>D16/C16</f>
        <v>5.5601861356886308E-2</v>
      </c>
      <c r="V16" s="2">
        <f>(E16-F16)/O16</f>
        <v>-0.13304114566551628</v>
      </c>
      <c r="W16" s="2">
        <f>H16/K16</f>
        <v>0.66928422377391006</v>
      </c>
      <c r="X16" s="2">
        <f>(H16-I16)/K16</f>
        <v>0.42149579777382001</v>
      </c>
      <c r="Y16" s="2">
        <f>(H16-K16)/G16</f>
        <v>-0.20136695665035056</v>
      </c>
      <c r="Z16" s="2">
        <f>J16/N16</f>
        <v>2.0446666692546884</v>
      </c>
      <c r="AA16" s="2">
        <f>J16/G16</f>
        <v>0.67155682094920677</v>
      </c>
      <c r="AB16" s="2">
        <f>C16/G16</f>
        <v>0.77939160802604113</v>
      </c>
      <c r="AC16" s="2">
        <f>C16/(G16-K16)</f>
        <v>1.9927286656180472</v>
      </c>
      <c r="AD16" s="2">
        <f>Q16/E16</f>
        <v>-1.0243208543666658</v>
      </c>
      <c r="AE16" s="2">
        <f>Q16/J16</f>
        <v>6.6649895576229357E-2</v>
      </c>
      <c r="AF16" s="2">
        <f>Q16/G16</f>
        <v>4.475919198976918E-2</v>
      </c>
      <c r="AG16" s="2">
        <f>Q16/K16</f>
        <v>7.3510426776980997E-2</v>
      </c>
      <c r="AH16" s="2">
        <f>Q16/L16</f>
        <v>9.0211739128758822E-2</v>
      </c>
      <c r="AI16" s="3">
        <f>R16</f>
        <v>5.9</v>
      </c>
      <c r="AJ16" s="3">
        <f>P16</f>
        <v>-499343</v>
      </c>
    </row>
    <row r="17" spans="1:36" x14ac:dyDescent="0.25">
      <c r="A17" t="s">
        <v>21</v>
      </c>
      <c r="B17">
        <v>2019</v>
      </c>
      <c r="C17" s="1">
        <v>1245902</v>
      </c>
      <c r="D17" s="1">
        <v>23995</v>
      </c>
      <c r="E17" s="1">
        <v>-111632</v>
      </c>
      <c r="G17" s="1">
        <v>1530597</v>
      </c>
      <c r="H17" s="1">
        <v>566260</v>
      </c>
      <c r="I17" s="1">
        <v>232387</v>
      </c>
      <c r="J17" s="1">
        <v>1073738</v>
      </c>
      <c r="K17" s="1">
        <v>919829</v>
      </c>
      <c r="L17" s="1">
        <f>692449+M17</f>
        <v>769065</v>
      </c>
      <c r="M17" s="1">
        <v>76616</v>
      </c>
      <c r="N17" s="1">
        <v>456859</v>
      </c>
      <c r="O17" s="1">
        <v>456859</v>
      </c>
      <c r="P17" s="1">
        <v>-573928</v>
      </c>
      <c r="Q17" s="1">
        <v>-25429</v>
      </c>
      <c r="R17" s="1">
        <v>3.5</v>
      </c>
      <c r="S17" s="13"/>
      <c r="T17">
        <f>E17/G17</f>
        <v>-7.2933633085652205E-2</v>
      </c>
      <c r="U17">
        <f>D17/C17</f>
        <v>1.9259139161828136E-2</v>
      </c>
      <c r="V17">
        <f>(E17-F17)/O17</f>
        <v>-0.24434672404396104</v>
      </c>
      <c r="W17">
        <f>H17/K17</f>
        <v>0.61561442398532773</v>
      </c>
      <c r="X17">
        <f>(H17-I17)/K17</f>
        <v>0.36297290039779134</v>
      </c>
      <c r="Y17">
        <f>(H17-K17)/G17</f>
        <v>-0.23100071410044579</v>
      </c>
      <c r="Z17">
        <f>J17/N17</f>
        <v>2.3502612403389231</v>
      </c>
      <c r="AA17">
        <f>J17/G17</f>
        <v>0.70151581376417171</v>
      </c>
      <c r="AB17">
        <f>C17/G17</f>
        <v>0.81399741408091086</v>
      </c>
      <c r="AC17">
        <f>C17/(G17-K17)</f>
        <v>2.0398940350509522</v>
      </c>
      <c r="AD17">
        <f>Q17/E17</f>
        <v>0.22779310591944962</v>
      </c>
      <c r="AE17">
        <f>Q17/J17</f>
        <v>-2.3682686092882994E-2</v>
      </c>
      <c r="AF17">
        <f>Q17/G17</f>
        <v>-1.6613778806570247E-2</v>
      </c>
      <c r="AG17">
        <f>Q17/K17</f>
        <v>-2.7645355821571183E-2</v>
      </c>
      <c r="AH17">
        <f>Q17/L17</f>
        <v>-3.3064825469888759E-2</v>
      </c>
      <c r="AI17" s="1">
        <f>R17</f>
        <v>3.5</v>
      </c>
      <c r="AJ17" s="1">
        <f>P17</f>
        <v>-573928</v>
      </c>
    </row>
    <row r="18" spans="1:36" x14ac:dyDescent="0.25">
      <c r="A18" t="s">
        <v>21</v>
      </c>
      <c r="B18">
        <v>2020</v>
      </c>
      <c r="C18" s="1">
        <v>1189150</v>
      </c>
      <c r="D18" s="1">
        <v>-37662</v>
      </c>
      <c r="E18" s="1">
        <v>-179391</v>
      </c>
      <c r="F18" s="6"/>
      <c r="G18" s="1">
        <v>1501889</v>
      </c>
      <c r="H18" s="1">
        <v>623810</v>
      </c>
      <c r="I18" s="1">
        <v>251781</v>
      </c>
      <c r="J18" s="1">
        <v>1222793</v>
      </c>
      <c r="K18" s="1">
        <v>1093153</v>
      </c>
      <c r="L18" s="1">
        <f>849782+M18</f>
        <v>915832</v>
      </c>
      <c r="M18" s="1">
        <v>66050</v>
      </c>
      <c r="N18" s="1">
        <v>279096</v>
      </c>
      <c r="O18" s="1">
        <v>279096</v>
      </c>
      <c r="P18" s="1">
        <v>-722005</v>
      </c>
      <c r="Q18" s="1">
        <v>-110363</v>
      </c>
      <c r="R18" s="1">
        <v>2.7</v>
      </c>
      <c r="S18" s="13"/>
      <c r="T18">
        <f>E18/G18</f>
        <v>-0.11944358071734995</v>
      </c>
      <c r="U18">
        <f>D18/C18</f>
        <v>-3.167136189715343E-2</v>
      </c>
      <c r="V18">
        <f>(E18-F18)/O18</f>
        <v>-0.6427573308109038</v>
      </c>
      <c r="W18">
        <f>H18/K18</f>
        <v>0.57065204962159921</v>
      </c>
      <c r="X18">
        <f>(H18-I18)/K18</f>
        <v>0.34032655996004219</v>
      </c>
      <c r="Y18">
        <f>(H18-K18)/G18</f>
        <v>-0.312501789413199</v>
      </c>
      <c r="Z18">
        <f>J18/N18</f>
        <v>4.3812630779373407</v>
      </c>
      <c r="AA18">
        <f>J18/G18</f>
        <v>0.81417002188577181</v>
      </c>
      <c r="AB18">
        <f>C18/G18</f>
        <v>0.791769564861318</v>
      </c>
      <c r="AC18">
        <f>C18/(G18-K18)</f>
        <v>2.9093351209582714</v>
      </c>
      <c r="AD18">
        <f>Q18/E18</f>
        <v>0.61520923569186858</v>
      </c>
      <c r="AE18">
        <f>Q18/J18</f>
        <v>-9.0254850984590199E-2</v>
      </c>
      <c r="AF18">
        <f>Q18/G18</f>
        <v>-7.3482794001420881E-2</v>
      </c>
      <c r="AG18">
        <f>Q18/K18</f>
        <v>-0.10095842027602724</v>
      </c>
      <c r="AH18">
        <f>Q18/L18</f>
        <v>-0.12050572594100228</v>
      </c>
      <c r="AI18" s="1">
        <f>R18</f>
        <v>2.7</v>
      </c>
      <c r="AJ18" s="1">
        <f>P18</f>
        <v>-722005</v>
      </c>
    </row>
    <row r="19" spans="1:36" x14ac:dyDescent="0.25">
      <c r="A19" t="s">
        <v>21</v>
      </c>
      <c r="B19">
        <v>2021</v>
      </c>
      <c r="C19" s="1">
        <v>1408301</v>
      </c>
      <c r="D19" s="1">
        <v>34267</v>
      </c>
      <c r="E19" s="1">
        <v>-119021</v>
      </c>
      <c r="F19" s="6"/>
      <c r="G19" s="1">
        <v>1606359</v>
      </c>
      <c r="H19" s="1">
        <v>682271</v>
      </c>
      <c r="I19" s="1">
        <v>324900</v>
      </c>
      <c r="J19" s="1">
        <v>1328211</v>
      </c>
      <c r="K19" s="1">
        <v>1232432</v>
      </c>
      <c r="L19" s="1">
        <f>959300+M19</f>
        <v>1012848</v>
      </c>
      <c r="M19" s="1">
        <v>53548</v>
      </c>
      <c r="N19" s="1">
        <v>278148</v>
      </c>
      <c r="O19" s="1">
        <v>278148</v>
      </c>
      <c r="P19" s="1">
        <v>-845281</v>
      </c>
      <c r="Q19" s="1">
        <v>-59724</v>
      </c>
      <c r="R19" s="1">
        <v>6.5</v>
      </c>
      <c r="T19">
        <f>E19/G19</f>
        <v>-7.409364905354282E-2</v>
      </c>
      <c r="U19">
        <f>D19/C19</f>
        <v>2.4332156264889396E-2</v>
      </c>
      <c r="V19">
        <f>(E19-F19)/O19</f>
        <v>-0.42790528783237702</v>
      </c>
      <c r="W19">
        <f>H19/K19</f>
        <v>0.55359727757799215</v>
      </c>
      <c r="X19">
        <f>(H19-I19)/K19</f>
        <v>0.28997218507795969</v>
      </c>
      <c r="Y19">
        <f>(H19-K19)/G19</f>
        <v>-0.34248944351791849</v>
      </c>
      <c r="Z19">
        <f>J19/N19</f>
        <v>4.7751952198110361</v>
      </c>
      <c r="AA19">
        <f>J19/G19</f>
        <v>0.82684568019975613</v>
      </c>
      <c r="AB19">
        <f>C19/G19</f>
        <v>0.87670377543251543</v>
      </c>
      <c r="AC19">
        <f>C19/(G19-K19)</f>
        <v>3.7662458180340015</v>
      </c>
      <c r="AD19">
        <f>Q19/E19</f>
        <v>0.50179380109392457</v>
      </c>
      <c r="AE19">
        <f>Q19/J19</f>
        <v>-4.496574715914866E-2</v>
      </c>
      <c r="AF19">
        <f>Q19/G19</f>
        <v>-3.7179733795496522E-2</v>
      </c>
      <c r="AG19">
        <f>Q19/K19</f>
        <v>-4.8460280161501813E-2</v>
      </c>
      <c r="AH19">
        <f>Q19/L19</f>
        <v>-5.8966399696696842E-2</v>
      </c>
      <c r="AI19" s="1">
        <f>R19</f>
        <v>6.5</v>
      </c>
      <c r="AJ19" s="1">
        <f>P19</f>
        <v>-845281</v>
      </c>
    </row>
    <row r="20" spans="1:36" x14ac:dyDescent="0.25">
      <c r="A20" t="s">
        <v>21</v>
      </c>
      <c r="B20">
        <v>2022</v>
      </c>
      <c r="C20" s="1">
        <v>948083</v>
      </c>
      <c r="D20" s="1">
        <v>-140545</v>
      </c>
      <c r="E20" s="1">
        <v>-260972</v>
      </c>
      <c r="F20" s="6"/>
      <c r="G20" s="1">
        <v>1355783</v>
      </c>
      <c r="H20" s="1">
        <v>323358</v>
      </c>
      <c r="I20" s="1">
        <v>185907</v>
      </c>
      <c r="J20" s="1">
        <v>1221487</v>
      </c>
      <c r="K20" s="1">
        <v>1162633</v>
      </c>
      <c r="L20" s="1">
        <f>941105+M20</f>
        <v>966645</v>
      </c>
      <c r="M20" s="1">
        <v>25540</v>
      </c>
      <c r="N20" s="1">
        <v>119424</v>
      </c>
      <c r="O20" s="1">
        <v>119424</v>
      </c>
      <c r="P20" s="1">
        <v>-1104222</v>
      </c>
      <c r="Q20" s="1">
        <v>78102</v>
      </c>
      <c r="R20" s="1">
        <v>11</v>
      </c>
      <c r="T20">
        <f>E20/G20</f>
        <v>-0.19248803090170036</v>
      </c>
      <c r="U20">
        <f>D20/C20</f>
        <v>-0.14824124048210968</v>
      </c>
      <c r="V20">
        <f>(E20-F20)/O20</f>
        <v>-2.1852558949624865</v>
      </c>
      <c r="W20">
        <f>H20/K20</f>
        <v>0.27812559939378978</v>
      </c>
      <c r="X20">
        <f>(H20-I20)/K20</f>
        <v>0.11822389352443978</v>
      </c>
      <c r="Y20">
        <f>(H20-K20)/G20</f>
        <v>-0.6190334293909866</v>
      </c>
      <c r="Z20">
        <f>J20/N20</f>
        <v>10.228153469989282</v>
      </c>
      <c r="AA20">
        <f>J20/G20</f>
        <v>0.90094580032350313</v>
      </c>
      <c r="AB20">
        <f>C20/G20</f>
        <v>0.69928816042095232</v>
      </c>
      <c r="AC20">
        <f>C20/(G20-K20)</f>
        <v>4.9085322288376911</v>
      </c>
      <c r="AD20">
        <f>Q20/E20</f>
        <v>-0.29927348527811415</v>
      </c>
      <c r="AE20">
        <f>Q20/J20</f>
        <v>6.3940099239697193E-2</v>
      </c>
      <c r="AF20">
        <f>Q20/G20</f>
        <v>5.7606563882273198E-2</v>
      </c>
      <c r="AG20">
        <f>Q20/K20</f>
        <v>6.7176830521755354E-2</v>
      </c>
      <c r="AH20">
        <f>Q20/L20</f>
        <v>8.0796983380661977E-2</v>
      </c>
      <c r="AI20" s="1">
        <f>R20</f>
        <v>11</v>
      </c>
      <c r="AJ20" s="1">
        <f>P20</f>
        <v>-1104222</v>
      </c>
    </row>
    <row r="21" spans="1:36" x14ac:dyDescent="0.25">
      <c r="A21" t="s">
        <v>21</v>
      </c>
      <c r="B21">
        <v>2023</v>
      </c>
      <c r="C21" s="1">
        <v>991359</v>
      </c>
      <c r="D21" s="1">
        <v>240175</v>
      </c>
      <c r="E21" s="1">
        <v>119433</v>
      </c>
      <c r="F21" s="6"/>
      <c r="G21" s="1">
        <v>1715316</v>
      </c>
      <c r="H21" s="1">
        <v>760513</v>
      </c>
      <c r="I21" s="1">
        <v>363862</v>
      </c>
      <c r="J21" s="1">
        <v>1327869</v>
      </c>
      <c r="K21" s="1">
        <v>1003053</v>
      </c>
      <c r="L21" s="1">
        <f>817617+M21</f>
        <v>1118795</v>
      </c>
      <c r="M21" s="1">
        <v>301178</v>
      </c>
      <c r="N21" s="1">
        <v>387447</v>
      </c>
      <c r="O21" s="1">
        <v>387447</v>
      </c>
      <c r="P21" s="1">
        <v>-985763</v>
      </c>
      <c r="Q21" s="1">
        <v>-269607</v>
      </c>
      <c r="R21" s="1">
        <v>6.3</v>
      </c>
      <c r="S21" s="14"/>
      <c r="T21">
        <f>E21/G21</f>
        <v>6.9627403930237933E-2</v>
      </c>
      <c r="U21">
        <f>D21/C21</f>
        <v>0.24226844160389929</v>
      </c>
      <c r="V21">
        <f>(E21-F21)/O21</f>
        <v>0.30825635506275695</v>
      </c>
      <c r="W21">
        <f>H21/K21</f>
        <v>0.75819822083180055</v>
      </c>
      <c r="X21">
        <f>(H21-I21)/K21</f>
        <v>0.39544371035229442</v>
      </c>
      <c r="Y21">
        <f>(H21-K21)/G21</f>
        <v>-0.14139668725762483</v>
      </c>
      <c r="Z21">
        <f>J21/N21</f>
        <v>3.4272274659501818</v>
      </c>
      <c r="AA21">
        <f>J21/G21</f>
        <v>0.77412500087447444</v>
      </c>
      <c r="AB21">
        <f>C21/G21</f>
        <v>0.5779454048117082</v>
      </c>
      <c r="AC21">
        <f>C21/(G21-K21)</f>
        <v>1.3918440239068997</v>
      </c>
      <c r="AD21">
        <f>Q21/E21</f>
        <v>-2.2573911732938132</v>
      </c>
      <c r="AE21">
        <f>Q21/J21</f>
        <v>-0.20303734781066507</v>
      </c>
      <c r="AF21">
        <f>Q21/G21</f>
        <v>-0.15717628705148207</v>
      </c>
      <c r="AG21">
        <f>Q21/K21</f>
        <v>-0.26878639513565084</v>
      </c>
      <c r="AH21">
        <f>Q21/L21</f>
        <v>-0.24097980416430176</v>
      </c>
      <c r="AI21" s="1">
        <f>R21</f>
        <v>6.3</v>
      </c>
      <c r="AJ21" s="1">
        <f>P21</f>
        <v>-985763</v>
      </c>
    </row>
    <row r="22" spans="1:36" x14ac:dyDescent="0.25">
      <c r="A22" s="15" t="s">
        <v>21</v>
      </c>
      <c r="B22" s="15">
        <v>2024</v>
      </c>
      <c r="C22" s="6">
        <v>1105785</v>
      </c>
      <c r="D22" s="6">
        <v>-130861</v>
      </c>
      <c r="E22" s="6">
        <v>-610616</v>
      </c>
      <c r="F22" s="6"/>
      <c r="G22" s="6">
        <v>1962460</v>
      </c>
      <c r="H22" s="6">
        <v>908251</v>
      </c>
      <c r="I22" s="6">
        <v>418786</v>
      </c>
      <c r="J22" s="6">
        <v>2091305</v>
      </c>
      <c r="K22" s="6">
        <v>1694861</v>
      </c>
      <c r="L22" s="6">
        <f>1417893+M22</f>
        <v>1530483</v>
      </c>
      <c r="M22" s="6">
        <v>112590</v>
      </c>
      <c r="N22" s="6">
        <v>-128845</v>
      </c>
      <c r="O22" s="6">
        <v>-128845</v>
      </c>
      <c r="P22" s="6">
        <v>-1595851</v>
      </c>
      <c r="Q22" s="6">
        <v>-144254</v>
      </c>
      <c r="R22" s="6">
        <v>5.5</v>
      </c>
      <c r="S22" s="15"/>
      <c r="T22" s="15">
        <f>E22/G22</f>
        <v>-0.31114825270323981</v>
      </c>
      <c r="U22" s="15">
        <f>D22/C22</f>
        <v>-0.11834217320726904</v>
      </c>
      <c r="V22" s="15">
        <f>(E22-F22)/O22</f>
        <v>4.7391516938957663</v>
      </c>
      <c r="W22" s="15">
        <f>H22/K22</f>
        <v>0.53588524368665036</v>
      </c>
      <c r="X22" s="15">
        <f>(H22-I22)/K22</f>
        <v>0.28879359428295298</v>
      </c>
      <c r="Y22" s="15">
        <f>(H22-K22)/G22</f>
        <v>-0.4008285519195296</v>
      </c>
      <c r="Z22" s="15">
        <f>J22/N22</f>
        <v>-16.231169234351352</v>
      </c>
      <c r="AA22" s="15">
        <f>J22/G22</f>
        <v>1.0656548413725631</v>
      </c>
      <c r="AB22" s="15">
        <f>C22/G22</f>
        <v>0.56346880955535394</v>
      </c>
      <c r="AC22" s="15">
        <f>C22/(G22-K22)</f>
        <v>4.1322463835814034</v>
      </c>
      <c r="AD22" s="15">
        <f>Q22/E22</f>
        <v>0.2362434001074325</v>
      </c>
      <c r="AE22" s="15">
        <f>Q22/J22</f>
        <v>-6.897798264719876E-2</v>
      </c>
      <c r="AF22" s="15">
        <f>Q22/G22</f>
        <v>-7.3506721156099991E-2</v>
      </c>
      <c r="AG22" s="15">
        <f>Q22/K22</f>
        <v>-8.5112584453828369E-2</v>
      </c>
      <c r="AH22" s="15">
        <f>Q22/L22</f>
        <v>-9.4253905466444257E-2</v>
      </c>
      <c r="AI22" s="6">
        <f>R22</f>
        <v>5.5</v>
      </c>
      <c r="AJ22" s="6">
        <f>P22</f>
        <v>-1595851</v>
      </c>
    </row>
    <row r="23" spans="1:36" s="2" customFormat="1" x14ac:dyDescent="0.25">
      <c r="A23" s="2" t="s">
        <v>18</v>
      </c>
      <c r="B23" s="2">
        <v>2018</v>
      </c>
      <c r="C23" s="3">
        <v>26056000</v>
      </c>
      <c r="D23" s="3">
        <v>5044000</v>
      </c>
      <c r="E23" s="3">
        <v>2463000</v>
      </c>
      <c r="F23" s="3"/>
      <c r="G23" s="3">
        <v>44439000</v>
      </c>
      <c r="H23" s="3">
        <v>23268000</v>
      </c>
      <c r="I23" s="3">
        <v>6085842</v>
      </c>
      <c r="J23" s="3">
        <v>21358494</v>
      </c>
      <c r="K23" s="3">
        <v>14818288</v>
      </c>
      <c r="L23" s="3">
        <v>9086000</v>
      </c>
      <c r="M23" s="3">
        <v>5137825</v>
      </c>
      <c r="N23" s="3">
        <v>19793000</v>
      </c>
      <c r="O23" s="4">
        <v>19793000</v>
      </c>
      <c r="P23" s="3">
        <v>10388000</v>
      </c>
      <c r="Q23" s="3">
        <v>630000</v>
      </c>
      <c r="R23" s="3">
        <v>20.5</v>
      </c>
      <c r="S23" s="16"/>
      <c r="T23" s="2">
        <f>E23/G23</f>
        <v>5.5424289475460742E-2</v>
      </c>
      <c r="U23" s="2">
        <f>D23/C23</f>
        <v>0.19358305188824071</v>
      </c>
      <c r="V23" s="2">
        <f>(E23-F23)/O23</f>
        <v>0.1244379326024352</v>
      </c>
      <c r="W23" s="2">
        <f>H23/K23</f>
        <v>1.5702218771831131</v>
      </c>
      <c r="X23" s="2">
        <f>(H23-I23)/K23</f>
        <v>1.1595238262341776</v>
      </c>
      <c r="Y23" s="2">
        <f>(H23-K23)/G23</f>
        <v>0.19014181237201558</v>
      </c>
      <c r="Z23" s="2">
        <f>J23/N23</f>
        <v>1.0790933158187237</v>
      </c>
      <c r="AA23" s="2">
        <f>J23/G23</f>
        <v>0.48062499156146626</v>
      </c>
      <c r="AB23" s="2">
        <f>C23/G23</f>
        <v>0.58633182564864195</v>
      </c>
      <c r="AC23" s="2">
        <f>C23/(G23-K23)</f>
        <v>0.87965474969001423</v>
      </c>
      <c r="AD23" s="2">
        <f>Q23/E23</f>
        <v>0.25578562728380022</v>
      </c>
      <c r="AE23" s="2">
        <f>Q23/J23</f>
        <v>2.9496461688731424E-2</v>
      </c>
      <c r="AF23" s="2">
        <f>Q23/G23</f>
        <v>1.4176736650239654E-2</v>
      </c>
      <c r="AG23" s="2">
        <f>Q23/K23</f>
        <v>4.2515032775716062E-2</v>
      </c>
      <c r="AH23" s="2">
        <f>Q23/L23</f>
        <v>6.9337442218798145E-2</v>
      </c>
      <c r="AI23" s="3">
        <f>R23</f>
        <v>20.5</v>
      </c>
      <c r="AJ23" s="3">
        <f>P23</f>
        <v>10388000</v>
      </c>
    </row>
    <row r="24" spans="1:36" x14ac:dyDescent="0.25">
      <c r="A24" t="s">
        <v>18</v>
      </c>
      <c r="B24">
        <v>2019</v>
      </c>
      <c r="C24" s="1">
        <v>32277000</v>
      </c>
      <c r="D24" s="1">
        <v>4173000</v>
      </c>
      <c r="E24" s="1">
        <v>2245000</v>
      </c>
      <c r="G24" s="1">
        <v>48062000</v>
      </c>
      <c r="H24" s="1">
        <v>27918000</v>
      </c>
      <c r="I24" s="1">
        <v>6578633</v>
      </c>
      <c r="J24" s="1">
        <v>24473984</v>
      </c>
      <c r="K24" s="1">
        <v>16941277</v>
      </c>
      <c r="L24" s="1">
        <v>8735000</v>
      </c>
      <c r="M24" s="1">
        <v>5097947</v>
      </c>
      <c r="N24" s="1">
        <v>21195000</v>
      </c>
      <c r="O24" s="5">
        <v>21195000</v>
      </c>
      <c r="P24" s="1">
        <v>11936000</v>
      </c>
      <c r="Q24" s="1">
        <v>1876000</v>
      </c>
      <c r="R24" s="1">
        <v>13</v>
      </c>
      <c r="S24" s="14"/>
      <c r="T24">
        <f>E24/G24</f>
        <v>4.6710498938870623E-2</v>
      </c>
      <c r="U24">
        <f>D24/C24</f>
        <v>0.12928710846732969</v>
      </c>
      <c r="V24">
        <f>(E24-F24)/O24</f>
        <v>0.10592120783203586</v>
      </c>
      <c r="W24">
        <f>H24/K24</f>
        <v>1.647927721151127</v>
      </c>
      <c r="X24">
        <f>(H24-I24)/K24</f>
        <v>1.2596079386459473</v>
      </c>
      <c r="Y24">
        <f>(H24-K24)/G24</f>
        <v>0.22838672964088053</v>
      </c>
      <c r="Z24">
        <f>J24/N24</f>
        <v>1.1547055437603209</v>
      </c>
      <c r="AA24">
        <f>J24/G24</f>
        <v>0.50921692813449293</v>
      </c>
      <c r="AB24">
        <f>C24/G24</f>
        <v>0.67157005534517911</v>
      </c>
      <c r="AC24">
        <f>C24/(G24-K24)</f>
        <v>1.0371545673922806</v>
      </c>
      <c r="AD24">
        <f>Q24/E24</f>
        <v>0.83563474387527836</v>
      </c>
      <c r="AE24">
        <f>Q24/J24</f>
        <v>7.6652824484971474E-2</v>
      </c>
      <c r="AF24">
        <f>Q24/G24</f>
        <v>3.9032915817069622E-2</v>
      </c>
      <c r="AG24">
        <f>Q24/K24</f>
        <v>0.11073545400385107</v>
      </c>
      <c r="AH24">
        <f>Q24/L24</f>
        <v>0.21476817401259302</v>
      </c>
      <c r="AI24" s="1">
        <f>R24</f>
        <v>13</v>
      </c>
      <c r="AJ24" s="1">
        <f>P24</f>
        <v>11936000</v>
      </c>
    </row>
    <row r="25" spans="1:36" x14ac:dyDescent="0.25">
      <c r="A25" t="s">
        <v>18</v>
      </c>
      <c r="B25">
        <v>2020</v>
      </c>
      <c r="C25" s="1">
        <v>24027000</v>
      </c>
      <c r="D25" s="1">
        <v>2688000</v>
      </c>
      <c r="E25" s="1">
        <v>928000</v>
      </c>
      <c r="G25" s="1">
        <v>50078000</v>
      </c>
      <c r="H25" s="1">
        <v>30373000</v>
      </c>
      <c r="I25" s="1">
        <v>8297097</v>
      </c>
      <c r="J25" s="1">
        <v>25691252</v>
      </c>
      <c r="K25" s="1">
        <v>22738466</v>
      </c>
      <c r="L25" s="1">
        <v>10967000</v>
      </c>
      <c r="M25" s="1">
        <v>56142</v>
      </c>
      <c r="N25" s="1">
        <v>21834000</v>
      </c>
      <c r="O25" s="5">
        <v>21834000</v>
      </c>
      <c r="P25" s="1">
        <v>12365000</v>
      </c>
      <c r="Q25" s="1">
        <v>-2191000</v>
      </c>
      <c r="R25" s="1">
        <v>13.2</v>
      </c>
      <c r="S25" s="14"/>
      <c r="T25">
        <f>E25/G25</f>
        <v>1.8531091497264267E-2</v>
      </c>
      <c r="U25">
        <f>D25/C25</f>
        <v>0.11187414159071045</v>
      </c>
      <c r="V25">
        <f>(E25-F25)/O25</f>
        <v>4.2502519007053222E-2</v>
      </c>
      <c r="W25">
        <f>H25/K25</f>
        <v>1.335754135745129</v>
      </c>
      <c r="X25">
        <f>(H25-I25)/K25</f>
        <v>0.97086157878900015</v>
      </c>
      <c r="Y25">
        <f>(H25-K25)/G25</f>
        <v>0.15245285354846438</v>
      </c>
      <c r="Z25">
        <f>J25/N25</f>
        <v>1.1766626362553816</v>
      </c>
      <c r="AA25">
        <f>J25/G25</f>
        <v>0.51302472143456213</v>
      </c>
      <c r="AB25">
        <f>C25/G25</f>
        <v>0.47979152522065577</v>
      </c>
      <c r="AC25">
        <f>C25/(G25-K25)</f>
        <v>0.87883721792770864</v>
      </c>
      <c r="AD25">
        <f>Q25/E25</f>
        <v>-2.3609913793103448</v>
      </c>
      <c r="AE25">
        <f>Q25/J25</f>
        <v>-8.5281947333668284E-2</v>
      </c>
      <c r="AF25">
        <f>Q25/G25</f>
        <v>-4.3751747274252163E-2</v>
      </c>
      <c r="AG25">
        <f>Q25/K25</f>
        <v>-9.6356544016645632E-2</v>
      </c>
      <c r="AH25">
        <f>Q25/L25</f>
        <v>-0.19978116166681864</v>
      </c>
      <c r="AI25" s="1">
        <f>R25</f>
        <v>13.2</v>
      </c>
      <c r="AJ25" s="1">
        <f>P25</f>
        <v>12365000</v>
      </c>
    </row>
    <row r="26" spans="1:36" x14ac:dyDescent="0.25">
      <c r="A26" t="s">
        <v>18</v>
      </c>
      <c r="B26">
        <v>2021</v>
      </c>
      <c r="C26" s="1">
        <v>23837000</v>
      </c>
      <c r="D26" s="1">
        <v>3225000</v>
      </c>
      <c r="E26" s="1">
        <v>2393000</v>
      </c>
      <c r="G26" s="1">
        <v>56060000</v>
      </c>
      <c r="H26" s="1">
        <v>30372000</v>
      </c>
      <c r="I26" s="1">
        <v>8714470</v>
      </c>
      <c r="J26" s="1">
        <v>29544731</v>
      </c>
      <c r="K26" s="1">
        <v>20849959</v>
      </c>
      <c r="L26" s="1">
        <v>8963000</v>
      </c>
      <c r="M26" s="1">
        <v>6166781</v>
      </c>
      <c r="N26" s="1">
        <v>23825000</v>
      </c>
      <c r="O26" s="5">
        <v>23825000</v>
      </c>
      <c r="P26" s="1">
        <v>14245000</v>
      </c>
      <c r="Q26" s="1">
        <v>8529000</v>
      </c>
      <c r="R26" s="1">
        <v>22.1</v>
      </c>
      <c r="S26" s="14"/>
      <c r="T26">
        <f>E26/G26</f>
        <v>4.2686407420620763E-2</v>
      </c>
      <c r="U26">
        <f>D26/C26</f>
        <v>0.13529387087301253</v>
      </c>
      <c r="V26">
        <f>(E26-F26)/O26</f>
        <v>0.10044071353620147</v>
      </c>
      <c r="W26">
        <f>H26/K26</f>
        <v>1.4566935119632609</v>
      </c>
      <c r="X26">
        <f>(H26-I26)/K26</f>
        <v>1.038732498226975</v>
      </c>
      <c r="Y26">
        <f>(H26-K26)/G26</f>
        <v>0.16985445950767036</v>
      </c>
      <c r="Z26">
        <f>J26/N26</f>
        <v>1.2400726547743965</v>
      </c>
      <c r="AA26">
        <f>J26/G26</f>
        <v>0.52701981805208709</v>
      </c>
      <c r="AB26">
        <f>C26/G26</f>
        <v>0.42520513735283627</v>
      </c>
      <c r="AC26">
        <f>C26/(G26-K26)</f>
        <v>0.67699438350554608</v>
      </c>
      <c r="AD26">
        <f>Q26/E26</f>
        <v>3.5641454241537818</v>
      </c>
      <c r="AE26">
        <f>Q26/J26</f>
        <v>0.28868091572741006</v>
      </c>
      <c r="AF26">
        <f>Q26/G26</f>
        <v>0.15214056368176954</v>
      </c>
      <c r="AG26">
        <f>Q26/K26</f>
        <v>0.40906555259892835</v>
      </c>
      <c r="AH26">
        <f>Q26/L26</f>
        <v>0.95157871248465919</v>
      </c>
      <c r="AI26" s="1">
        <f>R26</f>
        <v>22.1</v>
      </c>
      <c r="AJ26" s="1">
        <f>P26</f>
        <v>14245000</v>
      </c>
    </row>
    <row r="27" spans="1:36" x14ac:dyDescent="0.25">
      <c r="A27" t="s">
        <v>18</v>
      </c>
      <c r="B27">
        <v>2022</v>
      </c>
      <c r="C27" s="1">
        <v>39630000</v>
      </c>
      <c r="D27" s="1">
        <v>5784000</v>
      </c>
      <c r="E27" s="1">
        <v>5130000</v>
      </c>
      <c r="G27" s="1">
        <v>81847000</v>
      </c>
      <c r="H27" s="1">
        <v>48281000</v>
      </c>
      <c r="I27" s="1">
        <v>14619851</v>
      </c>
      <c r="J27" s="1">
        <v>51199549</v>
      </c>
      <c r="K27" s="1">
        <v>29780093</v>
      </c>
      <c r="L27" s="1">
        <v>23047000</v>
      </c>
      <c r="M27" s="1">
        <v>18846956</v>
      </c>
      <c r="N27" s="1">
        <v>28187000</v>
      </c>
      <c r="O27" s="5">
        <v>28187000</v>
      </c>
      <c r="P27" s="1">
        <v>18610000</v>
      </c>
      <c r="Q27" s="1">
        <v>-6008000</v>
      </c>
      <c r="R27" s="1">
        <v>15</v>
      </c>
      <c r="S27" s="14"/>
      <c r="T27">
        <f>E27/G27</f>
        <v>6.2677923442520794E-2</v>
      </c>
      <c r="U27">
        <f>D27/C27</f>
        <v>0.14595003785011354</v>
      </c>
      <c r="V27">
        <f>(E27-F27)/O27</f>
        <v>0.18199879377017775</v>
      </c>
      <c r="W27">
        <f>H27/K27</f>
        <v>1.6212508134208983</v>
      </c>
      <c r="X27">
        <f>(H27-I27)/K27</f>
        <v>1.1303238374708904</v>
      </c>
      <c r="Y27">
        <f>(H27-K27)/G27</f>
        <v>0.226042579447017</v>
      </c>
      <c r="Z27">
        <f>J27/N27</f>
        <v>1.8164242026466102</v>
      </c>
      <c r="AA27">
        <f>J27/G27</f>
        <v>0.62555193226385819</v>
      </c>
      <c r="AB27">
        <f>C27/G27</f>
        <v>0.48419612203257295</v>
      </c>
      <c r="AC27">
        <f>C27/(G27-K27)</f>
        <v>0.76113605135023676</v>
      </c>
      <c r="AD27">
        <f>Q27/E27</f>
        <v>-1.1711500974658868</v>
      </c>
      <c r="AE27">
        <f>Q27/J27</f>
        <v>-0.11734478364252779</v>
      </c>
      <c r="AF27">
        <f>Q27/G27</f>
        <v>-7.3405256148667636E-2</v>
      </c>
      <c r="AG27">
        <f>Q27/K27</f>
        <v>-0.20174550831657914</v>
      </c>
      <c r="AH27">
        <f>Q27/L27</f>
        <v>-0.26068468781186271</v>
      </c>
      <c r="AI27" s="1">
        <f>R27</f>
        <v>15</v>
      </c>
      <c r="AJ27" s="1">
        <f>P27</f>
        <v>18610000</v>
      </c>
    </row>
    <row r="28" spans="1:36" x14ac:dyDescent="0.25">
      <c r="A28" t="s">
        <v>18</v>
      </c>
      <c r="B28">
        <v>2023</v>
      </c>
      <c r="C28" s="1">
        <v>20565000</v>
      </c>
      <c r="D28" s="1">
        <v>8816000</v>
      </c>
      <c r="E28" s="1">
        <v>2436000</v>
      </c>
      <c r="G28" s="1">
        <v>82716000</v>
      </c>
      <c r="H28" s="1">
        <v>38304000</v>
      </c>
      <c r="I28" s="1">
        <v>15945251</v>
      </c>
      <c r="J28" s="1">
        <v>50743864</v>
      </c>
      <c r="K28" s="1">
        <v>34510598</v>
      </c>
      <c r="L28" s="1">
        <v>16239000</v>
      </c>
      <c r="M28" s="1">
        <v>12786649</v>
      </c>
      <c r="N28" s="1">
        <v>29557000</v>
      </c>
      <c r="O28" s="5">
        <v>29557000</v>
      </c>
      <c r="P28" s="1">
        <v>19741000</v>
      </c>
      <c r="Q28" s="1">
        <v>13645000</v>
      </c>
      <c r="R28" s="1">
        <v>14.2</v>
      </c>
      <c r="S28" s="14"/>
      <c r="T28">
        <f>E28/G28</f>
        <v>2.9450166835920499E-2</v>
      </c>
      <c r="U28">
        <f>D28/C28</f>
        <v>0.42868952103087771</v>
      </c>
      <c r="V28">
        <f>(E28-F28)/O28</f>
        <v>8.2417024731874011E-2</v>
      </c>
      <c r="W28">
        <f>H28/K28</f>
        <v>1.1099199150359551</v>
      </c>
      <c r="X28">
        <f>(H28-I28)/K28</f>
        <v>0.64788065973241027</v>
      </c>
      <c r="Y28">
        <f>(H28-K28)/G28</f>
        <v>4.5860559021229264E-2</v>
      </c>
      <c r="Z28">
        <f>J28/N28</f>
        <v>1.7168137497039619</v>
      </c>
      <c r="AA28">
        <f>J28/G28</f>
        <v>0.61347096087818564</v>
      </c>
      <c r="AB28">
        <f>C28/G28</f>
        <v>0.24862179022196432</v>
      </c>
      <c r="AC28">
        <f>C28/(G28-K28)</f>
        <v>0.42661193863708469</v>
      </c>
      <c r="AD28">
        <f>Q28/E28</f>
        <v>5.6013957307060753</v>
      </c>
      <c r="AE28">
        <f>Q28/J28</f>
        <v>0.26889950674627378</v>
      </c>
      <c r="AF28">
        <f>Q28/G28</f>
        <v>0.16496203878330673</v>
      </c>
      <c r="AG28">
        <f>Q28/K28</f>
        <v>0.39538578844678379</v>
      </c>
      <c r="AH28">
        <f>Q28/L28</f>
        <v>0.84026109982141761</v>
      </c>
      <c r="AI28" s="1">
        <f>R28</f>
        <v>14.2</v>
      </c>
      <c r="AJ28" s="1">
        <f>P28</f>
        <v>19741000</v>
      </c>
    </row>
    <row r="29" spans="1:36" x14ac:dyDescent="0.25">
      <c r="A29" s="15" t="s">
        <v>18</v>
      </c>
      <c r="B29" s="15">
        <v>2024</v>
      </c>
      <c r="C29" s="6">
        <v>21501000</v>
      </c>
      <c r="D29" s="6">
        <v>7065000</v>
      </c>
      <c r="E29" s="6">
        <v>6854000</v>
      </c>
      <c r="F29" s="6"/>
      <c r="G29" s="6">
        <v>98532000</v>
      </c>
      <c r="H29" s="6">
        <v>44280000</v>
      </c>
      <c r="I29" s="6">
        <v>20341289</v>
      </c>
      <c r="J29" s="6">
        <v>60289257</v>
      </c>
      <c r="K29" s="6">
        <v>39327358</v>
      </c>
      <c r="L29" s="6">
        <v>21258000</v>
      </c>
      <c r="M29" s="6">
        <v>17029620</v>
      </c>
      <c r="N29" s="6">
        <v>35834000</v>
      </c>
      <c r="O29" s="11">
        <v>35834000</v>
      </c>
      <c r="P29" s="6">
        <v>26018000</v>
      </c>
      <c r="Q29" s="6">
        <v>4486000</v>
      </c>
      <c r="R29" s="6">
        <v>22.6</v>
      </c>
      <c r="S29" s="15"/>
      <c r="T29" s="15">
        <f>E29/G29</f>
        <v>6.9561157796451917E-2</v>
      </c>
      <c r="U29" s="15">
        <f>D29/C29</f>
        <v>0.32858936793637505</v>
      </c>
      <c r="V29" s="15">
        <f>(E29-F29)/O29</f>
        <v>0.19127086007702182</v>
      </c>
      <c r="W29" s="15">
        <f>H29/K29</f>
        <v>1.125933758377565</v>
      </c>
      <c r="X29" s="15">
        <f>(H29-I29)/K29</f>
        <v>0.6087037679978401</v>
      </c>
      <c r="Y29" s="15">
        <f>(H29-K29)/G29</f>
        <v>5.0264299922867697E-2</v>
      </c>
      <c r="Z29" s="15">
        <f>J29/N29</f>
        <v>1.6824595914494613</v>
      </c>
      <c r="AA29" s="15">
        <f>J29/G29</f>
        <v>0.61187489343563517</v>
      </c>
      <c r="AB29" s="15">
        <f>C29/G29</f>
        <v>0.21821337230544391</v>
      </c>
      <c r="AC29" s="15">
        <f>C29/(G29-K29)</f>
        <v>0.36316409108596587</v>
      </c>
      <c r="AD29" s="15">
        <f>Q29/E29</f>
        <v>0.65450831631164286</v>
      </c>
      <c r="AE29" s="15">
        <f>Q29/J29</f>
        <v>7.4407949661744882E-2</v>
      </c>
      <c r="AF29" s="15">
        <f>Q29/G29</f>
        <v>4.552835627004425E-2</v>
      </c>
      <c r="AG29" s="15">
        <f>Q29/K29</f>
        <v>0.11406817615360788</v>
      </c>
      <c r="AH29" s="15">
        <f>Q29/L29</f>
        <v>0.21102643710603067</v>
      </c>
      <c r="AI29" s="6">
        <f>R29</f>
        <v>22.6</v>
      </c>
      <c r="AJ29" s="6">
        <f>P29</f>
        <v>26018000</v>
      </c>
    </row>
    <row r="30" spans="1:36" s="2" customFormat="1" x14ac:dyDescent="0.25">
      <c r="A30" s="2" t="s">
        <v>22</v>
      </c>
      <c r="B30" s="2">
        <v>2018</v>
      </c>
      <c r="C30" s="3">
        <v>2650407</v>
      </c>
      <c r="D30" s="3">
        <v>-105344</v>
      </c>
      <c r="E30" s="3">
        <v>-252947</v>
      </c>
      <c r="F30" s="3"/>
      <c r="G30" s="3">
        <v>4297026</v>
      </c>
      <c r="H30" s="3">
        <v>547703</v>
      </c>
      <c r="I30" s="3">
        <v>338179</v>
      </c>
      <c r="J30" s="3">
        <v>6086754</v>
      </c>
      <c r="K30" s="3">
        <v>4601387</v>
      </c>
      <c r="L30" s="3">
        <f>304467+M30</f>
        <v>670691</v>
      </c>
      <c r="M30" s="3">
        <v>366224</v>
      </c>
      <c r="N30" s="3">
        <v>-1789728</v>
      </c>
      <c r="O30" s="3">
        <v>-1789728</v>
      </c>
      <c r="P30" s="3">
        <v>-2481405</v>
      </c>
      <c r="Q30" s="3">
        <v>636712</v>
      </c>
      <c r="R30" s="3">
        <v>14</v>
      </c>
      <c r="S30" s="17"/>
      <c r="T30" s="2">
        <f>E30/G30</f>
        <v>-5.8865596810445175E-2</v>
      </c>
      <c r="U30" s="2">
        <f>D30/C30</f>
        <v>-3.9746348391020703E-2</v>
      </c>
      <c r="V30" s="2">
        <f>(E30-F30)/O30</f>
        <v>0.14133264943052798</v>
      </c>
      <c r="W30" s="2">
        <f>H30/K30</f>
        <v>0.11902997943880834</v>
      </c>
      <c r="X30" s="2">
        <f>(H30-I30)/K30</f>
        <v>4.5534965870073524E-2</v>
      </c>
      <c r="Y30" s="2">
        <f>(H30-K30)/G30</f>
        <v>-0.94336967009275718</v>
      </c>
      <c r="Z30" s="2">
        <f>J30/N30</f>
        <v>-3.4009380196320333</v>
      </c>
      <c r="AA30" s="2">
        <f>J30/G30</f>
        <v>1.4165038796600253</v>
      </c>
      <c r="AB30" s="2">
        <f>C30/G30</f>
        <v>0.6168003172426697</v>
      </c>
      <c r="AC30" s="2">
        <f>C30/(G30-K30)</f>
        <v>-8.7081032063897812</v>
      </c>
      <c r="AD30" s="2">
        <f>Q30/E30</f>
        <v>-2.5171755347958267</v>
      </c>
      <c r="AE30" s="2">
        <f>Q30/J30</f>
        <v>0.10460616611086961</v>
      </c>
      <c r="AF30" s="2">
        <f>Q30/G30</f>
        <v>0.14817504013240784</v>
      </c>
      <c r="AG30" s="2">
        <f>Q30/K30</f>
        <v>0.13837392942606219</v>
      </c>
      <c r="AH30" s="2">
        <f>Q30/L30</f>
        <v>0.94933732523621162</v>
      </c>
      <c r="AI30" s="3">
        <f>R30</f>
        <v>14</v>
      </c>
      <c r="AJ30" s="3">
        <f>P30</f>
        <v>-2481405</v>
      </c>
    </row>
    <row r="31" spans="1:36" x14ac:dyDescent="0.25">
      <c r="A31" t="s">
        <v>22</v>
      </c>
      <c r="B31">
        <v>2019</v>
      </c>
      <c r="C31" s="1">
        <v>2849223</v>
      </c>
      <c r="D31" s="1">
        <v>-32584</v>
      </c>
      <c r="E31" s="1">
        <v>-179635</v>
      </c>
      <c r="G31" s="1">
        <v>4673989</v>
      </c>
      <c r="H31" s="1">
        <v>508856</v>
      </c>
      <c r="I31" s="1">
        <v>292152</v>
      </c>
      <c r="J31" s="1">
        <v>6573128</v>
      </c>
      <c r="K31" s="1">
        <v>4861425</v>
      </c>
      <c r="L31" s="1">
        <f>179440+M31</f>
        <v>471930</v>
      </c>
      <c r="M31" s="1">
        <v>292490</v>
      </c>
      <c r="N31" s="1">
        <v>-1899139</v>
      </c>
      <c r="O31" s="1">
        <v>-1899139</v>
      </c>
      <c r="P31" s="1">
        <v>-2149139</v>
      </c>
      <c r="Q31" s="1">
        <v>364143</v>
      </c>
      <c r="R31" s="1">
        <v>15.1</v>
      </c>
      <c r="S31" s="13"/>
      <c r="T31">
        <f>E31/G31</f>
        <v>-3.8432910304239058E-2</v>
      </c>
      <c r="U31">
        <f>D31/C31</f>
        <v>-1.1436100298221655E-2</v>
      </c>
      <c r="V31">
        <f>(E31-F31)/O31</f>
        <v>9.4587599959771243E-2</v>
      </c>
      <c r="W31">
        <f>H31/K31</f>
        <v>0.10467218973860545</v>
      </c>
      <c r="X31">
        <f>(H31-I31)/K31</f>
        <v>4.4576230220562903E-2</v>
      </c>
      <c r="Y31">
        <f>(H31-K31)/G31</f>
        <v>-0.93123218732436042</v>
      </c>
      <c r="Z31">
        <f>J31/N31</f>
        <v>-3.4611094817177679</v>
      </c>
      <c r="AA31">
        <f>J31/G31</f>
        <v>1.4063208107678473</v>
      </c>
      <c r="AB31">
        <f>C31/G31</f>
        <v>0.60959129343265461</v>
      </c>
      <c r="AC31">
        <f>C31/(G31-K31)</f>
        <v>-15.201044623231397</v>
      </c>
      <c r="AD31">
        <f>Q31/E31</f>
        <v>-2.0271272302168284</v>
      </c>
      <c r="AE31">
        <f>Q31/J31</f>
        <v>5.5398738621855528E-2</v>
      </c>
      <c r="AF31">
        <f>Q31/G31</f>
        <v>7.7908399014203933E-2</v>
      </c>
      <c r="AG31">
        <f>Q31/K31</f>
        <v>7.4904580447091126E-2</v>
      </c>
      <c r="AH31">
        <f>Q31/L31</f>
        <v>0.77160383955247602</v>
      </c>
      <c r="AI31" s="1">
        <f>R31</f>
        <v>15.1</v>
      </c>
      <c r="AJ31" s="1">
        <f>P31</f>
        <v>-2149139</v>
      </c>
    </row>
    <row r="32" spans="1:36" x14ac:dyDescent="0.25">
      <c r="A32" t="s">
        <v>22</v>
      </c>
      <c r="B32">
        <v>2020</v>
      </c>
      <c r="C32" s="1">
        <v>2934612</v>
      </c>
      <c r="D32" s="1">
        <v>540496</v>
      </c>
      <c r="E32" s="1">
        <v>485934</v>
      </c>
      <c r="G32" s="1">
        <v>4745287</v>
      </c>
      <c r="H32" s="1">
        <v>457929</v>
      </c>
      <c r="I32" s="1">
        <v>287754</v>
      </c>
      <c r="J32" s="1">
        <v>4185100</v>
      </c>
      <c r="K32" s="1">
        <v>2671170</v>
      </c>
      <c r="L32" s="1">
        <f>11458+M32</f>
        <v>25000</v>
      </c>
      <c r="M32" s="1">
        <v>13542</v>
      </c>
      <c r="N32" s="1">
        <v>560187</v>
      </c>
      <c r="O32" s="1">
        <v>560187</v>
      </c>
      <c r="P32" s="1">
        <v>-1697938</v>
      </c>
      <c r="Q32" s="1">
        <v>-1454132</v>
      </c>
      <c r="R32" s="1">
        <v>28.1</v>
      </c>
      <c r="S32" s="11"/>
      <c r="T32">
        <f>E32/G32</f>
        <v>0.10240350056803729</v>
      </c>
      <c r="U32">
        <f>D32/C32</f>
        <v>0.18417971438813718</v>
      </c>
      <c r="V32">
        <f>(E32-F32)/O32</f>
        <v>0.86744961950205912</v>
      </c>
      <c r="W32">
        <f>H32/K32</f>
        <v>0.17143386605869337</v>
      </c>
      <c r="X32">
        <f>(H32-I32)/K32</f>
        <v>6.3708038050741808E-2</v>
      </c>
      <c r="Y32">
        <f>(H32-K32)/G32</f>
        <v>-0.46640824885828824</v>
      </c>
      <c r="Z32">
        <f>J32/N32</f>
        <v>7.4708981108094266</v>
      </c>
      <c r="AA32">
        <f>J32/G32</f>
        <v>0.88194876305690262</v>
      </c>
      <c r="AB32">
        <f>C32/G32</f>
        <v>0.6184266620754445</v>
      </c>
      <c r="AC32">
        <f>C32/(G32-K32)</f>
        <v>1.4148729314691504</v>
      </c>
      <c r="AD32">
        <f>Q32/E32</f>
        <v>-2.9924475340272547</v>
      </c>
      <c r="AE32">
        <f>Q32/J32</f>
        <v>-0.3474545411101288</v>
      </c>
      <c r="AF32">
        <f>Q32/G32</f>
        <v>-0.30643710275058178</v>
      </c>
      <c r="AG32">
        <f>Q32/K32</f>
        <v>-0.5443801779744456</v>
      </c>
      <c r="AH32">
        <f>Q32/L32</f>
        <v>-58.165280000000003</v>
      </c>
      <c r="AI32" s="1">
        <f>R32</f>
        <v>28.1</v>
      </c>
      <c r="AJ32" s="1">
        <f>P32</f>
        <v>-1697938</v>
      </c>
    </row>
    <row r="33" spans="1:36" x14ac:dyDescent="0.25">
      <c r="A33" t="s">
        <v>22</v>
      </c>
      <c r="B33">
        <v>2021</v>
      </c>
      <c r="C33" s="1">
        <v>3867404</v>
      </c>
      <c r="D33" s="1">
        <v>959775</v>
      </c>
      <c r="E33" s="1">
        <v>1180574</v>
      </c>
      <c r="G33" s="1">
        <v>5201993</v>
      </c>
      <c r="H33" s="1">
        <v>598162</v>
      </c>
      <c r="I33" s="1">
        <v>388549</v>
      </c>
      <c r="J33" s="1">
        <v>3370333</v>
      </c>
      <c r="K33" s="1">
        <v>1974753</v>
      </c>
      <c r="L33" s="1">
        <v>612400</v>
      </c>
      <c r="M33" s="1">
        <v>0</v>
      </c>
      <c r="N33" s="1">
        <v>1831660</v>
      </c>
      <c r="O33" s="1">
        <v>1831660</v>
      </c>
      <c r="P33" s="1">
        <v>-426465</v>
      </c>
      <c r="Q33" s="1">
        <v>-386347</v>
      </c>
      <c r="R33" s="1">
        <v>53.7</v>
      </c>
      <c r="S33" s="11"/>
      <c r="T33">
        <f>E33/G33</f>
        <v>0.2269464799356708</v>
      </c>
      <c r="U33">
        <f>D33/C33</f>
        <v>0.24817034889553818</v>
      </c>
      <c r="V33">
        <f>(E33-F33)/O33</f>
        <v>0.64453774172062506</v>
      </c>
      <c r="W33">
        <f>H33/K33</f>
        <v>0.30290471770393562</v>
      </c>
      <c r="X33">
        <f>(H33-I33)/K33</f>
        <v>0.10614643958003862</v>
      </c>
      <c r="Y33">
        <f>(H33-K33)/G33</f>
        <v>-0.26462761483915875</v>
      </c>
      <c r="Z33">
        <f>J33/N33</f>
        <v>1.8400429118941288</v>
      </c>
      <c r="AA33">
        <f>J33/G33</f>
        <v>0.64789264422308912</v>
      </c>
      <c r="AB33">
        <f>C33/G33</f>
        <v>0.74344659825570703</v>
      </c>
      <c r="AC33">
        <f>C33/(G33-K33)</f>
        <v>1.1983626876216209</v>
      </c>
      <c r="AD33">
        <f>Q33/E33</f>
        <v>-0.32725352243908473</v>
      </c>
      <c r="AE33">
        <f>Q33/J33</f>
        <v>-0.11463169959763619</v>
      </c>
      <c r="AF33">
        <f>Q33/G33</f>
        <v>-7.426903496409934E-2</v>
      </c>
      <c r="AG33">
        <f>Q33/K33</f>
        <v>-0.19564320195994131</v>
      </c>
      <c r="AH33">
        <f>Q33/L33</f>
        <v>-0.63087361201828873</v>
      </c>
      <c r="AI33" s="1">
        <f>R33</f>
        <v>53.7</v>
      </c>
      <c r="AJ33" s="1">
        <f>P33</f>
        <v>-426465</v>
      </c>
    </row>
    <row r="34" spans="1:36" x14ac:dyDescent="0.25">
      <c r="A34" t="s">
        <v>22</v>
      </c>
      <c r="B34">
        <v>2022</v>
      </c>
      <c r="C34" s="1">
        <v>5127380</v>
      </c>
      <c r="D34" s="1">
        <v>1802122</v>
      </c>
      <c r="E34" s="1">
        <v>1765452</v>
      </c>
      <c r="G34" s="1">
        <v>6255361</v>
      </c>
      <c r="H34" s="1">
        <v>1114185</v>
      </c>
      <c r="I34" s="1">
        <v>728579</v>
      </c>
      <c r="J34" s="1">
        <v>2714985</v>
      </c>
      <c r="K34" s="1">
        <v>1027699</v>
      </c>
      <c r="L34" s="1">
        <v>300391</v>
      </c>
      <c r="M34" s="1">
        <v>0</v>
      </c>
      <c r="N34" s="1">
        <v>3540376</v>
      </c>
      <c r="O34" s="1">
        <v>3540376</v>
      </c>
      <c r="P34" s="1">
        <v>1282251</v>
      </c>
      <c r="Q34" s="1">
        <v>444198</v>
      </c>
      <c r="R34" s="1">
        <v>31.9</v>
      </c>
      <c r="S34" s="11"/>
      <c r="T34">
        <f>E34/G34</f>
        <v>0.28223023419431748</v>
      </c>
      <c r="U34">
        <f>D34/C34</f>
        <v>0.35147034157795987</v>
      </c>
      <c r="V34">
        <f>(E34-F34)/O34</f>
        <v>0.49866228897721598</v>
      </c>
      <c r="W34">
        <f>H34/K34</f>
        <v>1.0841549909068706</v>
      </c>
      <c r="X34">
        <f>(H34-I34)/K34</f>
        <v>0.3752129757837655</v>
      </c>
      <c r="Y34">
        <f>(H34-K34)/G34</f>
        <v>1.3825900695419497E-2</v>
      </c>
      <c r="Z34">
        <f>J34/N34</f>
        <v>0.76686346308979614</v>
      </c>
      <c r="AA34">
        <f>J34/G34</f>
        <v>0.43402531044970866</v>
      </c>
      <c r="AB34">
        <f>C34/G34</f>
        <v>0.81967771324468719</v>
      </c>
      <c r="AC34">
        <f>C34/(G34-K34)</f>
        <v>0.98081704593755292</v>
      </c>
      <c r="AD34">
        <f>Q34/E34</f>
        <v>0.25160582105885632</v>
      </c>
      <c r="AE34">
        <f>Q34/J34</f>
        <v>0.16360974370024145</v>
      </c>
      <c r="AF34">
        <f>Q34/G34</f>
        <v>7.1010769802094559E-2</v>
      </c>
      <c r="AG34">
        <f>Q34/K34</f>
        <v>0.43222577817045654</v>
      </c>
      <c r="AH34">
        <f>Q34/L34</f>
        <v>1.4787327183570746</v>
      </c>
      <c r="AI34" s="1">
        <f>R34</f>
        <v>31.9</v>
      </c>
      <c r="AJ34" s="1">
        <f>P34</f>
        <v>1282251</v>
      </c>
    </row>
    <row r="35" spans="1:36" x14ac:dyDescent="0.25">
      <c r="A35" t="s">
        <v>22</v>
      </c>
      <c r="B35">
        <v>2023</v>
      </c>
      <c r="C35" s="1">
        <v>5120166</v>
      </c>
      <c r="D35" s="1">
        <v>1142471</v>
      </c>
      <c r="E35" s="1">
        <v>530693</v>
      </c>
      <c r="G35" s="1">
        <v>7084709</v>
      </c>
      <c r="H35" s="1">
        <v>880558</v>
      </c>
      <c r="I35" s="1">
        <v>503685</v>
      </c>
      <c r="J35" s="1">
        <v>3070264</v>
      </c>
      <c r="K35" s="1">
        <v>386546</v>
      </c>
      <c r="L35" s="1">
        <v>0</v>
      </c>
      <c r="M35" s="1">
        <v>0</v>
      </c>
      <c r="N35" s="1">
        <v>4014445</v>
      </c>
      <c r="O35" s="1">
        <v>4014445</v>
      </c>
      <c r="P35" s="1">
        <v>1756320</v>
      </c>
      <c r="Q35" s="1">
        <v>975053</v>
      </c>
      <c r="R35" s="1">
        <v>32.6</v>
      </c>
      <c r="S35" s="11"/>
      <c r="T35">
        <f>E35/G35</f>
        <v>7.4906816920779662E-2</v>
      </c>
      <c r="U35">
        <f>D35/C35</f>
        <v>0.22313163284159146</v>
      </c>
      <c r="V35">
        <f>(E35-F35)/O35</f>
        <v>0.13219585770884892</v>
      </c>
      <c r="W35">
        <f>H35/K35</f>
        <v>2.278016070532356</v>
      </c>
      <c r="X35">
        <f>(H35-I35)/K35</f>
        <v>0.97497581141701117</v>
      </c>
      <c r="Y35">
        <f>(H35-K35)/G35</f>
        <v>6.9729328332328117E-2</v>
      </c>
      <c r="Z35">
        <f>J35/N35</f>
        <v>0.76480410118957909</v>
      </c>
      <c r="AA35">
        <f>J35/G35</f>
        <v>0.4333648707378101</v>
      </c>
      <c r="AB35">
        <f>C35/G35</f>
        <v>0.72270660658045371</v>
      </c>
      <c r="AC35">
        <f>C35/(G35-K35)</f>
        <v>0.7644134667967919</v>
      </c>
      <c r="AD35">
        <f>Q35/E35</f>
        <v>1.8373202586052577</v>
      </c>
      <c r="AE35">
        <f>Q35/J35</f>
        <v>0.31757953062016819</v>
      </c>
      <c r="AF35">
        <f>Q35/G35</f>
        <v>0.13762781223618359</v>
      </c>
      <c r="AG35">
        <f>Q35/K35</f>
        <v>2.5224759795729357</v>
      </c>
      <c r="AH35" t="e">
        <f>Q35/L35</f>
        <v>#DIV/0!</v>
      </c>
      <c r="AI35" s="1">
        <f>R35</f>
        <v>32.6</v>
      </c>
      <c r="AJ35" s="1">
        <f>P35</f>
        <v>1756320</v>
      </c>
    </row>
    <row r="36" spans="1:36" x14ac:dyDescent="0.25">
      <c r="A36" s="15" t="s">
        <v>22</v>
      </c>
      <c r="B36" s="15">
        <v>2024</v>
      </c>
      <c r="C36" s="6">
        <v>4839661</v>
      </c>
      <c r="D36" s="6">
        <v>1122977</v>
      </c>
      <c r="E36" s="6">
        <v>781489</v>
      </c>
      <c r="F36" s="6"/>
      <c r="G36" s="6">
        <v>8168380</v>
      </c>
      <c r="H36" s="6">
        <v>1122671</v>
      </c>
      <c r="I36" s="6">
        <v>468111</v>
      </c>
      <c r="J36" s="6">
        <v>3793596</v>
      </c>
      <c r="K36" s="6">
        <v>465724</v>
      </c>
      <c r="L36" s="6">
        <v>0</v>
      </c>
      <c r="M36" s="6">
        <v>0</v>
      </c>
      <c r="N36" s="6">
        <v>4374784</v>
      </c>
      <c r="O36" s="6">
        <v>4374784</v>
      </c>
      <c r="P36" s="6">
        <v>2116659</v>
      </c>
      <c r="Q36" s="6">
        <v>1027364</v>
      </c>
      <c r="R36" s="6">
        <v>46.6</v>
      </c>
      <c r="S36" s="15"/>
      <c r="T36" s="15">
        <f>E36/G36</f>
        <v>9.5672458920863138E-2</v>
      </c>
      <c r="U36" s="15">
        <f>D36/C36</f>
        <v>0.23203629345113222</v>
      </c>
      <c r="V36" s="15">
        <f>(E36-F36)/O36</f>
        <v>0.17863487660190766</v>
      </c>
      <c r="W36" s="15">
        <f>H36/K36</f>
        <v>2.4105929692264088</v>
      </c>
      <c r="X36" s="15">
        <f>(H36-I36)/K36</f>
        <v>1.4054676160129176</v>
      </c>
      <c r="Y36" s="15">
        <f>(H36-K36)/G36</f>
        <v>8.0425616829775309E-2</v>
      </c>
      <c r="Z36" s="15">
        <f>J36/N36</f>
        <v>0.86715046960032771</v>
      </c>
      <c r="AA36" s="15">
        <f>J36/G36</f>
        <v>0.46442452481397778</v>
      </c>
      <c r="AB36" s="15">
        <f>C36/G36</f>
        <v>0.59248724961375454</v>
      </c>
      <c r="AC36" s="15">
        <f>C36/(G36-K36)</f>
        <v>0.62831067621350345</v>
      </c>
      <c r="AD36" s="15">
        <f>Q36/E36</f>
        <v>1.3146237503023075</v>
      </c>
      <c r="AE36" s="15">
        <f>Q36/J36</f>
        <v>0.27081534248770822</v>
      </c>
      <c r="AF36" s="15">
        <f>Q36/G36</f>
        <v>0.12577328674718855</v>
      </c>
      <c r="AG36" s="15">
        <f>Q36/K36</f>
        <v>2.2059503053310543</v>
      </c>
      <c r="AH36" s="15" t="e">
        <f>Q36/L36</f>
        <v>#DIV/0!</v>
      </c>
      <c r="AI36" s="6">
        <f>R36</f>
        <v>46.6</v>
      </c>
      <c r="AJ36" s="6">
        <f>P36</f>
        <v>2116659</v>
      </c>
    </row>
    <row r="37" spans="1:36" s="2" customFormat="1" x14ac:dyDescent="0.25">
      <c r="A37" s="2" t="s">
        <v>23</v>
      </c>
      <c r="B37" s="2">
        <v>2018</v>
      </c>
      <c r="C37" s="3">
        <v>3317020</v>
      </c>
      <c r="D37" s="3">
        <v>190829</v>
      </c>
      <c r="E37" s="3">
        <v>90308</v>
      </c>
      <c r="F37" s="3"/>
      <c r="G37" s="4">
        <v>4957988</v>
      </c>
      <c r="H37" s="4">
        <v>3483081</v>
      </c>
      <c r="I37" s="4">
        <v>1735349</v>
      </c>
      <c r="J37" s="4">
        <v>2167219</v>
      </c>
      <c r="K37" s="4">
        <v>2131921</v>
      </c>
      <c r="L37" s="4">
        <v>16637</v>
      </c>
      <c r="M37" s="4">
        <v>0</v>
      </c>
      <c r="N37" s="4">
        <v>2790769</v>
      </c>
      <c r="O37" s="4">
        <v>2790769</v>
      </c>
      <c r="P37" s="4">
        <v>827169</v>
      </c>
      <c r="Q37" s="3">
        <v>778437</v>
      </c>
      <c r="R37" s="3">
        <v>5</v>
      </c>
      <c r="S37" s="4"/>
      <c r="T37" s="2">
        <f>E37/G37</f>
        <v>1.8214646747834001E-2</v>
      </c>
      <c r="U37" s="2">
        <f>D37/C37</f>
        <v>5.7530253058468143E-2</v>
      </c>
      <c r="V37" s="2">
        <f>(E37-F37)/O37</f>
        <v>3.2359539610766784E-2</v>
      </c>
      <c r="W37" s="2">
        <f>H37/K37</f>
        <v>1.6337758294045606</v>
      </c>
      <c r="X37" s="2">
        <f>(H37-I37)/K37</f>
        <v>0.81979210299068306</v>
      </c>
      <c r="Y37" s="2">
        <f>(H37-K37)/G37</f>
        <v>0.2725218374873033</v>
      </c>
      <c r="Z37" s="2">
        <f>J37/N37</f>
        <v>0.77656696057609931</v>
      </c>
      <c r="AA37" s="2">
        <f>J37/G37</f>
        <v>0.4371166287615057</v>
      </c>
      <c r="AB37" s="2">
        <f>C37/G37</f>
        <v>0.66902541918213598</v>
      </c>
      <c r="AC37" s="2">
        <f>C37/(G37-K37)</f>
        <v>1.1737230575212831</v>
      </c>
      <c r="AD37" s="2">
        <f>Q37/E37</f>
        <v>8.619801125038757</v>
      </c>
      <c r="AE37" s="2">
        <f>Q37/J37</f>
        <v>0.35918705031655779</v>
      </c>
      <c r="AF37" s="2">
        <f>Q37/G37</f>
        <v>0.15700663252916303</v>
      </c>
      <c r="AG37" s="2">
        <f>Q37/K37</f>
        <v>0.36513407391737313</v>
      </c>
      <c r="AH37" s="2">
        <f>Q37/L37</f>
        <v>46.789505319468653</v>
      </c>
      <c r="AI37" s="3">
        <f>R37</f>
        <v>5</v>
      </c>
      <c r="AJ37" s="3">
        <f>P37</f>
        <v>827169</v>
      </c>
    </row>
    <row r="38" spans="1:36" x14ac:dyDescent="0.25">
      <c r="A38" t="s">
        <v>23</v>
      </c>
      <c r="B38">
        <v>2019</v>
      </c>
      <c r="C38" s="1">
        <v>2478165</v>
      </c>
      <c r="D38" s="1">
        <v>314716</v>
      </c>
      <c r="E38" s="1">
        <v>245219</v>
      </c>
      <c r="G38" s="5">
        <v>5350387</v>
      </c>
      <c r="H38" s="5">
        <v>3765141</v>
      </c>
      <c r="I38" s="5">
        <v>532141</v>
      </c>
      <c r="J38" s="5">
        <v>2464439</v>
      </c>
      <c r="K38" s="5">
        <v>2176187</v>
      </c>
      <c r="L38" s="5">
        <v>983304</v>
      </c>
      <c r="M38" s="5">
        <v>0</v>
      </c>
      <c r="N38" s="5">
        <v>2885949</v>
      </c>
      <c r="O38" s="5">
        <v>2885949</v>
      </c>
      <c r="P38" s="5">
        <v>1020712</v>
      </c>
      <c r="Q38" s="1">
        <v>-900752</v>
      </c>
      <c r="R38" s="1">
        <v>4</v>
      </c>
      <c r="S38" s="11"/>
      <c r="T38">
        <f>E38/G38</f>
        <v>4.5832011777839625E-2</v>
      </c>
      <c r="U38">
        <f>D38/C38</f>
        <v>0.12699557939039571</v>
      </c>
      <c r="V38">
        <f>(E38-F38)/O38</f>
        <v>8.4969970016795168E-2</v>
      </c>
      <c r="W38">
        <f>H38/K38</f>
        <v>1.7301550831798922</v>
      </c>
      <c r="X38">
        <f>(H38-I38)/K38</f>
        <v>1.4856260054857418</v>
      </c>
      <c r="Y38">
        <f>(H38-K38)/G38</f>
        <v>0.29697926523819679</v>
      </c>
      <c r="Z38">
        <f>J38/N38</f>
        <v>0.85394405791647743</v>
      </c>
      <c r="AA38">
        <f>J38/G38</f>
        <v>0.46060948488399062</v>
      </c>
      <c r="AB38">
        <f>C38/G38</f>
        <v>0.46317490678711654</v>
      </c>
      <c r="AC38">
        <f>C38/(G38-K38)</f>
        <v>0.78072112658307602</v>
      </c>
      <c r="AD38">
        <f>Q38/E38</f>
        <v>-3.6732553350270574</v>
      </c>
      <c r="AE38">
        <f>Q38/J38</f>
        <v>-0.36549981557668904</v>
      </c>
      <c r="AF38">
        <f>Q38/G38</f>
        <v>-0.16835268177797233</v>
      </c>
      <c r="AG38">
        <f>Q38/K38</f>
        <v>-0.41391295876687068</v>
      </c>
      <c r="AH38">
        <f>Q38/L38</f>
        <v>-0.91604630917803653</v>
      </c>
      <c r="AI38" s="1">
        <f>R38</f>
        <v>4</v>
      </c>
      <c r="AJ38" s="1">
        <f>P38</f>
        <v>1020712</v>
      </c>
    </row>
    <row r="39" spans="1:36" x14ac:dyDescent="0.25">
      <c r="A39" t="s">
        <v>23</v>
      </c>
      <c r="B39">
        <v>2020</v>
      </c>
      <c r="C39" s="1">
        <v>1734841</v>
      </c>
      <c r="D39" s="1">
        <v>259822</v>
      </c>
      <c r="E39" s="1">
        <v>141519</v>
      </c>
      <c r="G39" s="5">
        <v>5909354</v>
      </c>
      <c r="H39" s="5">
        <v>4178890</v>
      </c>
      <c r="I39" s="5">
        <v>362687</v>
      </c>
      <c r="J39" s="5">
        <v>2884696</v>
      </c>
      <c r="K39" s="5">
        <v>2505330</v>
      </c>
      <c r="L39" s="5">
        <v>1474586</v>
      </c>
      <c r="M39" s="5">
        <v>0</v>
      </c>
      <c r="N39" s="5">
        <v>3024658</v>
      </c>
      <c r="O39" s="5">
        <v>3024658</v>
      </c>
      <c r="P39" s="5">
        <v>1146113</v>
      </c>
      <c r="Q39" s="1">
        <v>-445054</v>
      </c>
      <c r="R39" s="1">
        <v>3.1</v>
      </c>
      <c r="S39" s="11"/>
      <c r="T39">
        <f>E39/G39</f>
        <v>2.3948302978633536E-2</v>
      </c>
      <c r="U39">
        <f>D39/C39</f>
        <v>0.14976703916958384</v>
      </c>
      <c r="V39">
        <f>(E39-F39)/O39</f>
        <v>4.6788430295259829E-2</v>
      </c>
      <c r="W39">
        <f>H39/K39</f>
        <v>1.6679998243744336</v>
      </c>
      <c r="X39">
        <f>(H39-I39)/K39</f>
        <v>1.5232336658244623</v>
      </c>
      <c r="Y39">
        <f>(H39-K39)/G39</f>
        <v>0.28320523698529482</v>
      </c>
      <c r="Z39">
        <f>J39/N39</f>
        <v>0.95372633864721235</v>
      </c>
      <c r="AA39">
        <f>J39/G39</f>
        <v>0.48815758879904642</v>
      </c>
      <c r="AB39">
        <f>C39/G39</f>
        <v>0.29357540604269095</v>
      </c>
      <c r="AC39">
        <f>C39/(G39-K39)</f>
        <v>0.50964417407162821</v>
      </c>
      <c r="AD39">
        <f>Q39/E39</f>
        <v>-3.1448356757749845</v>
      </c>
      <c r="AE39">
        <f>Q39/J39</f>
        <v>-0.15428107502488997</v>
      </c>
      <c r="AF39">
        <f>Q39/G39</f>
        <v>-7.5313477581475066E-2</v>
      </c>
      <c r="AG39">
        <f>Q39/K39</f>
        <v>-0.17764286541094387</v>
      </c>
      <c r="AH39">
        <f>Q39/L39</f>
        <v>-0.30181623859171319</v>
      </c>
      <c r="AI39" s="1">
        <f>R39</f>
        <v>3.1</v>
      </c>
      <c r="AJ39" s="1">
        <f>P39</f>
        <v>1146113</v>
      </c>
    </row>
    <row r="40" spans="1:36" x14ac:dyDescent="0.25">
      <c r="A40" t="s">
        <v>23</v>
      </c>
      <c r="B40">
        <v>2021</v>
      </c>
      <c r="C40" s="1">
        <v>3611145</v>
      </c>
      <c r="D40" s="1">
        <v>611333</v>
      </c>
      <c r="E40" s="1">
        <v>492375</v>
      </c>
      <c r="G40" s="5">
        <v>8449778</v>
      </c>
      <c r="H40" s="5">
        <v>5919747</v>
      </c>
      <c r="I40" s="5">
        <v>892594</v>
      </c>
      <c r="J40" s="5">
        <v>4761153</v>
      </c>
      <c r="K40" s="5">
        <v>4312671</v>
      </c>
      <c r="L40" s="5">
        <f>714447+M40</f>
        <v>775402</v>
      </c>
      <c r="M40" s="5">
        <v>60955</v>
      </c>
      <c r="N40" s="5">
        <v>3645927</v>
      </c>
      <c r="O40" s="5">
        <v>3645927</v>
      </c>
      <c r="P40" s="5">
        <v>1622850</v>
      </c>
      <c r="Q40" s="1">
        <v>1451104</v>
      </c>
      <c r="R40" s="1">
        <v>7</v>
      </c>
      <c r="S40" s="11"/>
      <c r="T40">
        <f>E40/G40</f>
        <v>5.8270761669714871E-2</v>
      </c>
      <c r="U40">
        <f>D40/C40</f>
        <v>0.16929062665719599</v>
      </c>
      <c r="V40">
        <f>(E40-F40)/O40</f>
        <v>0.13504795899643629</v>
      </c>
      <c r="W40">
        <f>H40/K40</f>
        <v>1.3726405283407892</v>
      </c>
      <c r="X40">
        <f>(H40-I40)/K40</f>
        <v>1.1656704163150864</v>
      </c>
      <c r="Y40">
        <f>(H40-K40)/G40</f>
        <v>0.19019150562298798</v>
      </c>
      <c r="Z40">
        <f>J40/N40</f>
        <v>1.3058827014364247</v>
      </c>
      <c r="AA40">
        <f>J40/G40</f>
        <v>0.56346486262716011</v>
      </c>
      <c r="AB40">
        <f>C40/G40</f>
        <v>0.42736566570151313</v>
      </c>
      <c r="AC40">
        <f>C40/(G40-K40)</f>
        <v>0.87286719922883305</v>
      </c>
      <c r="AD40">
        <f>Q40/E40</f>
        <v>2.9471520690530593</v>
      </c>
      <c r="AE40">
        <f>Q40/J40</f>
        <v>0.30477995561159238</v>
      </c>
      <c r="AF40">
        <f>Q40/G40</f>
        <v>0.17173279582019788</v>
      </c>
      <c r="AG40">
        <f>Q40/K40</f>
        <v>0.33647454211090994</v>
      </c>
      <c r="AH40">
        <f>Q40/L40</f>
        <v>1.8714215336045046</v>
      </c>
      <c r="AI40" s="1">
        <f>R40</f>
        <v>7</v>
      </c>
      <c r="AJ40" s="1">
        <f>P40</f>
        <v>1622850</v>
      </c>
    </row>
    <row r="41" spans="1:36" x14ac:dyDescent="0.25">
      <c r="A41" t="s">
        <v>23</v>
      </c>
      <c r="B41">
        <v>2022</v>
      </c>
      <c r="C41" s="1">
        <v>5992282</v>
      </c>
      <c r="D41" s="1">
        <v>1628117</v>
      </c>
      <c r="E41" s="1">
        <v>606727</v>
      </c>
      <c r="G41" s="5">
        <v>9782807</v>
      </c>
      <c r="H41" s="5">
        <v>6292468</v>
      </c>
      <c r="I41" s="5">
        <v>2298276</v>
      </c>
      <c r="J41" s="5">
        <v>4104812</v>
      </c>
      <c r="K41" s="5">
        <v>3340098</v>
      </c>
      <c r="L41" s="5">
        <f>180402+M41</f>
        <v>331402</v>
      </c>
      <c r="M41" s="5">
        <v>151000</v>
      </c>
      <c r="N41" s="5">
        <v>5647350</v>
      </c>
      <c r="O41" s="5">
        <v>5647350</v>
      </c>
      <c r="P41" s="5">
        <v>2173105</v>
      </c>
      <c r="Q41" s="1">
        <v>-113396</v>
      </c>
      <c r="R41" s="1">
        <v>6.6</v>
      </c>
      <c r="S41" s="1"/>
      <c r="T41">
        <f>E41/G41</f>
        <v>6.2019725013485391E-2</v>
      </c>
      <c r="U41">
        <f>D41/C41</f>
        <v>0.27170233310114578</v>
      </c>
      <c r="V41">
        <f>(E41-F41)/O41</f>
        <v>0.10743569993005569</v>
      </c>
      <c r="W41">
        <f>H41/K41</f>
        <v>1.8839171784779967</v>
      </c>
      <c r="X41">
        <f>(H41-I41)/K41</f>
        <v>1.1958307810130122</v>
      </c>
      <c r="Y41">
        <f>(H41-K41)/G41</f>
        <v>0.30179170456904647</v>
      </c>
      <c r="Z41">
        <f>J41/N41</f>
        <v>0.72685631313802046</v>
      </c>
      <c r="AA41">
        <f>J41/G41</f>
        <v>0.41959449879773769</v>
      </c>
      <c r="AB41">
        <f>C41/G41</f>
        <v>0.61253196551869005</v>
      </c>
      <c r="AC41">
        <f>C41/(G41-K41)</f>
        <v>0.93008732817204687</v>
      </c>
      <c r="AD41">
        <f>Q41/E41</f>
        <v>-0.18689789641799359</v>
      </c>
      <c r="AE41">
        <f>Q41/J41</f>
        <v>-2.7625138495989583E-2</v>
      </c>
      <c r="AF41">
        <f>Q41/G41</f>
        <v>-1.1591356141442839E-2</v>
      </c>
      <c r="AG41">
        <f>Q41/K41</f>
        <v>-3.3949902068741697E-2</v>
      </c>
      <c r="AH41">
        <f>Q41/L41</f>
        <v>-0.34217053608608278</v>
      </c>
      <c r="AI41" s="1">
        <f>R41</f>
        <v>6.6</v>
      </c>
      <c r="AJ41" s="1">
        <f>P41</f>
        <v>2173105</v>
      </c>
    </row>
    <row r="42" spans="1:36" x14ac:dyDescent="0.25">
      <c r="A42" t="s">
        <v>23</v>
      </c>
      <c r="B42">
        <v>2023</v>
      </c>
      <c r="C42" s="1">
        <v>7458205</v>
      </c>
      <c r="D42" s="1">
        <v>2967791</v>
      </c>
      <c r="E42" s="1">
        <v>1659171</v>
      </c>
      <c r="G42" s="5">
        <v>8950172</v>
      </c>
      <c r="H42" s="5">
        <v>4632619</v>
      </c>
      <c r="I42" s="5">
        <v>2632195</v>
      </c>
      <c r="J42" s="5">
        <v>1742878</v>
      </c>
      <c r="K42" s="5">
        <v>929214</v>
      </c>
      <c r="L42" s="5">
        <f>113400+M42</f>
        <v>151000</v>
      </c>
      <c r="M42" s="5">
        <v>37600</v>
      </c>
      <c r="N42" s="5">
        <v>7186660</v>
      </c>
      <c r="O42" s="5">
        <v>7186660</v>
      </c>
      <c r="P42" s="5">
        <v>3840844</v>
      </c>
      <c r="Q42" s="1">
        <v>1257733</v>
      </c>
      <c r="R42" s="1">
        <v>11.2</v>
      </c>
      <c r="S42" s="1"/>
      <c r="T42">
        <f>E42/G42</f>
        <v>0.18537867205233599</v>
      </c>
      <c r="U42">
        <f>D42/C42</f>
        <v>0.39792295867437272</v>
      </c>
      <c r="V42">
        <f>(E42-F42)/O42</f>
        <v>0.23086816407065314</v>
      </c>
      <c r="W42">
        <f>H42/K42</f>
        <v>4.9855243248595045</v>
      </c>
      <c r="X42">
        <f>(H42-I42)/K42</f>
        <v>2.1528130226191169</v>
      </c>
      <c r="Y42">
        <f>(H42-K42)/G42</f>
        <v>0.41378031617716399</v>
      </c>
      <c r="Z42">
        <f>J42/N42</f>
        <v>0.24251571661940316</v>
      </c>
      <c r="AA42">
        <f>J42/G42</f>
        <v>0.1947312297461993</v>
      </c>
      <c r="AB42">
        <f>C42/G42</f>
        <v>0.83330298009915338</v>
      </c>
      <c r="AC42">
        <f>C42/(G42-K42)</f>
        <v>0.92983967750485663</v>
      </c>
      <c r="AD42">
        <f>Q42/E42</f>
        <v>0.75804904979655507</v>
      </c>
      <c r="AE42">
        <f>Q42/J42</f>
        <v>0.72164144593023727</v>
      </c>
      <c r="AF42">
        <f>Q42/G42</f>
        <v>0.14052612620182048</v>
      </c>
      <c r="AG42">
        <f>Q42/K42</f>
        <v>1.353545039140607</v>
      </c>
      <c r="AH42">
        <f>Q42/L42</f>
        <v>8.3293576158940397</v>
      </c>
      <c r="AI42" s="1">
        <f>R42</f>
        <v>11.2</v>
      </c>
      <c r="AJ42" s="1">
        <f>P42</f>
        <v>3840844</v>
      </c>
    </row>
    <row r="43" spans="1:36" x14ac:dyDescent="0.25">
      <c r="A43" s="15" t="s">
        <v>23</v>
      </c>
      <c r="B43" s="15">
        <v>2024</v>
      </c>
      <c r="C43" s="6">
        <v>7666127</v>
      </c>
      <c r="D43" s="6">
        <v>95212</v>
      </c>
      <c r="E43" s="6">
        <v>165196</v>
      </c>
      <c r="F43" s="6"/>
      <c r="G43" s="11">
        <v>9254784</v>
      </c>
      <c r="H43" s="11">
        <v>5824832</v>
      </c>
      <c r="I43" s="11">
        <v>3595123</v>
      </c>
      <c r="J43" s="11">
        <v>1896444</v>
      </c>
      <c r="K43" s="11">
        <v>1235844</v>
      </c>
      <c r="L43" s="11">
        <v>681259</v>
      </c>
      <c r="M43" s="11">
        <v>0</v>
      </c>
      <c r="N43" s="11">
        <v>7358341</v>
      </c>
      <c r="O43" s="11">
        <v>7358341</v>
      </c>
      <c r="P43" s="11">
        <v>3996433</v>
      </c>
      <c r="Q43" s="6">
        <v>-1468809</v>
      </c>
      <c r="R43" s="6">
        <v>7.7</v>
      </c>
      <c r="S43" s="15"/>
      <c r="T43" s="15">
        <f>E43/G43</f>
        <v>1.7849795305865595E-2</v>
      </c>
      <c r="U43" s="15">
        <f>D43/C43</f>
        <v>1.2419830769826798E-2</v>
      </c>
      <c r="V43" s="15">
        <f>(E43-F43)/O43</f>
        <v>2.2450169134591615E-2</v>
      </c>
      <c r="W43" s="15">
        <f>H43/K43</f>
        <v>4.7132421244105247</v>
      </c>
      <c r="X43" s="15">
        <f>(H43-I43)/K43</f>
        <v>1.8041993973349386</v>
      </c>
      <c r="Y43" s="15">
        <f>(H43-K43)/G43</f>
        <v>0.49585036236394064</v>
      </c>
      <c r="Z43" s="15">
        <f>J43/N43</f>
        <v>0.25772711539190696</v>
      </c>
      <c r="AA43" s="15">
        <f>J43/G43</f>
        <v>0.20491499315381104</v>
      </c>
      <c r="AB43" s="15">
        <f>C43/G43</f>
        <v>0.82834207691935324</v>
      </c>
      <c r="AC43" s="15">
        <f>C43/(G43-K43)</f>
        <v>0.95600253898894372</v>
      </c>
      <c r="AD43" s="15">
        <f>Q43/E43</f>
        <v>-8.8913109276253657</v>
      </c>
      <c r="AE43" s="15">
        <f>Q43/J43</f>
        <v>-0.77450691926574156</v>
      </c>
      <c r="AF43" s="15">
        <f>Q43/G43</f>
        <v>-0.1587080800589187</v>
      </c>
      <c r="AG43" s="15">
        <f>Q43/K43</f>
        <v>-1.1885068018293572</v>
      </c>
      <c r="AH43" s="15">
        <f>Q43/L43</f>
        <v>-2.1560214250380545</v>
      </c>
      <c r="AI43" s="6">
        <f>R43</f>
        <v>7.7</v>
      </c>
      <c r="AJ43" s="6">
        <f>P43</f>
        <v>3996433</v>
      </c>
    </row>
    <row r="44" spans="1:36" s="2" customFormat="1" x14ac:dyDescent="0.25">
      <c r="A44" s="2" t="s">
        <v>31</v>
      </c>
      <c r="B44" s="2">
        <v>2018</v>
      </c>
      <c r="C44" s="3">
        <v>8628053</v>
      </c>
      <c r="D44" s="3">
        <v>1774109</v>
      </c>
      <c r="E44" s="3">
        <v>2185746</v>
      </c>
      <c r="F44" s="3"/>
      <c r="G44" s="3">
        <v>41147947</v>
      </c>
      <c r="H44" s="3">
        <v>2284129</v>
      </c>
      <c r="I44" s="3">
        <v>164142</v>
      </c>
      <c r="J44" s="3">
        <v>5911017</v>
      </c>
      <c r="K44" s="3">
        <v>1805411</v>
      </c>
      <c r="L44" s="3">
        <f>146156+M44</f>
        <v>292312</v>
      </c>
      <c r="M44" s="3">
        <v>146156</v>
      </c>
      <c r="N44" s="3">
        <v>31737902</v>
      </c>
      <c r="O44" s="3">
        <v>35236930</v>
      </c>
      <c r="P44" s="3">
        <v>7977471</v>
      </c>
      <c r="Q44" s="3">
        <v>2068528</v>
      </c>
      <c r="R44" s="3">
        <v>50.2</v>
      </c>
      <c r="T44" s="2">
        <f>E44/G44</f>
        <v>5.3119199361270686E-2</v>
      </c>
      <c r="U44" s="2">
        <f>D44/C44</f>
        <v>0.20562101322279777</v>
      </c>
      <c r="V44" s="2">
        <f>(E44-F44)/O44</f>
        <v>6.2029978207522617E-2</v>
      </c>
      <c r="W44" s="2">
        <f>H44/K44</f>
        <v>1.2651573519824573</v>
      </c>
      <c r="X44" s="2">
        <f>(H44-I44)/K44</f>
        <v>1.1742406576674231</v>
      </c>
      <c r="Y44" s="2">
        <f>(H44-K44)/G44</f>
        <v>1.1634067672926671E-2</v>
      </c>
      <c r="Z44" s="2">
        <f>J44/N44</f>
        <v>0.18624473035426223</v>
      </c>
      <c r="AA44" s="2">
        <f>J44/G44</f>
        <v>0.14365278053847985</v>
      </c>
      <c r="AB44" s="2">
        <f>C44/G44</f>
        <v>0.20968368118098335</v>
      </c>
      <c r="AC44" s="2">
        <f>C44/(G44-K44)</f>
        <v>0.21930596949825501</v>
      </c>
      <c r="AD44" s="2">
        <f>Q44/E44</f>
        <v>0.94637162781036777</v>
      </c>
      <c r="AE44" s="2">
        <f>Q44/J44</f>
        <v>0.34994451885352384</v>
      </c>
      <c r="AF44" s="2">
        <f>Q44/G44</f>
        <v>5.0270503167509181E-2</v>
      </c>
      <c r="AG44" s="2">
        <f>Q44/K44</f>
        <v>1.1457380064705489</v>
      </c>
      <c r="AH44" s="2">
        <f>Q44/L44</f>
        <v>7.07643887353239</v>
      </c>
      <c r="AI44" s="3">
        <f>R44</f>
        <v>50.2</v>
      </c>
      <c r="AJ44" s="3">
        <f>P44</f>
        <v>7977471</v>
      </c>
    </row>
    <row r="45" spans="1:36" x14ac:dyDescent="0.25">
      <c r="A45" t="s">
        <v>31</v>
      </c>
      <c r="B45">
        <v>2019</v>
      </c>
      <c r="C45" s="1">
        <v>7658470</v>
      </c>
      <c r="D45" s="1">
        <v>1083265</v>
      </c>
      <c r="E45" s="1">
        <v>1077935</v>
      </c>
      <c r="G45" s="1">
        <v>42523898</v>
      </c>
      <c r="H45" s="1">
        <v>2457373</v>
      </c>
      <c r="I45" s="1">
        <v>133903</v>
      </c>
      <c r="J45" s="1">
        <v>6091963</v>
      </c>
      <c r="K45" s="1">
        <v>1906545</v>
      </c>
      <c r="L45" s="1">
        <f>132582+M45</f>
        <v>165479</v>
      </c>
      <c r="M45" s="1">
        <v>32897</v>
      </c>
      <c r="N45" s="1">
        <v>32785178</v>
      </c>
      <c r="O45" s="1">
        <v>36431935</v>
      </c>
      <c r="P45" s="1">
        <v>7907652</v>
      </c>
      <c r="Q45" s="1">
        <v>1811946</v>
      </c>
      <c r="R45" s="1">
        <v>41.9</v>
      </c>
      <c r="T45">
        <f>E45/G45</f>
        <v>2.5348922622286413E-2</v>
      </c>
      <c r="U45">
        <f>D45/C45</f>
        <v>0.14144665971140449</v>
      </c>
      <c r="V45">
        <f>(E45-F45)/O45</f>
        <v>2.9587640623535368E-2</v>
      </c>
      <c r="W45">
        <f>H45/K45</f>
        <v>1.2889142401569331</v>
      </c>
      <c r="X45">
        <f>(H45-I45)/K45</f>
        <v>1.2186809123309441</v>
      </c>
      <c r="Y45">
        <f>(H45-K45)/G45</f>
        <v>1.2953375064534299E-2</v>
      </c>
      <c r="Z45">
        <f>J45/N45</f>
        <v>0.18581454704927941</v>
      </c>
      <c r="AA45">
        <f>J45/G45</f>
        <v>0.14325975008217731</v>
      </c>
      <c r="AB45">
        <f>C45/G45</f>
        <v>0.18009802393938582</v>
      </c>
      <c r="AC45">
        <f>C45/(G45-K45)</f>
        <v>0.1885516764226364</v>
      </c>
      <c r="AD45">
        <f>Q45/E45</f>
        <v>1.6809418007579306</v>
      </c>
      <c r="AE45">
        <f>Q45/J45</f>
        <v>0.29743220699140821</v>
      </c>
      <c r="AF45">
        <f>Q45/G45</f>
        <v>4.2610063639979573E-2</v>
      </c>
      <c r="AG45">
        <f>Q45/K45</f>
        <v>0.95038197367489363</v>
      </c>
      <c r="AH45">
        <f>Q45/L45</f>
        <v>10.949703587766423</v>
      </c>
      <c r="AI45" s="1">
        <f>R45</f>
        <v>41.9</v>
      </c>
      <c r="AJ45" s="1">
        <f>P45</f>
        <v>7907652</v>
      </c>
    </row>
    <row r="46" spans="1:36" x14ac:dyDescent="0.25">
      <c r="A46" t="s">
        <v>31</v>
      </c>
      <c r="B46">
        <v>2020</v>
      </c>
      <c r="C46" s="1">
        <v>5559550</v>
      </c>
      <c r="D46" s="1">
        <v>-27921</v>
      </c>
      <c r="E46" s="1">
        <v>105919</v>
      </c>
      <c r="G46" s="1">
        <v>42581822</v>
      </c>
      <c r="H46" s="1">
        <v>2033169</v>
      </c>
      <c r="I46" s="1">
        <v>131314</v>
      </c>
      <c r="J46" s="1">
        <v>5889492</v>
      </c>
      <c r="K46" s="1">
        <v>1617135</v>
      </c>
      <c r="L46" s="1">
        <f>146619+M46</f>
        <v>186573</v>
      </c>
      <c r="M46" s="1">
        <v>39954</v>
      </c>
      <c r="N46" s="1">
        <v>32941505</v>
      </c>
      <c r="O46" s="1">
        <v>36692330</v>
      </c>
      <c r="P46" s="1">
        <v>7445171</v>
      </c>
      <c r="Q46" s="1">
        <v>494027</v>
      </c>
      <c r="R46" s="1">
        <v>29</v>
      </c>
      <c r="T46">
        <f>E46/G46</f>
        <v>2.4874229195735215E-3</v>
      </c>
      <c r="U46">
        <f>D46/C46</f>
        <v>-5.02216906044554E-3</v>
      </c>
      <c r="V46">
        <f>(E46-F46)/O46</f>
        <v>2.8866795867147168E-3</v>
      </c>
      <c r="W46">
        <f>H46/K46</f>
        <v>1.2572660909571558</v>
      </c>
      <c r="X46">
        <f>(H46-I46)/K46</f>
        <v>1.176064459677145</v>
      </c>
      <c r="Y46">
        <f>(H46-K46)/G46</f>
        <v>9.7702254262393932E-3</v>
      </c>
      <c r="Z46">
        <f>J46/N46</f>
        <v>0.17878636692525129</v>
      </c>
      <c r="AA46">
        <f>J46/G46</f>
        <v>0.13831000467758284</v>
      </c>
      <c r="AB46">
        <f>C46/G46</f>
        <v>0.13056158094879078</v>
      </c>
      <c r="AC46">
        <f>C46/(G46-K46)</f>
        <v>0.1357156714025424</v>
      </c>
      <c r="AD46">
        <f>Q46/E46</f>
        <v>4.6641962254175358</v>
      </c>
      <c r="AE46">
        <f>Q46/J46</f>
        <v>8.388278649499821E-2</v>
      </c>
      <c r="AF46">
        <f>Q46/G46</f>
        <v>1.1601828592491885E-2</v>
      </c>
      <c r="AG46">
        <f>Q46/K46</f>
        <v>0.3054952122117201</v>
      </c>
      <c r="AH46">
        <f>Q46/L46</f>
        <v>2.6479018936287675</v>
      </c>
      <c r="AI46" s="1">
        <f>R46</f>
        <v>29</v>
      </c>
      <c r="AJ46" s="1">
        <f>P46</f>
        <v>7445171</v>
      </c>
    </row>
    <row r="47" spans="1:36" x14ac:dyDescent="0.25">
      <c r="A47" t="s">
        <v>31</v>
      </c>
      <c r="B47">
        <v>2021</v>
      </c>
      <c r="C47" s="1">
        <v>1790116</v>
      </c>
      <c r="D47" s="1">
        <v>-1912755</v>
      </c>
      <c r="E47" s="1">
        <v>-2244002</v>
      </c>
      <c r="G47" s="1">
        <v>40868932</v>
      </c>
      <c r="H47" s="1">
        <v>788058</v>
      </c>
      <c r="I47" s="1">
        <v>107085</v>
      </c>
      <c r="J47" s="1">
        <v>6256037</v>
      </c>
      <c r="K47" s="1">
        <v>2081448</v>
      </c>
      <c r="L47" s="1">
        <f>208797+M47</f>
        <v>268233</v>
      </c>
      <c r="M47" s="1">
        <v>59436</v>
      </c>
      <c r="N47" s="1">
        <v>31305692</v>
      </c>
      <c r="O47" s="1">
        <v>34612895</v>
      </c>
      <c r="P47" s="1">
        <v>5673539</v>
      </c>
      <c r="Q47" s="1">
        <v>-912941</v>
      </c>
      <c r="R47" s="1">
        <v>37.4</v>
      </c>
      <c r="T47">
        <f>E47/G47</f>
        <v>-5.4907282627302323E-2</v>
      </c>
      <c r="U47">
        <f>D47/C47</f>
        <v>-1.0685089681339086</v>
      </c>
      <c r="V47">
        <f>(E47-F47)/O47</f>
        <v>-6.4831387261886073E-2</v>
      </c>
      <c r="W47">
        <f>H47/K47</f>
        <v>0.37861046732851361</v>
      </c>
      <c r="X47">
        <f>(H47-I47)/K47</f>
        <v>0.32716310952759808</v>
      </c>
      <c r="Y47">
        <f>(H47-K47)/G47</f>
        <v>-3.1647266926378211E-2</v>
      </c>
      <c r="Z47">
        <f>J47/N47</f>
        <v>0.19983704560819163</v>
      </c>
      <c r="AA47">
        <f>J47/G47</f>
        <v>0.15307561743967277</v>
      </c>
      <c r="AB47">
        <f>C47/G47</f>
        <v>4.3801389280248383E-2</v>
      </c>
      <c r="AC47">
        <f>C47/(G47-K47)</f>
        <v>4.6151897864785456E-2</v>
      </c>
      <c r="AD47">
        <f>Q47/E47</f>
        <v>0.40683609016391253</v>
      </c>
      <c r="AE47">
        <f>Q47/J47</f>
        <v>-0.14592960367721611</v>
      </c>
      <c r="AF47">
        <f>Q47/G47</f>
        <v>-2.2338264185616595E-2</v>
      </c>
      <c r="AG47">
        <f>Q47/K47</f>
        <v>-0.43860860324158951</v>
      </c>
      <c r="AH47">
        <f>Q47/L47</f>
        <v>-3.4035372232350234</v>
      </c>
      <c r="AI47" s="1">
        <f>R47</f>
        <v>37.4</v>
      </c>
      <c r="AJ47" s="1">
        <f>P47</f>
        <v>5673539</v>
      </c>
    </row>
    <row r="48" spans="1:36" x14ac:dyDescent="0.25">
      <c r="A48" t="s">
        <v>31</v>
      </c>
      <c r="B48">
        <v>2022</v>
      </c>
      <c r="C48" s="1">
        <v>4094672</v>
      </c>
      <c r="D48" s="1">
        <v>-407047</v>
      </c>
      <c r="E48" s="1">
        <v>-507847</v>
      </c>
      <c r="G48" s="1">
        <v>42508650</v>
      </c>
      <c r="H48" s="1">
        <v>1316880</v>
      </c>
      <c r="I48" s="1">
        <v>204587</v>
      </c>
      <c r="J48" s="1">
        <v>7549334</v>
      </c>
      <c r="K48" s="1">
        <v>3096157</v>
      </c>
      <c r="L48" s="1">
        <f>700451+M48</f>
        <v>953161</v>
      </c>
      <c r="M48" s="1">
        <v>252710</v>
      </c>
      <c r="N48" s="1">
        <v>31626401</v>
      </c>
      <c r="O48" s="1">
        <v>34959316</v>
      </c>
      <c r="P48" s="1">
        <v>5187893</v>
      </c>
      <c r="Q48" s="1">
        <v>-360409</v>
      </c>
      <c r="R48" s="1">
        <v>37</v>
      </c>
      <c r="T48">
        <f>E48/G48</f>
        <v>-1.1946909628981395E-2</v>
      </c>
      <c r="U48">
        <f>D48/C48</f>
        <v>-9.9408939226389811E-2</v>
      </c>
      <c r="V48">
        <f>(E48-F48)/O48</f>
        <v>-1.4526800238311299E-2</v>
      </c>
      <c r="W48">
        <f>H48/K48</f>
        <v>0.42532726861073261</v>
      </c>
      <c r="X48">
        <f>(H48-I48)/K48</f>
        <v>0.35924954709984019</v>
      </c>
      <c r="Y48">
        <f>(H48-K48)/G48</f>
        <v>-4.1856822082093882E-2</v>
      </c>
      <c r="Z48">
        <f>J48/N48</f>
        <v>0.2387035439157304</v>
      </c>
      <c r="AA48">
        <f>J48/G48</f>
        <v>0.17759524238008029</v>
      </c>
      <c r="AB48">
        <f>C48/G48</f>
        <v>9.632561843295423E-2</v>
      </c>
      <c r="AC48">
        <f>C48/(G48-K48)</f>
        <v>0.10389274284171772</v>
      </c>
      <c r="AD48">
        <f>Q48/E48</f>
        <v>0.70968027772143971</v>
      </c>
      <c r="AE48">
        <f>Q48/J48</f>
        <v>-4.7740502672156244E-2</v>
      </c>
      <c r="AF48">
        <f>Q48/G48</f>
        <v>-8.4784861434084591E-3</v>
      </c>
      <c r="AG48">
        <f>Q48/K48</f>
        <v>-0.11640527273003275</v>
      </c>
      <c r="AH48">
        <f>Q48/L48</f>
        <v>-0.37811975101792877</v>
      </c>
      <c r="AI48" s="1">
        <f>R48</f>
        <v>37</v>
      </c>
      <c r="AJ48" s="1">
        <f>P48</f>
        <v>5187893</v>
      </c>
    </row>
    <row r="49" spans="1:36" x14ac:dyDescent="0.25">
      <c r="A49" t="s">
        <v>31</v>
      </c>
      <c r="B49">
        <v>2023</v>
      </c>
      <c r="C49" s="1">
        <v>8416558</v>
      </c>
      <c r="D49" s="1">
        <v>92966</v>
      </c>
      <c r="E49" s="1">
        <v>-332763</v>
      </c>
      <c r="G49" s="1">
        <v>45911647</v>
      </c>
      <c r="H49" s="1">
        <v>1680911</v>
      </c>
      <c r="I49" s="1">
        <v>414597</v>
      </c>
      <c r="J49" s="1">
        <v>13673759</v>
      </c>
      <c r="K49" s="1">
        <v>4090138</v>
      </c>
      <c r="L49" s="1">
        <f>180415+M49</f>
        <v>426868</v>
      </c>
      <c r="M49" s="1">
        <v>246453</v>
      </c>
      <c r="N49" s="1">
        <v>28875182</v>
      </c>
      <c r="O49" s="1">
        <v>32237888</v>
      </c>
      <c r="P49" s="1">
        <v>4916727</v>
      </c>
      <c r="Q49" s="1">
        <v>284637</v>
      </c>
      <c r="R49" s="1">
        <v>44</v>
      </c>
      <c r="T49">
        <f>E49/G49</f>
        <v>-7.247899427350101E-3</v>
      </c>
      <c r="U49">
        <f>D49/C49</f>
        <v>1.1045607955175975E-2</v>
      </c>
      <c r="V49">
        <f>(E49-F49)/O49</f>
        <v>-1.0322109190279462E-2</v>
      </c>
      <c r="W49">
        <f>H49/K49</f>
        <v>0.41096681823449477</v>
      </c>
      <c r="X49">
        <f>(H49-I49)/K49</f>
        <v>0.30960177871749073</v>
      </c>
      <c r="Y49">
        <f>(H49-K49)/G49</f>
        <v>-5.2475290202505694E-2</v>
      </c>
      <c r="Z49">
        <f>J49/N49</f>
        <v>0.4735471104563081</v>
      </c>
      <c r="AA49">
        <f>J49/G49</f>
        <v>0.29782767322636017</v>
      </c>
      <c r="AB49">
        <f>C49/G49</f>
        <v>0.18332075954495816</v>
      </c>
      <c r="AC49">
        <f>C49/(G49-K49)</f>
        <v>0.20124950536815875</v>
      </c>
      <c r="AD49">
        <f>Q49/E49</f>
        <v>-0.85537454584794581</v>
      </c>
      <c r="AE49">
        <f>Q49/J49</f>
        <v>2.0816294919341491E-2</v>
      </c>
      <c r="AF49">
        <f>Q49/G49</f>
        <v>6.1996686810211797E-3</v>
      </c>
      <c r="AG49">
        <f>Q49/K49</f>
        <v>6.9591050473113619E-2</v>
      </c>
      <c r="AH49">
        <f>Q49/L49</f>
        <v>0.66680332093293482</v>
      </c>
      <c r="AI49" s="1">
        <f>R49</f>
        <v>44</v>
      </c>
      <c r="AJ49" s="1">
        <f>P49</f>
        <v>4916727</v>
      </c>
    </row>
    <row r="50" spans="1:36" x14ac:dyDescent="0.25">
      <c r="A50" s="15" t="s">
        <v>31</v>
      </c>
      <c r="B50" s="15">
        <v>2024</v>
      </c>
      <c r="C50" s="6">
        <v>10771759</v>
      </c>
      <c r="D50" s="6">
        <v>612456</v>
      </c>
      <c r="E50" s="6">
        <v>77657</v>
      </c>
      <c r="F50" s="6"/>
      <c r="G50" s="6">
        <v>48381302</v>
      </c>
      <c r="H50" s="6">
        <v>2145026</v>
      </c>
      <c r="I50" s="6">
        <v>328009</v>
      </c>
      <c r="J50" s="6">
        <v>14832175</v>
      </c>
      <c r="K50" s="6">
        <v>4802953</v>
      </c>
      <c r="L50" s="6">
        <v>581085</v>
      </c>
      <c r="M50" s="6">
        <v>0</v>
      </c>
      <c r="N50" s="6">
        <v>29948777</v>
      </c>
      <c r="O50" s="6">
        <v>33549127</v>
      </c>
      <c r="P50" s="6">
        <v>4851535</v>
      </c>
      <c r="Q50" s="6">
        <v>633120</v>
      </c>
      <c r="R50" s="6">
        <v>61</v>
      </c>
      <c r="S50" s="15"/>
      <c r="T50" s="15">
        <f>E50/G50</f>
        <v>1.6051035583953487E-3</v>
      </c>
      <c r="U50" s="15">
        <f>D50/C50</f>
        <v>5.6857566159807325E-2</v>
      </c>
      <c r="V50" s="15">
        <f>(E50-F50)/O50</f>
        <v>2.3147249107256947E-3</v>
      </c>
      <c r="W50" s="15">
        <f>H50/K50</f>
        <v>0.44660566114221811</v>
      </c>
      <c r="X50" s="15">
        <f>(H50-I50)/K50</f>
        <v>0.3783124673508152</v>
      </c>
      <c r="Y50" s="15">
        <f>(H50-K50)/G50</f>
        <v>-5.4937070523649816E-2</v>
      </c>
      <c r="Z50" s="15">
        <f>J50/N50</f>
        <v>0.49525144215404854</v>
      </c>
      <c r="AA50" s="15">
        <f>J50/G50</f>
        <v>0.30656833088121521</v>
      </c>
      <c r="AB50" s="15">
        <f>C50/G50</f>
        <v>0.22264301609741713</v>
      </c>
      <c r="AC50" s="15">
        <f>C50/(G50-K50)</f>
        <v>0.24718143865431891</v>
      </c>
      <c r="AD50" s="15">
        <f>Q50/E50</f>
        <v>8.1527743796438177</v>
      </c>
      <c r="AE50" s="15">
        <f>Q50/J50</f>
        <v>4.2685580503196596E-2</v>
      </c>
      <c r="AF50" s="15">
        <f>Q50/G50</f>
        <v>1.3086047167560724E-2</v>
      </c>
      <c r="AG50" s="15">
        <f>Q50/K50</f>
        <v>0.13181890391182258</v>
      </c>
      <c r="AH50" s="15">
        <f>Q50/L50</f>
        <v>1.0895480007227858</v>
      </c>
      <c r="AI50" s="6">
        <f>R50</f>
        <v>61</v>
      </c>
      <c r="AJ50" s="6">
        <f>P50</f>
        <v>4851535</v>
      </c>
    </row>
    <row r="51" spans="1:36" s="2" customFormat="1" x14ac:dyDescent="0.25">
      <c r="A51" s="2" t="s">
        <v>24</v>
      </c>
      <c r="B51" s="2">
        <v>2018</v>
      </c>
      <c r="C51" s="3">
        <v>18250581</v>
      </c>
      <c r="D51" s="3">
        <v>3013834</v>
      </c>
      <c r="E51" s="3">
        <v>1583395</v>
      </c>
      <c r="F51" s="3"/>
      <c r="G51" s="4">
        <v>58593397</v>
      </c>
      <c r="H51" s="4">
        <v>10910214</v>
      </c>
      <c r="I51" s="4">
        <v>428537</v>
      </c>
      <c r="J51" s="4">
        <v>30699394</v>
      </c>
      <c r="K51" s="4">
        <v>10822488</v>
      </c>
      <c r="L51" s="4">
        <f>4320375+M51</f>
        <v>22474426</v>
      </c>
      <c r="M51" s="4">
        <v>18154051</v>
      </c>
      <c r="N51" s="4">
        <v>19771215</v>
      </c>
      <c r="O51" s="4">
        <v>19771215</v>
      </c>
      <c r="P51" s="4">
        <v>12252049</v>
      </c>
      <c r="Q51" s="3">
        <v>2801992</v>
      </c>
      <c r="R51" s="3">
        <v>33.5</v>
      </c>
      <c r="S51" s="4"/>
      <c r="T51" s="2">
        <f>E51/G51</f>
        <v>2.7023437470266486E-2</v>
      </c>
      <c r="U51" s="2">
        <f>D51/C51</f>
        <v>0.16513633182417589</v>
      </c>
      <c r="V51" s="2">
        <f>(E51-F51)/O51</f>
        <v>8.0085872314877973E-2</v>
      </c>
      <c r="W51" s="2">
        <f>H51/K51</f>
        <v>1.0081058994937209</v>
      </c>
      <c r="X51" s="2">
        <f>(H51-I51)/K51</f>
        <v>0.9685089971917733</v>
      </c>
      <c r="Y51" s="2">
        <f>(H51-K51)/G51</f>
        <v>1.497199419927812E-3</v>
      </c>
      <c r="Z51" s="2">
        <f>J51/N51</f>
        <v>1.5527317870955326</v>
      </c>
      <c r="AA51" s="2">
        <f>J51/G51</f>
        <v>0.52393948075753316</v>
      </c>
      <c r="AB51" s="2">
        <f>C51/G51</f>
        <v>0.31147845891235831</v>
      </c>
      <c r="AC51" s="2">
        <f>C51/(G51-K51)</f>
        <v>0.38204382922669528</v>
      </c>
      <c r="AD51" s="2">
        <f>Q51/E51</f>
        <v>1.7696102362329047</v>
      </c>
      <c r="AE51" s="2">
        <f>Q51/J51</f>
        <v>9.1271899373648879E-2</v>
      </c>
      <c r="AF51" s="2">
        <f>Q51/G51</f>
        <v>4.7820951565583407E-2</v>
      </c>
      <c r="AG51" s="2">
        <f>Q51/K51</f>
        <v>0.25890460677803478</v>
      </c>
      <c r="AH51" s="2">
        <f>Q51/L51</f>
        <v>0.12467468579620232</v>
      </c>
      <c r="AI51" s="3">
        <f>R51</f>
        <v>33.5</v>
      </c>
      <c r="AJ51" s="3">
        <f>P51</f>
        <v>12252049</v>
      </c>
    </row>
    <row r="52" spans="1:36" x14ac:dyDescent="0.25">
      <c r="A52" t="s">
        <v>24</v>
      </c>
      <c r="B52">
        <v>2019</v>
      </c>
      <c r="C52" s="1">
        <v>19570589</v>
      </c>
      <c r="D52" s="1">
        <v>2734959</v>
      </c>
      <c r="E52" s="1">
        <v>1197164</v>
      </c>
      <c r="G52" s="5">
        <v>64902384</v>
      </c>
      <c r="H52" s="5">
        <v>8182610</v>
      </c>
      <c r="I52" s="5">
        <v>552878</v>
      </c>
      <c r="J52" s="5">
        <v>34306949</v>
      </c>
      <c r="K52" s="5">
        <v>8439100</v>
      </c>
      <c r="L52" s="5">
        <f>2075035+M52</f>
        <v>25480327</v>
      </c>
      <c r="M52" s="5">
        <v>23405292</v>
      </c>
      <c r="N52" s="5">
        <v>21338821</v>
      </c>
      <c r="O52" s="5">
        <v>21338821</v>
      </c>
      <c r="P52" s="5">
        <v>12787099</v>
      </c>
      <c r="Q52" s="1">
        <v>2858941</v>
      </c>
      <c r="R52" s="1">
        <v>23.7</v>
      </c>
      <c r="S52" s="11"/>
      <c r="T52">
        <f>E52/G52</f>
        <v>1.8445609024161577E-2</v>
      </c>
      <c r="U52">
        <f>D52/C52</f>
        <v>0.1397484255583723</v>
      </c>
      <c r="V52">
        <f>(E52-F52)/O52</f>
        <v>5.6102630974785343E-2</v>
      </c>
      <c r="W52">
        <f>H52/K52</f>
        <v>0.96960694860826391</v>
      </c>
      <c r="X52">
        <f>(H52-I52)/K52</f>
        <v>0.90409309049543196</v>
      </c>
      <c r="Y52">
        <f>(H52-K52)/G52</f>
        <v>-3.951934955116595E-3</v>
      </c>
      <c r="Z52">
        <f>J52/N52</f>
        <v>1.6077246723237428</v>
      </c>
      <c r="AA52">
        <f>J52/G52</f>
        <v>0.52859304829234011</v>
      </c>
      <c r="AB52">
        <f>C52/G52</f>
        <v>0.3015388309927105</v>
      </c>
      <c r="AC52">
        <f>C52/(G52-K52)</f>
        <v>0.34660734575764313</v>
      </c>
      <c r="AD52">
        <f>Q52/E52</f>
        <v>2.3880946971342274</v>
      </c>
      <c r="AE52">
        <f>Q52/J52</f>
        <v>8.3334166497871898E-2</v>
      </c>
      <c r="AF52">
        <f>Q52/G52</f>
        <v>4.4049861096011514E-2</v>
      </c>
      <c r="AG52">
        <f>Q52/K52</f>
        <v>0.33877321041343272</v>
      </c>
      <c r="AH52">
        <f>Q52/L52</f>
        <v>0.11220189599607572</v>
      </c>
      <c r="AI52" s="1">
        <f>R52</f>
        <v>23.7</v>
      </c>
      <c r="AJ52" s="1">
        <f>P52</f>
        <v>12787099</v>
      </c>
    </row>
    <row r="53" spans="1:36" x14ac:dyDescent="0.25">
      <c r="A53" t="s">
        <v>24</v>
      </c>
      <c r="B53">
        <v>2020</v>
      </c>
      <c r="C53" s="1">
        <v>19019241</v>
      </c>
      <c r="D53" s="1">
        <v>1563667</v>
      </c>
      <c r="E53" s="1">
        <v>-895724</v>
      </c>
      <c r="G53" s="5">
        <v>74350034</v>
      </c>
      <c r="H53" s="5">
        <v>7046542</v>
      </c>
      <c r="I53" s="5">
        <v>933540</v>
      </c>
      <c r="J53" s="5">
        <v>45199604</v>
      </c>
      <c r="K53" s="5">
        <v>10498491</v>
      </c>
      <c r="L53" s="5">
        <f>2757480+524112+M53</f>
        <v>36781686</v>
      </c>
      <c r="M53" s="5">
        <v>33500094</v>
      </c>
      <c r="N53" s="5">
        <v>20562900</v>
      </c>
      <c r="O53" s="5">
        <v>20562900</v>
      </c>
      <c r="P53" s="5">
        <v>11588894</v>
      </c>
      <c r="Q53" s="1">
        <v>3303771</v>
      </c>
      <c r="R53" s="1">
        <v>15.1</v>
      </c>
      <c r="S53" s="11"/>
      <c r="T53">
        <f>E53/G53</f>
        <v>-1.2047391935288154E-2</v>
      </c>
      <c r="U53">
        <f>D53/C53</f>
        <v>8.2215005320138701E-2</v>
      </c>
      <c r="V53">
        <f>(E53-F53)/O53</f>
        <v>-4.356019822106804E-2</v>
      </c>
      <c r="W53">
        <f>H53/K53</f>
        <v>0.67119569850562333</v>
      </c>
      <c r="X53">
        <f>(H53-I53)/K53</f>
        <v>0.58227434780865173</v>
      </c>
      <c r="Y53">
        <f>(H53-K53)/G53</f>
        <v>-4.6428344605733467E-2</v>
      </c>
      <c r="Z53">
        <f>J53/N53</f>
        <v>2.1981142737648871</v>
      </c>
      <c r="AA53">
        <f>J53/G53</f>
        <v>0.60792983631991349</v>
      </c>
      <c r="AB53">
        <f>C53/G53</f>
        <v>0.25580675591890112</v>
      </c>
      <c r="AC53">
        <f>C53/(G53-K53)</f>
        <v>0.29786658405420208</v>
      </c>
      <c r="AD53">
        <f>Q53/E53</f>
        <v>-3.6883805725870915</v>
      </c>
      <c r="AE53">
        <f>Q53/J53</f>
        <v>7.3092919132654352E-2</v>
      </c>
      <c r="AF53">
        <f>Q53/G53</f>
        <v>4.4435366364459231E-2</v>
      </c>
      <c r="AG53">
        <f>Q53/K53</f>
        <v>0.31469008260329984</v>
      </c>
      <c r="AH53">
        <f>Q53/L53</f>
        <v>8.9821086504843745E-2</v>
      </c>
      <c r="AI53" s="1">
        <f>R53</f>
        <v>15.1</v>
      </c>
      <c r="AJ53" s="1">
        <f>P53</f>
        <v>11588894</v>
      </c>
    </row>
    <row r="54" spans="1:36" x14ac:dyDescent="0.25">
      <c r="A54" t="s">
        <v>24</v>
      </c>
      <c r="B54">
        <v>2021</v>
      </c>
      <c r="C54" s="1">
        <v>5728379</v>
      </c>
      <c r="D54" s="1">
        <v>-5188495</v>
      </c>
      <c r="E54" s="1">
        <v>-7253215</v>
      </c>
      <c r="G54" s="5">
        <v>74168237</v>
      </c>
      <c r="H54" s="5">
        <v>5655205</v>
      </c>
      <c r="I54" s="5">
        <v>817377</v>
      </c>
      <c r="J54" s="5">
        <v>52205517</v>
      </c>
      <c r="K54" s="5">
        <v>12798833</v>
      </c>
      <c r="L54" s="5">
        <f>2568340+1042409+M54</f>
        <v>41749459</v>
      </c>
      <c r="M54" s="5">
        <v>38138710</v>
      </c>
      <c r="N54" s="5">
        <v>15956456</v>
      </c>
      <c r="O54" s="5">
        <v>15956456</v>
      </c>
      <c r="P54" s="5">
        <v>6847636</v>
      </c>
      <c r="Q54" s="1">
        <v>-807340</v>
      </c>
      <c r="R54" s="1">
        <v>30.2</v>
      </c>
      <c r="S54" s="11"/>
      <c r="T54">
        <f>E54/G54</f>
        <v>-9.7794086705876526E-2</v>
      </c>
      <c r="U54">
        <f>D54/C54</f>
        <v>-0.90575274436275954</v>
      </c>
      <c r="V54">
        <f>(E54-F54)/O54</f>
        <v>-0.45456303078829036</v>
      </c>
      <c r="W54">
        <f>H54/K54</f>
        <v>0.44185317520745837</v>
      </c>
      <c r="X54">
        <f>(H54-I54)/K54</f>
        <v>0.37798977453647531</v>
      </c>
      <c r="Y54">
        <f>(H54-K54)/G54</f>
        <v>-9.6316540461923075E-2</v>
      </c>
      <c r="Z54">
        <f>J54/N54</f>
        <v>3.2717488770689434</v>
      </c>
      <c r="AA54">
        <f>J54/G54</f>
        <v>0.70387970796717203</v>
      </c>
      <c r="AB54">
        <f>C54/G54</f>
        <v>7.7234935488624326E-2</v>
      </c>
      <c r="AC54">
        <f>C54/(G54-K54)</f>
        <v>9.3342588107911226E-2</v>
      </c>
      <c r="AD54">
        <f>Q54/E54</f>
        <v>0.11130788209090728</v>
      </c>
      <c r="AE54">
        <f>Q54/J54</f>
        <v>-1.5464649071476488E-2</v>
      </c>
      <c r="AF54">
        <f>Q54/G54</f>
        <v>-1.0885252672245667E-2</v>
      </c>
      <c r="AG54">
        <f>Q54/K54</f>
        <v>-6.3079188547893392E-2</v>
      </c>
      <c r="AH54">
        <f>Q54/L54</f>
        <v>-1.9337735609939281E-2</v>
      </c>
      <c r="AI54" s="1">
        <f>R54</f>
        <v>30.2</v>
      </c>
      <c r="AJ54" s="1">
        <f>P54</f>
        <v>6847636</v>
      </c>
    </row>
    <row r="55" spans="1:36" x14ac:dyDescent="0.25">
      <c r="A55" t="s">
        <v>24</v>
      </c>
      <c r="B55">
        <v>2022</v>
      </c>
      <c r="C55" s="1">
        <v>24570780</v>
      </c>
      <c r="D55" s="1">
        <v>4280099</v>
      </c>
      <c r="E55" s="1">
        <v>1034305</v>
      </c>
      <c r="G55" s="5">
        <v>101639730</v>
      </c>
      <c r="H55" s="5">
        <v>14095217</v>
      </c>
      <c r="I55" s="5">
        <v>1627072</v>
      </c>
      <c r="J55" s="5">
        <v>73498672</v>
      </c>
      <c r="K55" s="5">
        <v>19789707</v>
      </c>
      <c r="L55" s="5">
        <f>5356106+1206831+M55</f>
        <v>58642266</v>
      </c>
      <c r="M55" s="5">
        <v>52079329</v>
      </c>
      <c r="N55" s="5">
        <v>19871251</v>
      </c>
      <c r="O55" s="5">
        <v>19871251</v>
      </c>
      <c r="P55" s="5">
        <v>7524885</v>
      </c>
      <c r="Q55" s="1">
        <v>6793956</v>
      </c>
      <c r="R55" s="1">
        <v>35.5</v>
      </c>
      <c r="S55" s="11"/>
      <c r="T55">
        <f>E55/G55</f>
        <v>1.0176187992628474E-2</v>
      </c>
      <c r="U55">
        <f>D55/C55</f>
        <v>0.17419467351056825</v>
      </c>
      <c r="V55">
        <f>(E55-F55)/O55</f>
        <v>5.2050321341117374E-2</v>
      </c>
      <c r="W55">
        <f>H55/K55</f>
        <v>0.71224990850041392</v>
      </c>
      <c r="X55">
        <f>(H55-I55)/K55</f>
        <v>0.63003181401321406</v>
      </c>
      <c r="Y55">
        <f>(H55-K55)/G55</f>
        <v>-5.6026221242421639E-2</v>
      </c>
      <c r="Z55">
        <f>J55/N55</f>
        <v>3.6987440800783</v>
      </c>
      <c r="AA55">
        <f>J55/G55</f>
        <v>0.72312935109134979</v>
      </c>
      <c r="AB55">
        <f>C55/G55</f>
        <v>0.24174385351082692</v>
      </c>
      <c r="AC55">
        <f>C55/(G55-K55)</f>
        <v>0.30019270733741882</v>
      </c>
      <c r="AD55">
        <f>Q55/E55</f>
        <v>6.5686195077854208</v>
      </c>
      <c r="AE55">
        <f>Q55/J55</f>
        <v>9.2436445654419441E-2</v>
      </c>
      <c r="AF55">
        <f>Q55/G55</f>
        <v>6.6843506963271154E-2</v>
      </c>
      <c r="AG55">
        <f>Q55/K55</f>
        <v>0.34330755882338226</v>
      </c>
      <c r="AH55">
        <f>Q55/L55</f>
        <v>0.11585425433594261</v>
      </c>
      <c r="AI55" s="1">
        <f>R55</f>
        <v>35.5</v>
      </c>
      <c r="AJ55" s="1">
        <f>P55</f>
        <v>7524885</v>
      </c>
    </row>
    <row r="56" spans="1:36" x14ac:dyDescent="0.25">
      <c r="A56" t="s">
        <v>24</v>
      </c>
      <c r="B56">
        <v>2023</v>
      </c>
      <c r="C56" s="1">
        <v>46059884</v>
      </c>
      <c r="D56" s="1">
        <v>7310886</v>
      </c>
      <c r="E56" s="1">
        <v>46809</v>
      </c>
      <c r="G56" s="5">
        <v>107951564</v>
      </c>
      <c r="H56" s="5">
        <v>15951285</v>
      </c>
      <c r="I56" s="5">
        <v>1690992</v>
      </c>
      <c r="J56" s="5">
        <v>77771293</v>
      </c>
      <c r="K56" s="5">
        <v>24265004</v>
      </c>
      <c r="L56" s="5">
        <f>6114421+1422456+M56</f>
        <v>57713466</v>
      </c>
      <c r="M56" s="5">
        <v>50176589</v>
      </c>
      <c r="N56" s="5">
        <v>21041256</v>
      </c>
      <c r="O56" s="5">
        <v>21041256</v>
      </c>
      <c r="P56" s="5">
        <v>7181065</v>
      </c>
      <c r="Q56" s="1">
        <v>8494454</v>
      </c>
      <c r="R56" s="1">
        <v>59.9</v>
      </c>
      <c r="S56" s="11"/>
      <c r="T56">
        <f>E56/G56</f>
        <v>4.3361113323008455E-4</v>
      </c>
      <c r="U56">
        <f>D56/C56</f>
        <v>0.15872567112848135</v>
      </c>
      <c r="V56">
        <f>(E56-F56)/O56</f>
        <v>2.2246295563344699E-3</v>
      </c>
      <c r="W56">
        <f>H56/K56</f>
        <v>0.65737821432050869</v>
      </c>
      <c r="X56">
        <f>(H56-I56)/K56</f>
        <v>0.58768970324505199</v>
      </c>
      <c r="Y56">
        <f>(H56-K56)/G56</f>
        <v>-7.7013418721751908E-2</v>
      </c>
      <c r="Z56">
        <f>J56/N56</f>
        <v>3.6961335863220333</v>
      </c>
      <c r="AA56">
        <f>J56/G56</f>
        <v>0.72042766328054308</v>
      </c>
      <c r="AB56">
        <f>C56/G56</f>
        <v>0.42667176179124183</v>
      </c>
      <c r="AC56">
        <f>C56/(G56-K56)</f>
        <v>0.55038567722224452</v>
      </c>
      <c r="AD56">
        <f>Q56/E56</f>
        <v>181.47052917174048</v>
      </c>
      <c r="AE56">
        <f>Q56/J56</f>
        <v>0.10922351516002184</v>
      </c>
      <c r="AF56">
        <f>Q56/G56</f>
        <v>7.8687641802021507E-2</v>
      </c>
      <c r="AG56">
        <f>Q56/K56</f>
        <v>0.35007016689550102</v>
      </c>
      <c r="AH56">
        <f>Q56/L56</f>
        <v>0.14718322410232648</v>
      </c>
      <c r="AI56" s="1">
        <f>R56</f>
        <v>59.9</v>
      </c>
      <c r="AJ56" s="1">
        <f>P56</f>
        <v>7181065</v>
      </c>
    </row>
    <row r="57" spans="1:36" x14ac:dyDescent="0.25">
      <c r="A57" s="15" t="s">
        <v>24</v>
      </c>
      <c r="B57" s="15">
        <v>2024</v>
      </c>
      <c r="C57" s="6">
        <v>47258528</v>
      </c>
      <c r="D57" s="6">
        <v>8310261</v>
      </c>
      <c r="E57" s="6">
        <v>1864687</v>
      </c>
      <c r="F57" s="6"/>
      <c r="G57" s="11">
        <v>97089577</v>
      </c>
      <c r="H57" s="11">
        <v>14419950</v>
      </c>
      <c r="I57" s="11">
        <v>1426110</v>
      </c>
      <c r="J57" s="11">
        <v>66224885</v>
      </c>
      <c r="K57" s="11">
        <v>22900941</v>
      </c>
      <c r="L57" s="11">
        <f>5693006+1379271+M57</f>
        <v>46738956</v>
      </c>
      <c r="M57" s="11">
        <v>39666679</v>
      </c>
      <c r="N57" s="11">
        <v>21360082</v>
      </c>
      <c r="O57" s="11">
        <v>21360082</v>
      </c>
      <c r="P57" s="11">
        <v>8290016</v>
      </c>
      <c r="Q57" s="6">
        <v>7772452</v>
      </c>
      <c r="R57" s="6">
        <v>66.2</v>
      </c>
      <c r="S57" s="15"/>
      <c r="T57" s="15">
        <f>E57/G57</f>
        <v>1.9205841220216666E-2</v>
      </c>
      <c r="U57" s="15">
        <f>D57/C57</f>
        <v>0.17584680166085578</v>
      </c>
      <c r="V57" s="15">
        <f>(E57-F57)/O57</f>
        <v>8.729774539255046E-2</v>
      </c>
      <c r="W57" s="15">
        <f>H57/K57</f>
        <v>0.62966626567877715</v>
      </c>
      <c r="X57" s="15">
        <f>(H57-I57)/K57</f>
        <v>0.56739327873033685</v>
      </c>
      <c r="Y57" s="15">
        <f>(H57-K57)/G57</f>
        <v>-8.7352229374735038E-2</v>
      </c>
      <c r="Z57" s="15">
        <f>J57/N57</f>
        <v>3.100404062119237</v>
      </c>
      <c r="AA57" s="15">
        <f>J57/G57</f>
        <v>0.68210087062177638</v>
      </c>
      <c r="AB57" s="15">
        <f>C57/G57</f>
        <v>0.48675181682993635</v>
      </c>
      <c r="AC57" s="15">
        <f>C57/(G57-K57)</f>
        <v>0.63700494507002392</v>
      </c>
      <c r="AD57" s="15">
        <f>Q57/E57</f>
        <v>4.1682341325916896</v>
      </c>
      <c r="AE57" s="15">
        <f>Q57/J57</f>
        <v>0.11736452241479921</v>
      </c>
      <c r="AF57" s="15">
        <f>Q57/G57</f>
        <v>8.0054442919243532E-2</v>
      </c>
      <c r="AG57" s="15">
        <f>Q57/K57</f>
        <v>0.3393944379840112</v>
      </c>
      <c r="AH57" s="15">
        <f>Q57/L57</f>
        <v>0.16629494248865978</v>
      </c>
      <c r="AI57" s="6">
        <f>R57</f>
        <v>66.2</v>
      </c>
      <c r="AJ57" s="6">
        <f>P57</f>
        <v>8290016</v>
      </c>
    </row>
    <row r="58" spans="1:36" s="2" customFormat="1" x14ac:dyDescent="0.25">
      <c r="A58" s="2" t="s">
        <v>29</v>
      </c>
      <c r="B58" s="2">
        <v>2018</v>
      </c>
      <c r="C58" s="3">
        <v>219661</v>
      </c>
      <c r="D58" s="3">
        <v>-357044</v>
      </c>
      <c r="E58" s="3">
        <v>-598025</v>
      </c>
      <c r="F58" s="3"/>
      <c r="G58" s="3">
        <v>5263467</v>
      </c>
      <c r="H58" s="3">
        <v>91001</v>
      </c>
      <c r="I58" s="3">
        <v>6442</v>
      </c>
      <c r="J58" s="3">
        <f>1132180+K58</f>
        <v>2314554</v>
      </c>
      <c r="K58" s="3">
        <v>1182374</v>
      </c>
      <c r="L58" s="3">
        <v>1837377</v>
      </c>
      <c r="M58" s="3">
        <v>1128988</v>
      </c>
      <c r="N58" s="3">
        <v>2948912</v>
      </c>
      <c r="O58" s="3">
        <v>2948912</v>
      </c>
      <c r="P58" s="3">
        <v>-2283138</v>
      </c>
      <c r="Q58" s="3">
        <v>-128928</v>
      </c>
      <c r="R58" s="3">
        <v>1.2</v>
      </c>
      <c r="T58" s="2">
        <f>E58/G58</f>
        <v>-0.11361807721032544</v>
      </c>
      <c r="U58" s="2">
        <f>D58/C58</f>
        <v>-1.625431915542586</v>
      </c>
      <c r="V58" s="2">
        <f>(E58-F58)/O58</f>
        <v>-0.20279513257771001</v>
      </c>
      <c r="W58" s="2">
        <f>H58/K58</f>
        <v>7.6964649087344614E-2</v>
      </c>
      <c r="X58" s="2">
        <f>(H58-I58)/K58</f>
        <v>7.1516288416355572E-2</v>
      </c>
      <c r="Y58" s="2">
        <f>(H58-K58)/G58</f>
        <v>-0.20734869241129469</v>
      </c>
      <c r="Z58" s="2">
        <f>J58/N58</f>
        <v>0.78488405215211576</v>
      </c>
      <c r="AA58" s="2">
        <f>J58/G58</f>
        <v>0.43973943410303512</v>
      </c>
      <c r="AB58" s="2">
        <f>C58/G58</f>
        <v>4.1733139012745779E-2</v>
      </c>
      <c r="AC58" s="2">
        <f>C58/(G58-K58)</f>
        <v>5.3824061348271161E-2</v>
      </c>
      <c r="AD58" s="2">
        <f>Q58/E58</f>
        <v>0.2155896492621546</v>
      </c>
      <c r="AE58" s="2">
        <f>Q58/J58</f>
        <v>-5.5703172187816744E-2</v>
      </c>
      <c r="AF58" s="2">
        <f>Q58/G58</f>
        <v>-2.4494881415614463E-2</v>
      </c>
      <c r="AG58" s="2">
        <f>Q58/K58</f>
        <v>-0.10904163995487046</v>
      </c>
      <c r="AH58" s="2">
        <f>Q58/L58</f>
        <v>-7.0169595025952755E-2</v>
      </c>
      <c r="AI58" s="3">
        <f>R58</f>
        <v>1.2</v>
      </c>
      <c r="AJ58" s="3">
        <f>P58</f>
        <v>-2283138</v>
      </c>
    </row>
    <row r="59" spans="1:36" x14ac:dyDescent="0.25">
      <c r="A59" t="s">
        <v>29</v>
      </c>
      <c r="B59">
        <v>2019</v>
      </c>
      <c r="C59" s="1">
        <v>245471</v>
      </c>
      <c r="D59" s="1">
        <v>-223793</v>
      </c>
      <c r="E59" s="1">
        <v>-446137</v>
      </c>
      <c r="G59" s="5">
        <v>5295070</v>
      </c>
      <c r="H59" s="1">
        <v>115688</v>
      </c>
      <c r="I59" s="1">
        <v>3971</v>
      </c>
      <c r="J59" s="1">
        <f>626504+K59</f>
        <v>2306194</v>
      </c>
      <c r="K59" s="1">
        <v>1679690</v>
      </c>
      <c r="L59" s="5">
        <f>1077409+M59</f>
        <v>1699076</v>
      </c>
      <c r="M59" s="1">
        <v>621667</v>
      </c>
      <c r="N59" s="1">
        <v>2988875</v>
      </c>
      <c r="O59" s="5">
        <v>2988875</v>
      </c>
      <c r="P59" s="5">
        <v>-2729594</v>
      </c>
      <c r="Q59" s="1">
        <v>-192399</v>
      </c>
      <c r="R59" s="1">
        <v>0.8</v>
      </c>
      <c r="T59">
        <f>E59/G59</f>
        <v>-8.4255165654089553E-2</v>
      </c>
      <c r="U59">
        <f>D59/C59</f>
        <v>-0.91168814238749185</v>
      </c>
      <c r="V59">
        <f>(E59-F59)/O59</f>
        <v>-0.14926586090084062</v>
      </c>
      <c r="W59">
        <f>H59/K59</f>
        <v>6.8874613768016721E-2</v>
      </c>
      <c r="X59">
        <f>(H59-I59)/K59</f>
        <v>6.6510487054158809E-2</v>
      </c>
      <c r="Y59">
        <f>(H59-K59)/G59</f>
        <v>-0.29536946631489291</v>
      </c>
      <c r="Z59">
        <f>J59/N59</f>
        <v>0.77159265609970307</v>
      </c>
      <c r="AA59">
        <f>J59/G59</f>
        <v>0.43553607412177742</v>
      </c>
      <c r="AB59">
        <f>C59/G59</f>
        <v>4.63584050824635E-2</v>
      </c>
      <c r="AC59">
        <f>C59/(G59-K59)</f>
        <v>6.7896320718707298E-2</v>
      </c>
      <c r="AD59">
        <f>Q59/E59</f>
        <v>0.43125542154091678</v>
      </c>
      <c r="AE59">
        <f>Q59/J59</f>
        <v>-8.3427066413319956E-2</v>
      </c>
      <c r="AF59">
        <f>Q59/G59</f>
        <v>-3.6335496981154167E-2</v>
      </c>
      <c r="AG59">
        <f>Q59/K59</f>
        <v>-0.11454435044561793</v>
      </c>
      <c r="AH59">
        <f>Q59/L59</f>
        <v>-0.11323743022678209</v>
      </c>
      <c r="AI59" s="1">
        <f>R59</f>
        <v>0.8</v>
      </c>
      <c r="AJ59" s="1">
        <f>P59</f>
        <v>-2729594</v>
      </c>
    </row>
    <row r="60" spans="1:36" x14ac:dyDescent="0.25">
      <c r="A60" t="s">
        <v>29</v>
      </c>
      <c r="B60">
        <v>2020</v>
      </c>
      <c r="C60" s="1">
        <v>211487</v>
      </c>
      <c r="D60" s="1">
        <v>-194008</v>
      </c>
      <c r="E60" s="1">
        <v>26794</v>
      </c>
      <c r="G60" s="5">
        <v>6035024.5320000006</v>
      </c>
      <c r="H60" s="1">
        <v>60765.086000000003</v>
      </c>
      <c r="I60" s="1">
        <v>5611</v>
      </c>
      <c r="J60" s="1">
        <f>G60-O60</f>
        <v>2196470.2050000005</v>
      </c>
      <c r="K60" s="5">
        <v>645850</v>
      </c>
      <c r="L60" s="5">
        <v>1483351.4439999999</v>
      </c>
      <c r="M60" s="1">
        <v>1473773</v>
      </c>
      <c r="N60" s="1">
        <v>3838554.327</v>
      </c>
      <c r="O60" s="5">
        <v>3838554.327</v>
      </c>
      <c r="P60" s="5">
        <v>-2702371.2039999999</v>
      </c>
      <c r="Q60" s="1">
        <v>-376501</v>
      </c>
      <c r="R60" s="1">
        <v>0.8</v>
      </c>
      <c r="T60">
        <f>E60/G60</f>
        <v>4.4397499725026797E-3</v>
      </c>
      <c r="U60">
        <f>D60/C60</f>
        <v>-0.91735189396984207</v>
      </c>
      <c r="V60">
        <f>(E60-F60)/O60</f>
        <v>6.9802320658935929E-3</v>
      </c>
      <c r="W60">
        <f>H60/K60</f>
        <v>9.4085447085236515E-2</v>
      </c>
      <c r="X60">
        <f>(H60-I60)/K60</f>
        <v>8.539767128590231E-2</v>
      </c>
      <c r="Y60">
        <f>(H60-K60)/G60</f>
        <v>-9.6948224633993899E-2</v>
      </c>
      <c r="Z60">
        <f>J60/N60</f>
        <v>0.57221287440176449</v>
      </c>
      <c r="AA60">
        <f>J60/G60</f>
        <v>0.36395381549047201</v>
      </c>
      <c r="AB60">
        <f>C60/G60</f>
        <v>3.5043270972407038E-2</v>
      </c>
      <c r="AC60">
        <f>C60/(G60-K60)</f>
        <v>3.9242930200947511E-2</v>
      </c>
      <c r="AD60">
        <f>Q60/E60</f>
        <v>-14.051690677017243</v>
      </c>
      <c r="AE60">
        <f>Q60/J60</f>
        <v>-0.17141184029855752</v>
      </c>
      <c r="AF60">
        <f>Q60/G60</f>
        <v>-6.2385993296903461E-2</v>
      </c>
      <c r="AG60">
        <f>Q60/K60</f>
        <v>-0.58295424634202986</v>
      </c>
      <c r="AH60">
        <f>Q60/L60</f>
        <v>-0.25381779990366193</v>
      </c>
      <c r="AI60" s="1">
        <f>R60</f>
        <v>0.8</v>
      </c>
      <c r="AJ60" s="1">
        <f>P60</f>
        <v>-2702371.2039999999</v>
      </c>
    </row>
    <row r="61" spans="1:36" x14ac:dyDescent="0.25">
      <c r="A61" t="s">
        <v>29</v>
      </c>
      <c r="B61">
        <v>2021</v>
      </c>
      <c r="C61" s="1">
        <v>80823</v>
      </c>
      <c r="D61" s="1">
        <v>-213336</v>
      </c>
      <c r="E61" s="1">
        <v>-487232</v>
      </c>
      <c r="G61" s="5">
        <v>5669638.8620000007</v>
      </c>
      <c r="H61" s="1">
        <v>23868.661</v>
      </c>
      <c r="I61" s="1">
        <v>2403</v>
      </c>
      <c r="J61" s="1">
        <f>G61-O61</f>
        <v>2307675.7290000007</v>
      </c>
      <c r="K61" s="5">
        <v>604740</v>
      </c>
      <c r="L61" s="5">
        <v>1592304.5</v>
      </c>
      <c r="M61" s="1">
        <v>1532538</v>
      </c>
      <c r="N61" s="1">
        <v>3361963.1329999999</v>
      </c>
      <c r="O61" s="5">
        <v>3361963.1329999999</v>
      </c>
      <c r="P61" s="5">
        <v>-3191665.5759999999</v>
      </c>
      <c r="Q61" s="1">
        <v>-3766</v>
      </c>
      <c r="R61" s="1">
        <v>1.1000000000000001</v>
      </c>
      <c r="T61">
        <f>E61/G61</f>
        <v>-8.593704323314269E-2</v>
      </c>
      <c r="U61">
        <f>D61/C61</f>
        <v>-2.6395456738799599</v>
      </c>
      <c r="V61">
        <f>(E61-F61)/O61</f>
        <v>-0.14492484918037321</v>
      </c>
      <c r="W61">
        <f>H61/K61</f>
        <v>3.9469294242153653E-2</v>
      </c>
      <c r="X61">
        <f>(H61-I61)/K61</f>
        <v>3.5495685749247607E-2</v>
      </c>
      <c r="Y61">
        <f>(H61-K61)/G61</f>
        <v>-0.10245296978141109</v>
      </c>
      <c r="Z61">
        <f>J61/N61</f>
        <v>0.6864072084397842</v>
      </c>
      <c r="AA61">
        <f>J61/G61</f>
        <v>0.40702340751663918</v>
      </c>
      <c r="AB61">
        <f>C61/G61</f>
        <v>1.425540532073487E-2</v>
      </c>
      <c r="AC61">
        <f>C61/(G61-K61)</f>
        <v>1.5957475598650954E-2</v>
      </c>
      <c r="AD61">
        <f>Q61/E61</f>
        <v>7.7293773807960067E-3</v>
      </c>
      <c r="AE61">
        <f>Q61/J61</f>
        <v>-1.6319450573898196E-3</v>
      </c>
      <c r="AF61">
        <f>Q61/G61</f>
        <v>-6.6423983813874163E-4</v>
      </c>
      <c r="AG61">
        <f>Q61/K61</f>
        <v>-6.2274696563812551E-3</v>
      </c>
      <c r="AH61">
        <f>Q61/L61</f>
        <v>-2.3651255146236163E-3</v>
      </c>
      <c r="AI61" s="1">
        <f>R61</f>
        <v>1.1000000000000001</v>
      </c>
      <c r="AJ61" s="1">
        <f>P61</f>
        <v>-3191665.5759999999</v>
      </c>
    </row>
    <row r="62" spans="1:36" x14ac:dyDescent="0.25">
      <c r="A62" t="s">
        <v>29</v>
      </c>
      <c r="B62">
        <v>2022</v>
      </c>
      <c r="C62" s="1">
        <v>35924</v>
      </c>
      <c r="D62" s="1">
        <v>-219527</v>
      </c>
      <c r="E62" s="1">
        <v>-374959</v>
      </c>
      <c r="G62" s="5">
        <v>5550461.7620000001</v>
      </c>
      <c r="H62" s="1">
        <v>13285.507</v>
      </c>
      <c r="I62" s="1">
        <v>1699</v>
      </c>
      <c r="J62" s="1">
        <f>G62-O62</f>
        <v>2567071.0300000003</v>
      </c>
      <c r="K62" s="5">
        <v>1314178</v>
      </c>
      <c r="L62" s="5">
        <v>1712824.7109999999</v>
      </c>
      <c r="M62" s="1">
        <v>1046652</v>
      </c>
      <c r="N62" s="1">
        <v>2983390.7319999998</v>
      </c>
      <c r="O62" s="5">
        <v>2983390.7319999998</v>
      </c>
      <c r="P62" s="5">
        <v>-3571023.031</v>
      </c>
      <c r="Q62" s="1">
        <v>539</v>
      </c>
      <c r="R62" s="1">
        <v>1.1000000000000001</v>
      </c>
      <c r="T62">
        <f>E62/G62</f>
        <v>-6.7554559616476106E-2</v>
      </c>
      <c r="U62">
        <f>D62/C62</f>
        <v>-6.1108729540140292</v>
      </c>
      <c r="V62">
        <f>(E62-F62)/O62</f>
        <v>-0.12568216290885764</v>
      </c>
      <c r="W62">
        <f>H62/K62</f>
        <v>1.0109366463294927E-2</v>
      </c>
      <c r="X62">
        <f>(H62-I62)/K62</f>
        <v>8.8165431166858672E-3</v>
      </c>
      <c r="Y62">
        <f>(H62-K62)/G62</f>
        <v>-0.23437554365409211</v>
      </c>
      <c r="Z62">
        <f>J62/N62</f>
        <v>0.86045418136668006</v>
      </c>
      <c r="AA62">
        <f>J62/G62</f>
        <v>0.46249684081689929</v>
      </c>
      <c r="AB62">
        <f>C62/G62</f>
        <v>6.4722542989027803E-3</v>
      </c>
      <c r="AC62">
        <f>C62/(G62-K62)</f>
        <v>8.4800740503369523E-3</v>
      </c>
      <c r="AD62">
        <f>Q62/E62</f>
        <v>-1.4374904989612198E-3</v>
      </c>
      <c r="AE62">
        <f>Q62/J62</f>
        <v>2.0996692093868549E-4</v>
      </c>
      <c r="AF62">
        <f>Q62/G62</f>
        <v>9.7109037610193695E-5</v>
      </c>
      <c r="AG62">
        <f>Q62/K62</f>
        <v>4.1014230948927769E-4</v>
      </c>
      <c r="AH62">
        <f>Q62/L62</f>
        <v>3.1468485743956555E-4</v>
      </c>
      <c r="AI62" s="1">
        <f>R62</f>
        <v>1.1000000000000001</v>
      </c>
      <c r="AJ62" s="1">
        <f>P62</f>
        <v>-3571023.031</v>
      </c>
    </row>
    <row r="63" spans="1:36" x14ac:dyDescent="0.25">
      <c r="A63" t="s">
        <v>29</v>
      </c>
      <c r="B63">
        <v>2023</v>
      </c>
      <c r="C63" s="1">
        <v>23890</v>
      </c>
      <c r="D63" s="1">
        <v>-199679</v>
      </c>
      <c r="E63" s="1">
        <v>-589067</v>
      </c>
      <c r="G63" s="5">
        <v>4828091.9560000002</v>
      </c>
      <c r="H63" s="1">
        <v>10496.262000000001</v>
      </c>
      <c r="I63" s="1">
        <v>650715</v>
      </c>
      <c r="J63" s="1">
        <f>G63-O63</f>
        <v>2713933.8400000003</v>
      </c>
      <c r="K63" s="5">
        <v>1917512</v>
      </c>
      <c r="L63" s="5">
        <v>1901095.375</v>
      </c>
      <c r="M63" s="1">
        <v>678811</v>
      </c>
      <c r="N63" s="1">
        <v>2114158.1159999999</v>
      </c>
      <c r="O63" s="5">
        <v>2114158.1159999999</v>
      </c>
      <c r="P63" s="5">
        <v>-4271304.3660000004</v>
      </c>
      <c r="Q63" s="1">
        <v>-97294</v>
      </c>
      <c r="R63" s="1">
        <v>0</v>
      </c>
      <c r="T63">
        <f>E63/G63</f>
        <v>-0.12200823956303287</v>
      </c>
      <c r="U63">
        <f>D63/C63</f>
        <v>-8.3582670573461701</v>
      </c>
      <c r="V63">
        <f>(E63-F63)/O63</f>
        <v>-0.27862958571637886</v>
      </c>
      <c r="W63">
        <f>H63/K63</f>
        <v>5.4738963823955213E-3</v>
      </c>
      <c r="X63">
        <f>(H63-I63)/K63</f>
        <v>-0.33387991209442236</v>
      </c>
      <c r="Y63">
        <f>(H63-K63)/G63</f>
        <v>-0.39498330922013614</v>
      </c>
      <c r="Z63">
        <f>J63/N63</f>
        <v>1.2836948284335421</v>
      </c>
      <c r="AA63">
        <f>J63/G63</f>
        <v>0.56211312144279302</v>
      </c>
      <c r="AB63">
        <f>C63/G63</f>
        <v>4.9481244801709403E-3</v>
      </c>
      <c r="AC63">
        <f>C63/(G63-K63)</f>
        <v>8.2079861612295111E-3</v>
      </c>
      <c r="AD63">
        <f>Q63/E63</f>
        <v>0.16516627140885501</v>
      </c>
      <c r="AE63">
        <f>Q63/J63</f>
        <v>-3.5849805388034069E-2</v>
      </c>
      <c r="AF63">
        <f>Q63/G63</f>
        <v>-2.0151646009784491E-2</v>
      </c>
      <c r="AG63">
        <f>Q63/K63</f>
        <v>-5.0739708538981763E-2</v>
      </c>
      <c r="AH63">
        <f>Q63/L63</f>
        <v>-5.1177863709231317E-2</v>
      </c>
      <c r="AI63" s="1">
        <f>R63</f>
        <v>0</v>
      </c>
      <c r="AJ63" s="1">
        <f>P63</f>
        <v>-4271304.3660000004</v>
      </c>
    </row>
    <row r="64" spans="1:36" x14ac:dyDescent="0.25">
      <c r="A64" s="15" t="s">
        <v>29</v>
      </c>
      <c r="B64" s="15">
        <v>2024</v>
      </c>
      <c r="C64" s="6">
        <v>0</v>
      </c>
      <c r="D64" s="6">
        <v>-768454</v>
      </c>
      <c r="E64" s="6">
        <v>-953564</v>
      </c>
      <c r="F64" s="6"/>
      <c r="G64" s="11">
        <v>3268267.6622000001</v>
      </c>
      <c r="H64" s="6">
        <v>682659.34389999998</v>
      </c>
      <c r="I64" s="6">
        <v>650715</v>
      </c>
      <c r="J64" s="6">
        <f>G64-O64</f>
        <v>2796520.0985099999</v>
      </c>
      <c r="K64" s="11">
        <v>2544667</v>
      </c>
      <c r="L64" s="11">
        <v>2108751.2390000001</v>
      </c>
      <c r="M64" s="6">
        <v>230270</v>
      </c>
      <c r="N64" s="6">
        <v>471747.56368999998</v>
      </c>
      <c r="O64" s="11">
        <v>471747.56368999998</v>
      </c>
      <c r="P64" s="11">
        <v>-5263257.2556499997</v>
      </c>
      <c r="Q64" s="6">
        <v>14119</v>
      </c>
      <c r="R64" s="6">
        <v>0</v>
      </c>
      <c r="S64" s="15"/>
      <c r="T64" s="15">
        <f>E64/G64</f>
        <v>-0.29176435303285975</v>
      </c>
      <c r="U64" s="15" t="e">
        <f>D64/C64</f>
        <v>#DIV/0!</v>
      </c>
      <c r="V64" s="15">
        <f>(E64-F64)/O64</f>
        <v>-2.0213437723795362</v>
      </c>
      <c r="W64" s="15">
        <f>H64/K64</f>
        <v>0.26827060039682993</v>
      </c>
      <c r="X64" s="15">
        <f>(H64-I64)/K64</f>
        <v>1.2553447622026764E-2</v>
      </c>
      <c r="Y64" s="15">
        <f>(H64-K64)/G64</f>
        <v>-0.56972312201828934</v>
      </c>
      <c r="Z64" s="15">
        <f>J64/N64</f>
        <v>5.9280011467058271</v>
      </c>
      <c r="AA64" s="15">
        <f>J64/G64</f>
        <v>0.85565822250542101</v>
      </c>
      <c r="AB64" s="15">
        <f>C64/G64</f>
        <v>0</v>
      </c>
      <c r="AC64" s="15">
        <f>C64/(G64-K64)</f>
        <v>0</v>
      </c>
      <c r="AD64" s="15">
        <f>Q64/E64</f>
        <v>-1.4806557294528736E-2</v>
      </c>
      <c r="AE64" s="15">
        <f>Q64/J64</f>
        <v>5.0487747281067908E-3</v>
      </c>
      <c r="AF64" s="15">
        <f>Q64/G64</f>
        <v>4.3200256096821467E-3</v>
      </c>
      <c r="AG64" s="15">
        <f>Q64/K64</f>
        <v>5.548466655951447E-3</v>
      </c>
      <c r="AH64" s="15">
        <f>Q64/L64</f>
        <v>6.6954317507338761E-3</v>
      </c>
      <c r="AI64" s="6">
        <f>R64</f>
        <v>0</v>
      </c>
      <c r="AJ64" s="6">
        <f>P64</f>
        <v>-5263257.2556499997</v>
      </c>
    </row>
    <row r="65" spans="1:36" s="2" customFormat="1" x14ac:dyDescent="0.25">
      <c r="A65" s="2" t="s">
        <v>26</v>
      </c>
      <c r="B65" s="2">
        <v>2018</v>
      </c>
      <c r="C65" s="3">
        <v>4422461</v>
      </c>
      <c r="D65" s="3">
        <v>645769</v>
      </c>
      <c r="E65" s="3">
        <v>364358</v>
      </c>
      <c r="F65" s="3"/>
      <c r="G65" s="4">
        <v>6402504</v>
      </c>
      <c r="H65" s="3">
        <v>3067145</v>
      </c>
      <c r="I65" s="3">
        <v>1787477</v>
      </c>
      <c r="J65" s="3">
        <f>1463530+K65</f>
        <v>4149872</v>
      </c>
      <c r="K65" s="3">
        <v>2686342</v>
      </c>
      <c r="L65" s="3">
        <f>380000+1169989+M65</f>
        <v>2683739</v>
      </c>
      <c r="M65" s="3">
        <v>1133750</v>
      </c>
      <c r="N65" s="3">
        <v>2252631</v>
      </c>
      <c r="O65" s="3">
        <v>2252631</v>
      </c>
      <c r="P65" s="3">
        <v>1303415</v>
      </c>
      <c r="Q65" s="3">
        <v>-300316</v>
      </c>
      <c r="R65" s="3">
        <v>16.899999999999999</v>
      </c>
      <c r="S65" s="4"/>
      <c r="T65" s="2">
        <f>E65/G65</f>
        <v>5.690867198208701E-2</v>
      </c>
      <c r="U65" s="2">
        <f>D65/C65</f>
        <v>0.14602028146771673</v>
      </c>
      <c r="V65" s="2">
        <f>(E65-F65)/O65</f>
        <v>0.16174775185105772</v>
      </c>
      <c r="W65" s="2">
        <f>H65/K65</f>
        <v>1.1417552195513452</v>
      </c>
      <c r="X65" s="2">
        <f>(H65-I65)/K65</f>
        <v>0.47636079099384965</v>
      </c>
      <c r="Y65" s="2">
        <f>(H65-K65)/G65</f>
        <v>5.9477198296166628E-2</v>
      </c>
      <c r="Z65" s="2">
        <f>J65/N65</f>
        <v>1.8422333706674552</v>
      </c>
      <c r="AA65" s="2">
        <f>J65/G65</f>
        <v>0.64816390587182759</v>
      </c>
      <c r="AB65" s="2">
        <f>C65/G65</f>
        <v>0.69073927950689296</v>
      </c>
      <c r="AC65" s="2">
        <f>C65/(G65-K65)</f>
        <v>1.1900614128232301</v>
      </c>
      <c r="AD65" s="2">
        <f>Q65/E65</f>
        <v>-0.82423330899829284</v>
      </c>
      <c r="AE65" s="2">
        <f>Q65/J65</f>
        <v>-7.2367533263676564E-2</v>
      </c>
      <c r="AF65" s="2">
        <f>Q65/G65</f>
        <v>-4.6906023018494017E-2</v>
      </c>
      <c r="AG65" s="2">
        <f>Q65/K65</f>
        <v>-0.11179365843961789</v>
      </c>
      <c r="AH65" s="2">
        <f>Q65/L65</f>
        <v>-0.11190208883948849</v>
      </c>
      <c r="AI65" s="3">
        <f>R65</f>
        <v>16.899999999999999</v>
      </c>
      <c r="AJ65" s="3">
        <f>P65</f>
        <v>1303415</v>
      </c>
    </row>
    <row r="66" spans="1:36" x14ac:dyDescent="0.25">
      <c r="A66" t="s">
        <v>26</v>
      </c>
      <c r="B66">
        <v>2019</v>
      </c>
      <c r="C66" s="1">
        <v>5031000</v>
      </c>
      <c r="D66" s="1">
        <v>594125</v>
      </c>
      <c r="E66" s="1">
        <v>126480</v>
      </c>
      <c r="G66" s="5">
        <v>6976518</v>
      </c>
      <c r="H66" s="1">
        <v>3148422</v>
      </c>
      <c r="I66" s="1">
        <v>1855569</v>
      </c>
      <c r="J66" s="1">
        <f>1561276+K66</f>
        <v>4623223</v>
      </c>
      <c r="K66" s="1">
        <v>3061947</v>
      </c>
      <c r="L66" s="1">
        <f>527500+M66+1361100</f>
        <v>3087350</v>
      </c>
      <c r="M66" s="1">
        <v>1198750</v>
      </c>
      <c r="N66" s="1">
        <v>2353295</v>
      </c>
      <c r="O66" s="1">
        <v>2353295</v>
      </c>
      <c r="P66" s="1">
        <v>1257256</v>
      </c>
      <c r="Q66" s="1">
        <v>80162</v>
      </c>
      <c r="R66" s="1">
        <v>10</v>
      </c>
      <c r="S66" s="11"/>
      <c r="T66">
        <f>E66/G66</f>
        <v>1.8129387754751008E-2</v>
      </c>
      <c r="U66">
        <f>D66/C66</f>
        <v>0.11809282448817332</v>
      </c>
      <c r="V66">
        <f>(E66-F66)/O66</f>
        <v>5.3745917957587125E-2</v>
      </c>
      <c r="W66">
        <f>H66/K66</f>
        <v>1.0282418343622539</v>
      </c>
      <c r="X66">
        <f>(H66-I66)/K66</f>
        <v>0.42223232472671801</v>
      </c>
      <c r="Y66">
        <f>(H66-K66)/G66</f>
        <v>1.2395151850823004E-2</v>
      </c>
      <c r="Z66">
        <f>J66/N66</f>
        <v>1.9645743521317982</v>
      </c>
      <c r="AA66">
        <f>J66/G66</f>
        <v>0.6626834475307023</v>
      </c>
      <c r="AB66">
        <f>C66/G66</f>
        <v>0.72113337914415188</v>
      </c>
      <c r="AC66">
        <f>C66/(G66-K66)</f>
        <v>1.2851983014230679</v>
      </c>
      <c r="AD66">
        <f>Q66/E66</f>
        <v>0.63379190385831752</v>
      </c>
      <c r="AE66">
        <f>Q66/J66</f>
        <v>1.7338986244012023E-2</v>
      </c>
      <c r="AF66">
        <f>Q66/G66</f>
        <v>1.149025918086931E-2</v>
      </c>
      <c r="AG66">
        <f>Q66/K66</f>
        <v>2.6180074312194171E-2</v>
      </c>
      <c r="AH66">
        <f>Q66/L66</f>
        <v>2.5964662250797611E-2</v>
      </c>
      <c r="AI66" s="1">
        <f>R66</f>
        <v>10</v>
      </c>
      <c r="AJ66" s="1">
        <f>P66</f>
        <v>1257256</v>
      </c>
    </row>
    <row r="67" spans="1:36" x14ac:dyDescent="0.25">
      <c r="A67" t="s">
        <v>26</v>
      </c>
      <c r="B67">
        <v>2020</v>
      </c>
      <c r="C67" s="1">
        <v>4729950</v>
      </c>
      <c r="D67" s="1">
        <v>460589</v>
      </c>
      <c r="E67" s="1">
        <v>30849</v>
      </c>
      <c r="G67" s="5">
        <v>6797671</v>
      </c>
      <c r="H67" s="1">
        <v>2992572</v>
      </c>
      <c r="I67" s="1">
        <v>1845542</v>
      </c>
      <c r="J67" s="1">
        <f>1754251+K67</f>
        <v>4415825</v>
      </c>
      <c r="K67" s="1">
        <v>2661574</v>
      </c>
      <c r="L67" s="1">
        <f>727900+M67+1015769</f>
        <v>3097619</v>
      </c>
      <c r="M67" s="1">
        <v>1353950</v>
      </c>
      <c r="N67" s="1">
        <v>2381846</v>
      </c>
      <c r="O67" s="1">
        <v>2381846</v>
      </c>
      <c r="P67" s="1">
        <v>1291090</v>
      </c>
      <c r="Q67" s="1">
        <v>187623</v>
      </c>
      <c r="R67" s="1">
        <v>7.2</v>
      </c>
      <c r="S67" s="11"/>
      <c r="T67">
        <f>E67/G67</f>
        <v>4.5381719709588772E-3</v>
      </c>
      <c r="U67">
        <f>D67/C67</f>
        <v>9.7377139293227208E-2</v>
      </c>
      <c r="V67">
        <f>(E67-F67)/O67</f>
        <v>1.2951718960839617E-2</v>
      </c>
      <c r="W67">
        <f>H67/K67</f>
        <v>1.1243617498517795</v>
      </c>
      <c r="X67">
        <f>(H67-I67)/K67</f>
        <v>0.43095927447442756</v>
      </c>
      <c r="Y67">
        <f>(H67-K67)/G67</f>
        <v>4.8692853773005487E-2</v>
      </c>
      <c r="Z67">
        <f>J67/N67</f>
        <v>1.8539506752325716</v>
      </c>
      <c r="AA67">
        <f>J67/G67</f>
        <v>0.64960852032997773</v>
      </c>
      <c r="AB67">
        <f>C67/G67</f>
        <v>0.69581920042908818</v>
      </c>
      <c r="AC67">
        <f>C67/(G67-K67)</f>
        <v>1.1435781124088724</v>
      </c>
      <c r="AD67">
        <f>Q67/E67</f>
        <v>6.0819799669357195</v>
      </c>
      <c r="AE67">
        <f>Q67/J67</f>
        <v>4.248877616300465E-2</v>
      </c>
      <c r="AF67">
        <f>Q67/G67</f>
        <v>2.7601071013881078E-2</v>
      </c>
      <c r="AG67">
        <f>Q67/K67</f>
        <v>7.0493249483200543E-2</v>
      </c>
      <c r="AH67">
        <f>Q67/L67</f>
        <v>6.0570070108686702E-2</v>
      </c>
      <c r="AI67" s="1">
        <f>R67</f>
        <v>7.2</v>
      </c>
      <c r="AJ67" s="1">
        <f>P67</f>
        <v>1291090</v>
      </c>
    </row>
    <row r="68" spans="1:36" x14ac:dyDescent="0.25">
      <c r="A68" t="s">
        <v>26</v>
      </c>
      <c r="B68">
        <v>2021</v>
      </c>
      <c r="C68" s="1">
        <v>6021532</v>
      </c>
      <c r="D68" s="1">
        <v>1232655</v>
      </c>
      <c r="E68" s="1">
        <v>841011</v>
      </c>
      <c r="G68" s="5">
        <v>7674399</v>
      </c>
      <c r="H68" s="1">
        <v>3628542</v>
      </c>
      <c r="I68" s="1">
        <v>1898202</v>
      </c>
      <c r="J68" s="1">
        <f>1394414+K68</f>
        <v>4700749</v>
      </c>
      <c r="K68" s="1">
        <v>3306335</v>
      </c>
      <c r="L68" s="1">
        <f>736650+M68+869962</f>
        <v>2429637</v>
      </c>
      <c r="M68" s="1">
        <v>823025</v>
      </c>
      <c r="N68" s="1">
        <v>2973650</v>
      </c>
      <c r="O68" s="1">
        <v>2973650</v>
      </c>
      <c r="P68" s="1">
        <v>1827320</v>
      </c>
      <c r="Q68" s="1">
        <v>1750136</v>
      </c>
      <c r="R68" s="1">
        <v>10.8</v>
      </c>
      <c r="S68" s="11"/>
      <c r="T68">
        <f>E68/G68</f>
        <v>0.10958656176203505</v>
      </c>
      <c r="U68">
        <f>D68/C68</f>
        <v>0.20470787168448162</v>
      </c>
      <c r="V68">
        <f>(E68-F68)/O68</f>
        <v>0.28282111210128968</v>
      </c>
      <c r="W68">
        <f>H68/K68</f>
        <v>1.0974514076764756</v>
      </c>
      <c r="X68">
        <f>(H68-I68)/K68</f>
        <v>0.5233407987998796</v>
      </c>
      <c r="Y68">
        <f>(H68-K68)/G68</f>
        <v>4.1984655736559955E-2</v>
      </c>
      <c r="Z68">
        <f>J68/N68</f>
        <v>1.5808010357641282</v>
      </c>
      <c r="AA68">
        <f>J68/G68</f>
        <v>0.61252340411281714</v>
      </c>
      <c r="AB68">
        <f>C68/G68</f>
        <v>0.78462587102911907</v>
      </c>
      <c r="AC68">
        <f>C68/(G68-K68)</f>
        <v>1.3785356624811358</v>
      </c>
      <c r="AD68">
        <f>Q68/E68</f>
        <v>2.0809906172451966</v>
      </c>
      <c r="AE68">
        <f>Q68/J68</f>
        <v>0.37231002974206878</v>
      </c>
      <c r="AF68">
        <f>Q68/G68</f>
        <v>0.22804860680295616</v>
      </c>
      <c r="AG68">
        <f>Q68/K68</f>
        <v>0.52932809288834914</v>
      </c>
      <c r="AH68">
        <f>Q68/L68</f>
        <v>0.72032818071176885</v>
      </c>
      <c r="AI68" s="1">
        <f>R68</f>
        <v>10.8</v>
      </c>
      <c r="AJ68" s="1">
        <f>P68</f>
        <v>1827320</v>
      </c>
    </row>
    <row r="69" spans="1:36" x14ac:dyDescent="0.25">
      <c r="A69" t="s">
        <v>26</v>
      </c>
      <c r="B69">
        <v>2022</v>
      </c>
      <c r="C69" s="1">
        <v>9595282</v>
      </c>
      <c r="D69" s="1">
        <v>1487728</v>
      </c>
      <c r="E69" s="1">
        <v>1151906</v>
      </c>
      <c r="G69" s="5">
        <v>12069300</v>
      </c>
      <c r="H69" s="1">
        <v>7317236</v>
      </c>
      <c r="I69" s="1">
        <v>3602127</v>
      </c>
      <c r="J69" s="1">
        <f>1819621+K69</f>
        <v>8187298</v>
      </c>
      <c r="K69" s="1">
        <v>6367677</v>
      </c>
      <c r="L69" s="1">
        <f>651392+M69+2839651</f>
        <v>4620032</v>
      </c>
      <c r="M69" s="1">
        <v>1128989</v>
      </c>
      <c r="N69" s="1">
        <v>3882002</v>
      </c>
      <c r="O69" s="1">
        <v>3882002</v>
      </c>
      <c r="P69" s="1">
        <v>2615154</v>
      </c>
      <c r="Q69" s="1">
        <v>-838744</v>
      </c>
      <c r="R69" s="1">
        <v>7.3</v>
      </c>
      <c r="S69" s="1"/>
      <c r="T69">
        <f>E69/G69</f>
        <v>9.5440994920997904E-2</v>
      </c>
      <c r="U69">
        <f>D69/C69</f>
        <v>0.15504786623259223</v>
      </c>
      <c r="V69">
        <f>(E69-F69)/O69</f>
        <v>0.29672988318913796</v>
      </c>
      <c r="W69">
        <f>H69/K69</f>
        <v>1.1491217283791249</v>
      </c>
      <c r="X69">
        <f>(H69-I69)/K69</f>
        <v>0.58343238829482091</v>
      </c>
      <c r="Y69">
        <f>(H69-K69)/G69</f>
        <v>7.8675565277190884E-2</v>
      </c>
      <c r="Z69">
        <f>J69/N69</f>
        <v>2.1090401292941117</v>
      </c>
      <c r="AA69">
        <f>J69/G69</f>
        <v>0.67835731981142233</v>
      </c>
      <c r="AB69">
        <f>C69/G69</f>
        <v>0.79501561813858301</v>
      </c>
      <c r="AC69">
        <f>C69/(G69-K69)</f>
        <v>1.682903622354547</v>
      </c>
      <c r="AD69">
        <f>Q69/E69</f>
        <v>-0.72813580274779366</v>
      </c>
      <c r="AE69">
        <f>Q69/J69</f>
        <v>-0.10244454275390978</v>
      </c>
      <c r="AF69">
        <f>Q69/G69</f>
        <v>-6.9494005451848903E-2</v>
      </c>
      <c r="AG69">
        <f>Q69/K69</f>
        <v>-0.13171899265619158</v>
      </c>
      <c r="AH69">
        <f>Q69/L69</f>
        <v>-0.18154506289133929</v>
      </c>
      <c r="AI69" s="1">
        <f>R69</f>
        <v>7.3</v>
      </c>
      <c r="AJ69" s="1">
        <f>P69</f>
        <v>2615154</v>
      </c>
    </row>
    <row r="70" spans="1:36" x14ac:dyDescent="0.25">
      <c r="A70" t="s">
        <v>26</v>
      </c>
      <c r="B70">
        <v>2023</v>
      </c>
      <c r="C70" s="1">
        <v>10214848</v>
      </c>
      <c r="D70" s="1">
        <v>1222478</v>
      </c>
      <c r="E70" s="1">
        <v>-10210</v>
      </c>
      <c r="G70" s="5">
        <v>10518027</v>
      </c>
      <c r="H70" s="1">
        <v>5515437</v>
      </c>
      <c r="I70" s="1">
        <v>3656606</v>
      </c>
      <c r="J70" s="1">
        <f>1526407+K70</f>
        <v>6909433</v>
      </c>
      <c r="K70" s="1">
        <v>5383026</v>
      </c>
      <c r="L70" s="1">
        <f>573067+M70+3017627</f>
        <v>4246816</v>
      </c>
      <c r="M70" s="1">
        <v>656122</v>
      </c>
      <c r="N70" s="1">
        <v>3608597</v>
      </c>
      <c r="O70" s="1">
        <v>3608597</v>
      </c>
      <c r="P70" s="1">
        <v>2391217</v>
      </c>
      <c r="Q70" s="1">
        <v>541830</v>
      </c>
      <c r="R70" s="1">
        <v>8.1999999999999993</v>
      </c>
      <c r="S70" s="1"/>
      <c r="T70">
        <f>E70/G70</f>
        <v>-9.7071437447346354E-4</v>
      </c>
      <c r="U70">
        <f>D70/C70</f>
        <v>0.11967657276936475</v>
      </c>
      <c r="V70">
        <f>(E70-F70)/O70</f>
        <v>-2.8293544554850543E-3</v>
      </c>
      <c r="W70">
        <f>H70/K70</f>
        <v>1.0245978748755811</v>
      </c>
      <c r="X70">
        <f>(H70-I70)/K70</f>
        <v>0.34531339807758682</v>
      </c>
      <c r="Y70">
        <f>(H70-K70)/G70</f>
        <v>1.2588957986131809E-2</v>
      </c>
      <c r="Z70">
        <f>J70/N70</f>
        <v>1.914714499845785</v>
      </c>
      <c r="AA70">
        <f>J70/G70</f>
        <v>0.6569134116122729</v>
      </c>
      <c r="AB70">
        <f>C70/G70</f>
        <v>0.97117529742032416</v>
      </c>
      <c r="AC70">
        <f>C70/(G70-K70)</f>
        <v>1.9892592036496195</v>
      </c>
      <c r="AD70">
        <f>Q70/E70</f>
        <v>-53.068560235063664</v>
      </c>
      <c r="AE70">
        <f>Q70/J70</f>
        <v>7.8418880391487991E-2</v>
      </c>
      <c r="AF70">
        <f>Q70/G70</f>
        <v>5.1514414252787147E-2</v>
      </c>
      <c r="AG70">
        <f>Q70/K70</f>
        <v>0.10065528199195026</v>
      </c>
      <c r="AH70">
        <f>Q70/L70</f>
        <v>0.12758499544129059</v>
      </c>
      <c r="AI70" s="1">
        <f>R70</f>
        <v>8.1999999999999993</v>
      </c>
      <c r="AJ70" s="1">
        <f>P70</f>
        <v>2391217</v>
      </c>
    </row>
    <row r="71" spans="1:36" x14ac:dyDescent="0.25">
      <c r="A71" s="15" t="s">
        <v>26</v>
      </c>
      <c r="B71" s="15">
        <v>2024</v>
      </c>
      <c r="C71" s="6">
        <v>10992977</v>
      </c>
      <c r="D71" s="6">
        <v>1052635</v>
      </c>
      <c r="E71" s="6">
        <v>186072</v>
      </c>
      <c r="F71" s="6"/>
      <c r="G71" s="11">
        <v>12881257</v>
      </c>
      <c r="H71" s="6">
        <v>7866926</v>
      </c>
      <c r="I71" s="6">
        <v>5139699</v>
      </c>
      <c r="J71" s="6">
        <f>1862110+K71</f>
        <v>9071818</v>
      </c>
      <c r="K71" s="6">
        <v>7209708</v>
      </c>
      <c r="L71" s="6">
        <f>655630+M71+4378527</f>
        <v>5966147</v>
      </c>
      <c r="M71" s="6">
        <v>931990</v>
      </c>
      <c r="N71" s="6">
        <v>3809442</v>
      </c>
      <c r="O71" s="6">
        <v>3809442</v>
      </c>
      <c r="P71" s="6">
        <v>2597347</v>
      </c>
      <c r="Q71" s="6">
        <v>-1365612</v>
      </c>
      <c r="R71" s="6">
        <v>9.6</v>
      </c>
      <c r="S71" s="15"/>
      <c r="T71" s="15">
        <f>E71/G71</f>
        <v>1.4445174100633191E-2</v>
      </c>
      <c r="U71" s="15">
        <f>D71/C71</f>
        <v>9.5755226268553095E-2</v>
      </c>
      <c r="V71" s="15">
        <f>(E71-F71)/O71</f>
        <v>4.8844948945278598E-2</v>
      </c>
      <c r="W71" s="15">
        <f>H71/K71</f>
        <v>1.0911573672609209</v>
      </c>
      <c r="X71" s="15">
        <f>(H71-I71)/K71</f>
        <v>0.37827149171644675</v>
      </c>
      <c r="Y71" s="15">
        <f>(H71-K71)/G71</f>
        <v>5.1021262909357372E-2</v>
      </c>
      <c r="Z71" s="15">
        <f>J71/N71</f>
        <v>2.3814033656372771</v>
      </c>
      <c r="AA71" s="15">
        <f>J71/G71</f>
        <v>0.70426496420341589</v>
      </c>
      <c r="AB71" s="15">
        <f>C71/G71</f>
        <v>0.85340871624562731</v>
      </c>
      <c r="AC71" s="15">
        <f>C71/(G71-K71)</f>
        <v>1.9382671294914318</v>
      </c>
      <c r="AD71" s="15">
        <f>Q71/E71</f>
        <v>-7.3391590352121758</v>
      </c>
      <c r="AE71" s="15">
        <f>Q71/J71</f>
        <v>-0.15053344324147597</v>
      </c>
      <c r="AF71" s="15">
        <f>Q71/G71</f>
        <v>-0.106015430015875</v>
      </c>
      <c r="AG71" s="15">
        <f>Q71/K71</f>
        <v>-0.18941294155047611</v>
      </c>
      <c r="AH71" s="15">
        <f>Q71/L71</f>
        <v>-0.22889345502214412</v>
      </c>
      <c r="AI71" s="6">
        <f>R71</f>
        <v>9.6</v>
      </c>
      <c r="AJ71" s="6">
        <f>P71</f>
        <v>2597347</v>
      </c>
    </row>
    <row r="72" spans="1:36" s="2" customFormat="1" x14ac:dyDescent="0.25">
      <c r="A72" s="2" t="s">
        <v>33</v>
      </c>
      <c r="B72" s="2">
        <v>2018</v>
      </c>
      <c r="C72" s="3">
        <v>3275348</v>
      </c>
      <c r="D72" s="3">
        <f>752310+45471-93759</f>
        <v>704022</v>
      </c>
      <c r="E72" s="3">
        <v>546602</v>
      </c>
      <c r="F72" s="3"/>
      <c r="G72" s="3">
        <v>4899128</v>
      </c>
      <c r="H72" s="3">
        <v>803836</v>
      </c>
      <c r="I72" s="3">
        <v>167901</v>
      </c>
      <c r="J72" s="3">
        <f>909684+K72</f>
        <v>1331375</v>
      </c>
      <c r="K72" s="3">
        <v>421691</v>
      </c>
      <c r="L72" s="3">
        <f>64407+M72</f>
        <v>320089</v>
      </c>
      <c r="M72" s="3">
        <v>255682</v>
      </c>
      <c r="N72" s="3">
        <v>3567752</v>
      </c>
      <c r="O72" s="3">
        <v>3567752</v>
      </c>
      <c r="P72" s="3">
        <v>1044199</v>
      </c>
      <c r="Q72" s="3">
        <v>884131</v>
      </c>
      <c r="R72" s="3">
        <v>10.199999999999999</v>
      </c>
      <c r="T72" s="2">
        <f>E72/G72</f>
        <v>0.11157128370599829</v>
      </c>
      <c r="U72" s="2">
        <f>D72/C72</f>
        <v>0.21494570958566844</v>
      </c>
      <c r="V72" s="2">
        <f>(E72-F72)/O72</f>
        <v>0.15320627666945461</v>
      </c>
      <c r="W72" s="2">
        <f>H72/K72</f>
        <v>1.906220431548219</v>
      </c>
      <c r="X72" s="2">
        <f>(H72-I72)/K72</f>
        <v>1.5080592187170228</v>
      </c>
      <c r="Y72" s="2">
        <f>(H72-K72)/G72</f>
        <v>7.8002656799332451E-2</v>
      </c>
      <c r="Z72" s="2">
        <f>J72/N72</f>
        <v>0.3731691552551859</v>
      </c>
      <c r="AA72" s="2">
        <f>J72/G72</f>
        <v>0.27175754542441022</v>
      </c>
      <c r="AB72" s="2">
        <f>C72/G72</f>
        <v>0.66855734326598526</v>
      </c>
      <c r="AC72" s="2">
        <f>C72/(G72-K72)</f>
        <v>0.7315229672689979</v>
      </c>
      <c r="AD72" s="2">
        <f>Q72/E72</f>
        <v>1.6175041437828621</v>
      </c>
      <c r="AE72" s="2">
        <f>Q72/J72</f>
        <v>0.6640736081119144</v>
      </c>
      <c r="AF72" s="2">
        <f>Q72/G72</f>
        <v>0.18046701372162557</v>
      </c>
      <c r="AG72" s="2">
        <f>Q72/K72</f>
        <v>2.096632368250686</v>
      </c>
      <c r="AH72" s="2">
        <f>Q72/L72</f>
        <v>2.762141154491407</v>
      </c>
      <c r="AI72" s="3">
        <f>R72</f>
        <v>10.199999999999999</v>
      </c>
      <c r="AJ72" s="3">
        <f>P72</f>
        <v>1044199</v>
      </c>
    </row>
    <row r="73" spans="1:36" x14ac:dyDescent="0.25">
      <c r="A73" t="s">
        <v>33</v>
      </c>
      <c r="B73">
        <v>2019</v>
      </c>
      <c r="C73" s="1">
        <v>3475046</v>
      </c>
      <c r="D73" s="1">
        <f>610221+54952-130069</f>
        <v>535104</v>
      </c>
      <c r="E73" s="1">
        <v>366514</v>
      </c>
      <c r="G73" s="1">
        <v>5864581</v>
      </c>
      <c r="H73" s="1">
        <v>888634</v>
      </c>
      <c r="I73" s="1">
        <v>116332</v>
      </c>
      <c r="J73" s="1">
        <f>914844+K73</f>
        <v>2268143</v>
      </c>
      <c r="K73" s="1">
        <v>1353299</v>
      </c>
      <c r="L73" s="1">
        <f>63936+M73</f>
        <v>255682</v>
      </c>
      <c r="M73" s="1">
        <v>191746</v>
      </c>
      <c r="N73" s="1">
        <v>3596436</v>
      </c>
      <c r="O73" s="1">
        <v>3596436</v>
      </c>
      <c r="P73" s="1">
        <v>1142167</v>
      </c>
      <c r="Q73" s="1">
        <v>648271</v>
      </c>
      <c r="R73" s="1">
        <v>9.5</v>
      </c>
      <c r="T73">
        <f>E73/G73</f>
        <v>6.2496195380369032E-2</v>
      </c>
      <c r="U73">
        <f>D73/C73</f>
        <v>0.15398472423098861</v>
      </c>
      <c r="V73">
        <f>(E73-F73)/O73</f>
        <v>0.10191033567676444</v>
      </c>
      <c r="W73">
        <f>H73/K73</f>
        <v>0.6566427670455679</v>
      </c>
      <c r="X73">
        <f>(H73-I73)/K73</f>
        <v>0.57068098033028913</v>
      </c>
      <c r="Y73">
        <f>(H73-K73)/G73</f>
        <v>-7.9232429392653972E-2</v>
      </c>
      <c r="Z73">
        <f>J73/N73</f>
        <v>0.63066407966108673</v>
      </c>
      <c r="AA73">
        <f>J73/G73</f>
        <v>0.38675277909879668</v>
      </c>
      <c r="AB73">
        <f>C73/G73</f>
        <v>0.59254804392675287</v>
      </c>
      <c r="AC73">
        <f>C73/(G73-K73)</f>
        <v>0.77030121371264315</v>
      </c>
      <c r="AD73">
        <f>Q73/E73</f>
        <v>1.7687482606394298</v>
      </c>
      <c r="AE73">
        <f>Q73/J73</f>
        <v>0.28581575323954445</v>
      </c>
      <c r="AF73">
        <f>Q73/G73</f>
        <v>0.1105400368756097</v>
      </c>
      <c r="AG73">
        <f>Q73/K73</f>
        <v>0.47903013303046849</v>
      </c>
      <c r="AH73">
        <f>Q73/L73</f>
        <v>2.5354581081186787</v>
      </c>
      <c r="AI73" s="1">
        <f>R73</f>
        <v>9.5</v>
      </c>
      <c r="AJ73" s="1">
        <f>P73</f>
        <v>1142167</v>
      </c>
    </row>
    <row r="74" spans="1:36" x14ac:dyDescent="0.25">
      <c r="A74" t="s">
        <v>33</v>
      </c>
      <c r="B74">
        <v>2020</v>
      </c>
      <c r="C74" s="1">
        <v>3654663</v>
      </c>
      <c r="D74" s="1">
        <f>607900+151700-216398</f>
        <v>543202</v>
      </c>
      <c r="E74" s="1">
        <v>433110</v>
      </c>
      <c r="G74" s="1">
        <v>7867975</v>
      </c>
      <c r="H74" s="1">
        <v>2296361</v>
      </c>
      <c r="I74" s="1">
        <v>135369</v>
      </c>
      <c r="J74" s="1">
        <f>2074332+K74</f>
        <v>3811370</v>
      </c>
      <c r="K74" s="1">
        <v>1737038</v>
      </c>
      <c r="L74" s="1">
        <f>896529+M74</f>
        <v>2207672</v>
      </c>
      <c r="M74" s="1">
        <v>1311143</v>
      </c>
      <c r="N74" s="1">
        <v>4056604</v>
      </c>
      <c r="O74" s="1">
        <v>4056604</v>
      </c>
      <c r="P74" s="1">
        <v>1524312</v>
      </c>
      <c r="Q74" s="1">
        <v>294297</v>
      </c>
      <c r="R74" s="1">
        <v>9</v>
      </c>
      <c r="T74">
        <f>E74/G74</f>
        <v>5.5047200836301588E-2</v>
      </c>
      <c r="U74">
        <f>D74/C74</f>
        <v>0.14863258253907405</v>
      </c>
      <c r="V74">
        <f>(E74-F74)/O74</f>
        <v>0.10676664520372213</v>
      </c>
      <c r="W74">
        <f>H74/K74</f>
        <v>1.321998137058602</v>
      </c>
      <c r="X74">
        <f>(H74-I74)/K74</f>
        <v>1.2440671994510195</v>
      </c>
      <c r="Y74">
        <f>(H74-K74)/G74</f>
        <v>7.1088558364763493E-2</v>
      </c>
      <c r="Z74">
        <f>J74/N74</f>
        <v>0.93954697081598304</v>
      </c>
      <c r="AA74">
        <f>J74/G74</f>
        <v>0.48441562155446605</v>
      </c>
      <c r="AB74">
        <f>C74/G74</f>
        <v>0.46449855267715007</v>
      </c>
      <c r="AC74">
        <f>C74/(G74-K74)</f>
        <v>0.5961018682788618</v>
      </c>
      <c r="AD74">
        <f>Q74/E74</f>
        <v>0.6794971254415737</v>
      </c>
      <c r="AE74">
        <f>Q74/J74</f>
        <v>7.7215541917997996E-2</v>
      </c>
      <c r="AF74">
        <f>Q74/G74</f>
        <v>3.7404414731871921E-2</v>
      </c>
      <c r="AG74">
        <f>Q74/K74</f>
        <v>0.16942461822942273</v>
      </c>
      <c r="AH74">
        <f>Q74/L74</f>
        <v>0.13330648755793434</v>
      </c>
      <c r="AI74" s="1">
        <f>R74</f>
        <v>9</v>
      </c>
      <c r="AJ74" s="1">
        <f>P74</f>
        <v>1524312</v>
      </c>
    </row>
    <row r="75" spans="1:36" x14ac:dyDescent="0.25">
      <c r="A75" t="s">
        <v>33</v>
      </c>
      <c r="B75">
        <v>2021</v>
      </c>
      <c r="C75" s="1">
        <v>4229712</v>
      </c>
      <c r="D75" s="1">
        <f>708765+253512-252549</f>
        <v>709728</v>
      </c>
      <c r="E75" s="1">
        <v>859666</v>
      </c>
      <c r="G75" s="1">
        <v>8643691</v>
      </c>
      <c r="H75" s="1">
        <v>2683054</v>
      </c>
      <c r="I75" s="1">
        <v>203650</v>
      </c>
      <c r="J75" s="1">
        <f>2536726+K75</f>
        <v>3976613</v>
      </c>
      <c r="K75" s="1">
        <v>1439887</v>
      </c>
      <c r="L75" s="1">
        <f>619675+M75</f>
        <v>2683001</v>
      </c>
      <c r="M75" s="1">
        <v>2063326</v>
      </c>
      <c r="N75" s="1">
        <v>4594341</v>
      </c>
      <c r="O75" s="1">
        <v>4667076</v>
      </c>
      <c r="P75" s="1">
        <v>1888326</v>
      </c>
      <c r="Q75" s="1">
        <v>638061</v>
      </c>
      <c r="R75" s="1">
        <v>13.8</v>
      </c>
      <c r="T75">
        <f>E75/G75</f>
        <v>9.945589216458571E-2</v>
      </c>
      <c r="U75">
        <f>D75/C75</f>
        <v>0.16779582155948206</v>
      </c>
      <c r="V75">
        <f>(E75-F75)/O75</f>
        <v>0.1841979860623654</v>
      </c>
      <c r="W75">
        <f>H75/K75</f>
        <v>1.8633781678701176</v>
      </c>
      <c r="X75">
        <f>(H75-I75)/K75</f>
        <v>1.7219434580630286</v>
      </c>
      <c r="Y75">
        <f>(H75-K75)/G75</f>
        <v>0.14382362812368005</v>
      </c>
      <c r="Z75">
        <f>J75/N75</f>
        <v>0.86554589657145609</v>
      </c>
      <c r="AA75">
        <f>J75/G75</f>
        <v>0.46005959722530571</v>
      </c>
      <c r="AB75">
        <f>C75/G75</f>
        <v>0.48934095399754574</v>
      </c>
      <c r="AC75">
        <f>C75/(G75-K75)</f>
        <v>0.58714978919470884</v>
      </c>
      <c r="AD75">
        <f>Q75/E75</f>
        <v>0.74221965274885826</v>
      </c>
      <c r="AE75">
        <f>Q75/J75</f>
        <v>0.16045338080421706</v>
      </c>
      <c r="AF75">
        <f>Q75/G75</f>
        <v>7.3818117746226694E-2</v>
      </c>
      <c r="AG75">
        <f>Q75/K75</f>
        <v>0.44313269027361174</v>
      </c>
      <c r="AH75">
        <f>Q75/L75</f>
        <v>0.23781616182774437</v>
      </c>
      <c r="AI75" s="1">
        <f>R75</f>
        <v>13.8</v>
      </c>
      <c r="AJ75" s="1">
        <f>P75</f>
        <v>1888326</v>
      </c>
    </row>
    <row r="76" spans="1:36" x14ac:dyDescent="0.25">
      <c r="A76" t="s">
        <v>33</v>
      </c>
      <c r="B76">
        <v>2022</v>
      </c>
      <c r="C76" s="1">
        <v>5837833</v>
      </c>
      <c r="D76" s="1">
        <v>1460117</v>
      </c>
      <c r="E76" s="1">
        <v>1246317</v>
      </c>
      <c r="G76" s="1">
        <v>10626278</v>
      </c>
      <c r="H76" s="1">
        <v>3870012</v>
      </c>
      <c r="I76" s="1">
        <v>303517</v>
      </c>
      <c r="J76" s="1">
        <v>5345953</v>
      </c>
      <c r="K76" s="1">
        <v>3247687</v>
      </c>
      <c r="L76" s="1">
        <f>1834028+M76</f>
        <v>3373614</v>
      </c>
      <c r="M76" s="1">
        <v>1539586</v>
      </c>
      <c r="N76" s="1">
        <v>5146206</v>
      </c>
      <c r="O76" s="1">
        <v>5280325</v>
      </c>
      <c r="P76" s="1">
        <v>1968626</v>
      </c>
      <c r="Q76" s="1">
        <v>1128582</v>
      </c>
      <c r="R76" s="1">
        <v>15</v>
      </c>
      <c r="T76">
        <f>E76/G76</f>
        <v>0.11728631605534882</v>
      </c>
      <c r="U76">
        <f>D76/C76</f>
        <v>0.25011284152869739</v>
      </c>
      <c r="V76">
        <f>(E76-F76)/O76</f>
        <v>0.23603035797985919</v>
      </c>
      <c r="W76">
        <f>H76/K76</f>
        <v>1.1916209905695963</v>
      </c>
      <c r="X76">
        <f>(H76-I76)/K76</f>
        <v>1.098164632244425</v>
      </c>
      <c r="Y76">
        <f>(H76-K76)/G76</f>
        <v>5.8564720403512877E-2</v>
      </c>
      <c r="Z76">
        <f>J76/N76</f>
        <v>1.0388144197880924</v>
      </c>
      <c r="AA76">
        <f>J76/G76</f>
        <v>0.50308800503807638</v>
      </c>
      <c r="AB76">
        <f>C76/G76</f>
        <v>0.54937702552107148</v>
      </c>
      <c r="AC76">
        <f>C76/(G76-K76)</f>
        <v>0.79118533606212893</v>
      </c>
      <c r="AD76">
        <f>Q76/E76</f>
        <v>0.90553366438875504</v>
      </c>
      <c r="AE76">
        <f>Q76/J76</f>
        <v>0.21110960010310603</v>
      </c>
      <c r="AF76">
        <f>Q76/G76</f>
        <v>0.1062067075602577</v>
      </c>
      <c r="AG76">
        <f>Q76/K76</f>
        <v>0.34750331543649371</v>
      </c>
      <c r="AH76">
        <f>Q76/L76</f>
        <v>0.33453204782764123</v>
      </c>
      <c r="AI76" s="1">
        <f>R76</f>
        <v>15</v>
      </c>
      <c r="AJ76" s="1">
        <f>P76</f>
        <v>1968626</v>
      </c>
    </row>
    <row r="77" spans="1:36" x14ac:dyDescent="0.25">
      <c r="A77" t="s">
        <v>33</v>
      </c>
      <c r="B77">
        <v>2023</v>
      </c>
      <c r="C77" s="1">
        <v>5634695</v>
      </c>
      <c r="D77" s="1">
        <v>1000130</v>
      </c>
      <c r="E77" s="1">
        <v>640029</v>
      </c>
      <c r="G77" s="1">
        <v>13250190</v>
      </c>
      <c r="H77" s="1">
        <v>5625052</v>
      </c>
      <c r="I77" s="1">
        <v>269126</v>
      </c>
      <c r="J77" s="1">
        <v>7049328</v>
      </c>
      <c r="K77" s="1">
        <v>4417088</v>
      </c>
      <c r="L77" s="1">
        <f>2249139+M77</f>
        <v>3551542</v>
      </c>
      <c r="M77" s="1">
        <v>1302403</v>
      </c>
      <c r="N77" s="1">
        <v>5981565</v>
      </c>
      <c r="O77" s="1">
        <v>6200862</v>
      </c>
      <c r="P77" s="1">
        <v>2549568</v>
      </c>
      <c r="Q77" s="1">
        <v>570625</v>
      </c>
      <c r="R77" s="1">
        <v>12.5</v>
      </c>
      <c r="T77">
        <f>E77/G77</f>
        <v>4.8303382819416173E-2</v>
      </c>
      <c r="U77">
        <f>D77/C77</f>
        <v>0.17749496645337504</v>
      </c>
      <c r="V77">
        <f>(E77-F77)/O77</f>
        <v>0.10321613349885871</v>
      </c>
      <c r="W77">
        <f>H77/K77</f>
        <v>1.2734751945172929</v>
      </c>
      <c r="X77">
        <f>(H77-I77)/K77</f>
        <v>1.2125468181752321</v>
      </c>
      <c r="Y77">
        <f>(H77-K77)/G77</f>
        <v>9.1165787056638428E-2</v>
      </c>
      <c r="Z77">
        <f>J77/N77</f>
        <v>1.1785089688066586</v>
      </c>
      <c r="AA77">
        <f>J77/G77</f>
        <v>0.53201712579215843</v>
      </c>
      <c r="AB77">
        <f>C77/G77</f>
        <v>0.42525390201951824</v>
      </c>
      <c r="AC77">
        <f>C77/(G77-K77)</f>
        <v>0.63790670593411014</v>
      </c>
      <c r="AD77">
        <f>Q77/E77</f>
        <v>0.89156116363477278</v>
      </c>
      <c r="AE77">
        <f>Q77/J77</f>
        <v>8.0947432152398066E-2</v>
      </c>
      <c r="AF77">
        <f>Q77/G77</f>
        <v>4.306542019397458E-2</v>
      </c>
      <c r="AG77">
        <f>Q77/K77</f>
        <v>0.12918578937073474</v>
      </c>
      <c r="AH77">
        <f>Q77/L77</f>
        <v>0.16066964715608037</v>
      </c>
      <c r="AI77" s="1">
        <f>R77</f>
        <v>12.5</v>
      </c>
      <c r="AJ77" s="1">
        <f>P77</f>
        <v>2549568</v>
      </c>
    </row>
    <row r="78" spans="1:36" x14ac:dyDescent="0.25">
      <c r="A78" s="15" t="s">
        <v>33</v>
      </c>
      <c r="B78" s="15">
        <v>2024</v>
      </c>
      <c r="C78" s="6">
        <v>6619745</v>
      </c>
      <c r="D78" s="6">
        <v>1108207</v>
      </c>
      <c r="E78" s="6">
        <v>746307</v>
      </c>
      <c r="F78" s="6"/>
      <c r="G78" s="6">
        <v>13668721</v>
      </c>
      <c r="H78" s="6">
        <v>6207667</v>
      </c>
      <c r="I78" s="6">
        <v>212700</v>
      </c>
      <c r="J78" s="6">
        <v>6543123</v>
      </c>
      <c r="K78" s="6">
        <v>4223712</v>
      </c>
      <c r="L78" s="6">
        <f>1811459+M78</f>
        <v>2742215</v>
      </c>
      <c r="M78" s="6">
        <v>930756</v>
      </c>
      <c r="N78" s="6">
        <v>6814898</v>
      </c>
      <c r="O78" s="6">
        <v>7125598</v>
      </c>
      <c r="P78" s="6">
        <v>3196311</v>
      </c>
      <c r="Q78" s="6">
        <v>245836</v>
      </c>
      <c r="R78" s="6">
        <v>11.6</v>
      </c>
      <c r="S78" s="15"/>
      <c r="T78" s="15">
        <f>E78/G78</f>
        <v>5.4599622012915475E-2</v>
      </c>
      <c r="U78" s="15">
        <f>D78/C78</f>
        <v>0.16740931863689612</v>
      </c>
      <c r="V78" s="15">
        <f>(E78-F78)/O78</f>
        <v>0.10473605162682487</v>
      </c>
      <c r="W78" s="15">
        <f>H78/K78</f>
        <v>1.4697183425385063</v>
      </c>
      <c r="X78" s="15">
        <f>(H78-I78)/K78</f>
        <v>1.4193597953648356</v>
      </c>
      <c r="Y78" s="15">
        <f>(H78-K78)/G78</f>
        <v>0.145145621159434</v>
      </c>
      <c r="Z78" s="15">
        <f>J78/N78</f>
        <v>0.96012045961656356</v>
      </c>
      <c r="AA78" s="15">
        <f>J78/G78</f>
        <v>0.47869314180895201</v>
      </c>
      <c r="AB78" s="15">
        <f>C78/G78</f>
        <v>0.48429878698965323</v>
      </c>
      <c r="AC78" s="15">
        <f>C78/(G78-K78)</f>
        <v>0.70087228079930897</v>
      </c>
      <c r="AD78" s="15">
        <f>Q78/E78</f>
        <v>0.32940331525766209</v>
      </c>
      <c r="AE78" s="15">
        <f>Q78/J78</f>
        <v>3.7571661116564674E-2</v>
      </c>
      <c r="AF78" s="15">
        <f>Q78/G78</f>
        <v>1.7985296502869581E-2</v>
      </c>
      <c r="AG78" s="15">
        <f>Q78/K78</f>
        <v>5.8203779045540985E-2</v>
      </c>
      <c r="AH78" s="15">
        <f>Q78/L78</f>
        <v>8.964869640053752E-2</v>
      </c>
      <c r="AI78" s="6">
        <f>R78</f>
        <v>11.6</v>
      </c>
      <c r="AJ78" s="6">
        <f>P78</f>
        <v>3196311</v>
      </c>
    </row>
    <row r="79" spans="1:36" s="2" customFormat="1" x14ac:dyDescent="0.25">
      <c r="A79" s="2" t="s">
        <v>20</v>
      </c>
      <c r="B79" s="2">
        <v>2018</v>
      </c>
      <c r="C79" s="3">
        <v>1355597</v>
      </c>
      <c r="D79" s="3">
        <v>106259</v>
      </c>
      <c r="E79" s="3">
        <v>74330</v>
      </c>
      <c r="F79" s="3"/>
      <c r="G79" s="4">
        <v>1377296</v>
      </c>
      <c r="H79" s="3">
        <v>1058201</v>
      </c>
      <c r="I79" s="3">
        <v>226461</v>
      </c>
      <c r="J79" s="4">
        <v>177784</v>
      </c>
      <c r="K79" s="3">
        <v>103382</v>
      </c>
      <c r="L79" s="3">
        <v>0</v>
      </c>
      <c r="M79" s="3">
        <v>0</v>
      </c>
      <c r="N79" s="3">
        <v>1199512</v>
      </c>
      <c r="O79" s="4">
        <v>1199512</v>
      </c>
      <c r="P79" s="3">
        <v>807205</v>
      </c>
      <c r="Q79" s="3">
        <v>180047</v>
      </c>
      <c r="R79" s="3">
        <v>111</v>
      </c>
      <c r="S79" s="16"/>
      <c r="T79" s="2">
        <f>E79/G79</f>
        <v>5.3968064962070607E-2</v>
      </c>
      <c r="U79" s="2">
        <f>D79/C79</f>
        <v>7.8385390348311476E-2</v>
      </c>
      <c r="V79" s="2">
        <f>(E79-F79)/O79</f>
        <v>6.1966866525720463E-2</v>
      </c>
      <c r="W79" s="2">
        <f>H79/K79</f>
        <v>10.235834091040994</v>
      </c>
      <c r="X79" s="2">
        <f>(H79-I79)/K79</f>
        <v>8.0453076937958254</v>
      </c>
      <c r="Y79" s="2">
        <f>(H79-K79)/G79</f>
        <v>0.69325620636377361</v>
      </c>
      <c r="Z79" s="2">
        <f>J79/N79</f>
        <v>0.1482136068667925</v>
      </c>
      <c r="AA79" s="2">
        <f>J79/G79</f>
        <v>0.1290819112231503</v>
      </c>
      <c r="AB79" s="2">
        <f>C79/G79</f>
        <v>0.98424521671448983</v>
      </c>
      <c r="AC79" s="2">
        <f>C79/(G79-K79)</f>
        <v>1.0641197129476558</v>
      </c>
      <c r="AD79" s="2">
        <f>Q79/E79</f>
        <v>2.4222655724471949</v>
      </c>
      <c r="AE79" s="2">
        <f>Q79/J79</f>
        <v>1.012728929487468</v>
      </c>
      <c r="AF79" s="2">
        <f>Q79/G79</f>
        <v>0.13072498576921737</v>
      </c>
      <c r="AG79" s="2">
        <f>Q79/K79</f>
        <v>1.7415700992435821</v>
      </c>
      <c r="AH79" s="2" t="e">
        <f>Q79/L79</f>
        <v>#DIV/0!</v>
      </c>
      <c r="AI79" s="3">
        <f>R79</f>
        <v>111</v>
      </c>
      <c r="AJ79" s="3">
        <f>P79</f>
        <v>807205</v>
      </c>
    </row>
    <row r="80" spans="1:36" x14ac:dyDescent="0.25">
      <c r="A80" t="s">
        <v>20</v>
      </c>
      <c r="B80">
        <v>2019</v>
      </c>
      <c r="C80" s="1">
        <v>1487779</v>
      </c>
      <c r="D80" s="1">
        <v>75928</v>
      </c>
      <c r="E80" s="1">
        <v>29798</v>
      </c>
      <c r="G80" s="5">
        <v>1344309</v>
      </c>
      <c r="H80" s="1">
        <v>1044853</v>
      </c>
      <c r="I80" s="1">
        <v>238423</v>
      </c>
      <c r="J80" s="5">
        <v>141388</v>
      </c>
      <c r="K80" s="1">
        <v>58157</v>
      </c>
      <c r="L80" s="1">
        <v>0</v>
      </c>
      <c r="M80" s="1">
        <v>0</v>
      </c>
      <c r="N80" s="1">
        <v>1202920</v>
      </c>
      <c r="O80" s="5">
        <v>1202920</v>
      </c>
      <c r="P80" s="1">
        <v>815866</v>
      </c>
      <c r="Q80" s="1">
        <v>-186474</v>
      </c>
      <c r="R80" s="1">
        <v>78.8</v>
      </c>
      <c r="S80" s="14"/>
      <c r="T80">
        <f>E80/G80</f>
        <v>2.2166034743500193E-2</v>
      </c>
      <c r="U80">
        <f>D80/C80</f>
        <v>5.1034461435468574E-2</v>
      </c>
      <c r="V80">
        <f>(E80-F80)/O80</f>
        <v>2.4771389618594753E-2</v>
      </c>
      <c r="W80">
        <f>H80/K80</f>
        <v>17.966074591192804</v>
      </c>
      <c r="X80">
        <f>(H80-I80)/K80</f>
        <v>13.866430524270509</v>
      </c>
      <c r="Y80">
        <f>(H80-K80)/G80</f>
        <v>0.73398005964402524</v>
      </c>
      <c r="Z80">
        <f>J80/N80</f>
        <v>0.1175373258404549</v>
      </c>
      <c r="AA80">
        <f>J80/G80</f>
        <v>0.10517522385106401</v>
      </c>
      <c r="AB80">
        <f>C80/G80</f>
        <v>1.1067239749194568</v>
      </c>
      <c r="AC80">
        <f>C80/(G80-K80)</f>
        <v>1.1567676293315254</v>
      </c>
      <c r="AD80">
        <f>Q80/E80</f>
        <v>-6.2579367742801528</v>
      </c>
      <c r="AE80">
        <f>Q80/J80</f>
        <v>-1.3188813760715195</v>
      </c>
      <c r="AF80">
        <f>Q80/G80</f>
        <v>-0.13871364396132138</v>
      </c>
      <c r="AG80">
        <f>Q80/K80</f>
        <v>-3.2063896005639907</v>
      </c>
      <c r="AH80" t="e">
        <f>Q80/L80</f>
        <v>#DIV/0!</v>
      </c>
      <c r="AI80" s="1">
        <f>R80</f>
        <v>78.8</v>
      </c>
      <c r="AJ80" s="1">
        <f>P80</f>
        <v>815866</v>
      </c>
    </row>
    <row r="81" spans="1:36" x14ac:dyDescent="0.25">
      <c r="A81" t="s">
        <v>20</v>
      </c>
      <c r="B81">
        <v>2020</v>
      </c>
      <c r="C81" s="1">
        <v>1580780</v>
      </c>
      <c r="D81" s="1">
        <v>225239</v>
      </c>
      <c r="E81" s="1">
        <v>155765</v>
      </c>
      <c r="G81" s="5">
        <v>1513201</v>
      </c>
      <c r="H81" s="1">
        <v>1213830</v>
      </c>
      <c r="I81" s="1">
        <v>237319</v>
      </c>
      <c r="J81" s="5">
        <v>185151</v>
      </c>
      <c r="K81" s="1">
        <v>98143</v>
      </c>
      <c r="L81" s="1">
        <v>0</v>
      </c>
      <c r="M81" s="1">
        <v>0</v>
      </c>
      <c r="N81" s="1">
        <v>1328049</v>
      </c>
      <c r="O81" s="5">
        <v>1328049</v>
      </c>
      <c r="P81" s="1">
        <v>948371</v>
      </c>
      <c r="Q81" s="1">
        <v>-133106</v>
      </c>
      <c r="R81" s="1">
        <v>115.2</v>
      </c>
      <c r="S81" s="14"/>
      <c r="T81">
        <f>E81/G81</f>
        <v>0.1029374154524085</v>
      </c>
      <c r="U81">
        <f>D81/C81</f>
        <v>0.14248598793000924</v>
      </c>
      <c r="V81">
        <f>(E81-F81)/O81</f>
        <v>0.11728859402025076</v>
      </c>
      <c r="W81">
        <f>H81/K81</f>
        <v>12.367973263503256</v>
      </c>
      <c r="X81">
        <f>(H81-I81)/K81</f>
        <v>9.949879257817674</v>
      </c>
      <c r="Y81">
        <f>(H81-K81)/G81</f>
        <v>0.73730257910218144</v>
      </c>
      <c r="Z81">
        <f>J81/N81</f>
        <v>0.13941578962824414</v>
      </c>
      <c r="AA81">
        <f>J81/G81</f>
        <v>0.12235717528603272</v>
      </c>
      <c r="AB81">
        <f>C81/G81</f>
        <v>1.0446596321308272</v>
      </c>
      <c r="AC81">
        <f>C81/(G81-K81)</f>
        <v>1.1171132208008434</v>
      </c>
      <c r="AD81">
        <f>Q81/E81</f>
        <v>-0.85453086380123899</v>
      </c>
      <c r="AE81">
        <f>Q81/J81</f>
        <v>-0.71890510988328449</v>
      </c>
      <c r="AF81">
        <f>Q81/G81</f>
        <v>-8.7963198544013646E-2</v>
      </c>
      <c r="AG81">
        <f>Q81/K81</f>
        <v>-1.3562454785364213</v>
      </c>
      <c r="AH81" t="e">
        <f>Q81/L81</f>
        <v>#DIV/0!</v>
      </c>
      <c r="AI81" s="1">
        <f>R81</f>
        <v>115.2</v>
      </c>
      <c r="AJ81" s="1">
        <f>P81</f>
        <v>948371</v>
      </c>
    </row>
    <row r="82" spans="1:36" x14ac:dyDescent="0.25">
      <c r="A82" t="s">
        <v>20</v>
      </c>
      <c r="B82">
        <v>2021</v>
      </c>
      <c r="C82" s="1">
        <v>1900005</v>
      </c>
      <c r="D82" s="1">
        <v>186214</v>
      </c>
      <c r="E82" s="1">
        <v>179289</v>
      </c>
      <c r="G82" s="5">
        <v>2057084</v>
      </c>
      <c r="H82" s="1">
        <v>1682240</v>
      </c>
      <c r="I82" s="1">
        <v>308407</v>
      </c>
      <c r="J82" s="5">
        <v>479089</v>
      </c>
      <c r="K82" s="1">
        <v>409712</v>
      </c>
      <c r="L82" s="1">
        <v>39176</v>
      </c>
      <c r="M82" s="1">
        <v>0</v>
      </c>
      <c r="N82" s="1">
        <v>1577995</v>
      </c>
      <c r="O82" s="5">
        <v>1577995</v>
      </c>
      <c r="P82" s="1">
        <v>1106946</v>
      </c>
      <c r="Q82" s="1">
        <v>162126</v>
      </c>
      <c r="R82" s="1">
        <v>254.5</v>
      </c>
      <c r="S82" s="14"/>
      <c r="T82">
        <f>E82/G82</f>
        <v>8.7156868654853184E-2</v>
      </c>
      <c r="U82">
        <f>D82/C82</f>
        <v>9.8007110507603926E-2</v>
      </c>
      <c r="V82">
        <f>(E82-F82)/O82</f>
        <v>0.11361823072950168</v>
      </c>
      <c r="W82">
        <f>H82/K82</f>
        <v>4.1059085406334201</v>
      </c>
      <c r="X82">
        <f>(H82-I82)/K82</f>
        <v>3.3531675908931153</v>
      </c>
      <c r="Y82">
        <f>(H82-K82)/G82</f>
        <v>0.61860769905361179</v>
      </c>
      <c r="Z82">
        <f>J82/N82</f>
        <v>0.30360615844790384</v>
      </c>
      <c r="AA82">
        <f>J82/G82</f>
        <v>0.23289714955733457</v>
      </c>
      <c r="AB82">
        <f>C82/G82</f>
        <v>0.92363996803241866</v>
      </c>
      <c r="AC82">
        <f>C82/(G82-K82)</f>
        <v>1.1533551620399036</v>
      </c>
      <c r="AD82">
        <f>Q82/E82</f>
        <v>0.90427187390191255</v>
      </c>
      <c r="AE82">
        <f>Q82/J82</f>
        <v>0.33840476404175424</v>
      </c>
      <c r="AF82">
        <f>Q82/G82</f>
        <v>7.8813504941946944E-2</v>
      </c>
      <c r="AG82">
        <f>Q82/K82</f>
        <v>0.39570722849220918</v>
      </c>
      <c r="AH82">
        <f>Q82/L82</f>
        <v>4.1384010618746174</v>
      </c>
      <c r="AI82" s="1">
        <f>R82</f>
        <v>254.5</v>
      </c>
      <c r="AJ82" s="1">
        <f>P82</f>
        <v>1106946</v>
      </c>
    </row>
    <row r="83" spans="1:36" x14ac:dyDescent="0.25">
      <c r="A83" t="s">
        <v>20</v>
      </c>
      <c r="B83">
        <v>2022</v>
      </c>
      <c r="C83" s="1">
        <v>2955017</v>
      </c>
      <c r="D83" s="1">
        <v>706052</v>
      </c>
      <c r="E83" s="1">
        <v>721026</v>
      </c>
      <c r="G83" s="5">
        <v>3049862</v>
      </c>
      <c r="H83" s="1">
        <v>2651287</v>
      </c>
      <c r="I83" s="1">
        <v>454124</v>
      </c>
      <c r="J83" s="5">
        <v>779586</v>
      </c>
      <c r="K83" s="1">
        <v>720539</v>
      </c>
      <c r="L83" s="1">
        <v>3908</v>
      </c>
      <c r="M83" s="1">
        <v>0</v>
      </c>
      <c r="N83" s="1">
        <v>2270274</v>
      </c>
      <c r="O83" s="5">
        <v>2270274</v>
      </c>
      <c r="P83" s="1">
        <v>1798618</v>
      </c>
      <c r="Q83" s="1">
        <v>515957</v>
      </c>
      <c r="R83" s="1">
        <v>362.25</v>
      </c>
      <c r="S83" s="14"/>
      <c r="T83">
        <f>E83/G83</f>
        <v>0.23641266391725266</v>
      </c>
      <c r="U83">
        <f>D83/C83</f>
        <v>0.23893331239718757</v>
      </c>
      <c r="V83">
        <f>(E83-F83)/O83</f>
        <v>0.31759426395228063</v>
      </c>
      <c r="W83">
        <f>H83/K83</f>
        <v>3.6795884747390497</v>
      </c>
      <c r="X83">
        <f>(H83-I83)/K83</f>
        <v>3.0493325135766418</v>
      </c>
      <c r="Y83">
        <f>(H83-K83)/G83</f>
        <v>0.63306077455307819</v>
      </c>
      <c r="Z83">
        <f>J83/N83</f>
        <v>0.34338850729030945</v>
      </c>
      <c r="AA83">
        <f>J83/G83</f>
        <v>0.25561353267787196</v>
      </c>
      <c r="AB83">
        <f>C83/G83</f>
        <v>0.96890187162566699</v>
      </c>
      <c r="AC83">
        <f>C83/(G83-K83)</f>
        <v>1.2686162460079602</v>
      </c>
      <c r="AD83">
        <f>Q83/E83</f>
        <v>0.71558723263793533</v>
      </c>
      <c r="AE83">
        <f>Q83/J83</f>
        <v>0.66183461478271799</v>
      </c>
      <c r="AF83">
        <f>Q83/G83</f>
        <v>0.16917388393310911</v>
      </c>
      <c r="AG83">
        <f>Q83/K83</f>
        <v>0.71607088582297418</v>
      </c>
      <c r="AH83">
        <f>Q83/L83</f>
        <v>132.02584442169908</v>
      </c>
      <c r="AI83" s="1">
        <f>R83</f>
        <v>362.25</v>
      </c>
      <c r="AJ83" s="1">
        <f>P83</f>
        <v>1798618</v>
      </c>
    </row>
    <row r="84" spans="1:36" x14ac:dyDescent="0.25">
      <c r="A84" t="s">
        <v>20</v>
      </c>
      <c r="B84">
        <v>2023</v>
      </c>
      <c r="C84" s="1">
        <v>2477267</v>
      </c>
      <c r="D84" s="1">
        <v>778555</v>
      </c>
      <c r="E84" s="1">
        <v>634960</v>
      </c>
      <c r="G84" s="5">
        <v>3101196</v>
      </c>
      <c r="H84" s="1">
        <v>2726735</v>
      </c>
      <c r="I84" s="1">
        <v>557509</v>
      </c>
      <c r="J84" s="5">
        <v>284463</v>
      </c>
      <c r="K84" s="1">
        <v>194251</v>
      </c>
      <c r="L84" s="1">
        <v>1166688</v>
      </c>
      <c r="M84" s="1">
        <v>0</v>
      </c>
      <c r="N84" s="1">
        <v>2816733</v>
      </c>
      <c r="O84" s="5">
        <v>2816733</v>
      </c>
      <c r="P84" s="1">
        <v>2372161</v>
      </c>
      <c r="Q84" s="1">
        <v>115505</v>
      </c>
      <c r="R84" s="1">
        <v>392</v>
      </c>
      <c r="S84" s="14"/>
      <c r="T84">
        <f>E84/G84</f>
        <v>0.20474681380989787</v>
      </c>
      <c r="U84">
        <f>D84/C84</f>
        <v>0.31427980916065973</v>
      </c>
      <c r="V84">
        <f>(E84-F84)/O84</f>
        <v>0.22542427699039988</v>
      </c>
      <c r="W84">
        <f>H84/K84</f>
        <v>14.037173553804099</v>
      </c>
      <c r="X84">
        <f>(H84-I84)/K84</f>
        <v>11.167129126748382</v>
      </c>
      <c r="Y84">
        <f>(H84-K84)/G84</f>
        <v>0.81661526714209609</v>
      </c>
      <c r="Z84">
        <f>J84/N84</f>
        <v>0.10099040271122608</v>
      </c>
      <c r="AA84">
        <f>J84/G84</f>
        <v>9.1726869246574541E-2</v>
      </c>
      <c r="AB84">
        <f>C84/G84</f>
        <v>0.79881020096762667</v>
      </c>
      <c r="AC84">
        <f>C84/(G84-K84)</f>
        <v>0.8521891539055606</v>
      </c>
      <c r="AD84">
        <f>Q84/E84</f>
        <v>0.18190909663600857</v>
      </c>
      <c r="AE84">
        <f>Q84/J84</f>
        <v>0.40604577748248455</v>
      </c>
      <c r="AF84">
        <f>Q84/G84</f>
        <v>3.7245307939259564E-2</v>
      </c>
      <c r="AG84">
        <f>Q84/K84</f>
        <v>0.59461727352754945</v>
      </c>
      <c r="AH84">
        <f>Q84/L84</f>
        <v>9.9002475383307281E-2</v>
      </c>
      <c r="AI84" s="1">
        <f>R84</f>
        <v>392</v>
      </c>
      <c r="AJ84" s="1">
        <f>P84</f>
        <v>2372161</v>
      </c>
    </row>
    <row r="85" spans="1:36" x14ac:dyDescent="0.25">
      <c r="A85" s="15" t="s">
        <v>20</v>
      </c>
      <c r="B85" s="15">
        <v>2024</v>
      </c>
      <c r="C85" s="6">
        <v>2373422</v>
      </c>
      <c r="D85" s="6">
        <v>523983</v>
      </c>
      <c r="E85" s="6">
        <v>455680</v>
      </c>
      <c r="F85" s="6"/>
      <c r="G85" s="11">
        <v>3469740</v>
      </c>
      <c r="H85" s="6">
        <v>3046940</v>
      </c>
      <c r="I85" s="6">
        <v>563741</v>
      </c>
      <c r="J85" s="11">
        <v>214052</v>
      </c>
      <c r="K85" s="6">
        <v>118138</v>
      </c>
      <c r="L85" s="6">
        <v>0</v>
      </c>
      <c r="M85" s="6">
        <v>0</v>
      </c>
      <c r="N85" s="6">
        <v>3255688</v>
      </c>
      <c r="O85" s="11">
        <v>3255688</v>
      </c>
      <c r="P85" s="6">
        <v>2770486</v>
      </c>
      <c r="Q85" s="6">
        <v>-28660</v>
      </c>
      <c r="R85" s="6">
        <v>392.75</v>
      </c>
      <c r="S85" s="15"/>
      <c r="T85" s="15">
        <f>E85/G85</f>
        <v>0.13132972499380358</v>
      </c>
      <c r="U85" s="15">
        <f>D85/C85</f>
        <v>0.2207711060232862</v>
      </c>
      <c r="V85" s="15">
        <f>(E85-F85)/O85</f>
        <v>0.13996427176068468</v>
      </c>
      <c r="W85" s="15">
        <f>H85/K85</f>
        <v>25.79136264368789</v>
      </c>
      <c r="X85" s="15">
        <f>(H85-I85)/K85</f>
        <v>21.019477221554453</v>
      </c>
      <c r="Y85" s="15">
        <f>(H85-K85)/G85</f>
        <v>0.84409840506781486</v>
      </c>
      <c r="Z85" s="15">
        <f>J85/N85</f>
        <v>6.5747086330139745E-2</v>
      </c>
      <c r="AA85" s="15">
        <f>J85/G85</f>
        <v>6.1691077717638786E-2</v>
      </c>
      <c r="AB85" s="15">
        <f>C85/G85</f>
        <v>0.6840345386109622</v>
      </c>
      <c r="AC85" s="15">
        <f>C85/(G85-K85)</f>
        <v>0.70814553756681131</v>
      </c>
      <c r="AD85" s="15">
        <f>Q85/E85</f>
        <v>-6.2895014044943826E-2</v>
      </c>
      <c r="AE85" s="15">
        <f>Q85/J85</f>
        <v>-0.13389269897034364</v>
      </c>
      <c r="AF85" s="15">
        <f>Q85/G85</f>
        <v>-8.2599848980038845E-3</v>
      </c>
      <c r="AG85" s="15">
        <f>Q85/K85</f>
        <v>-0.24259764004807938</v>
      </c>
      <c r="AH85" s="15" t="e">
        <f>Q85/L85</f>
        <v>#DIV/0!</v>
      </c>
      <c r="AI85" s="6">
        <f>R85</f>
        <v>392.75</v>
      </c>
      <c r="AJ85" s="6">
        <f>P85</f>
        <v>2770486</v>
      </c>
    </row>
    <row r="86" spans="1:36" s="2" customFormat="1" x14ac:dyDescent="0.25">
      <c r="A86" s="2" t="s">
        <v>131</v>
      </c>
      <c r="B86" s="2">
        <v>2018</v>
      </c>
      <c r="C86" s="3">
        <v>146122.663</v>
      </c>
      <c r="D86" s="3">
        <v>43042.235999999997</v>
      </c>
      <c r="E86" s="3">
        <v>235486.54</v>
      </c>
      <c r="F86" s="3">
        <v>0</v>
      </c>
      <c r="G86" s="3">
        <v>1751011.2409999999</v>
      </c>
      <c r="H86" s="3">
        <v>16200.821</v>
      </c>
      <c r="I86" s="3">
        <v>5905.5379999999996</v>
      </c>
      <c r="J86" s="3">
        <v>583083.90300000005</v>
      </c>
      <c r="K86" s="3">
        <v>137801.315</v>
      </c>
      <c r="L86" s="3">
        <v>257705.255</v>
      </c>
      <c r="M86" s="3">
        <v>212468.62400000001</v>
      </c>
      <c r="N86" s="3">
        <v>1020064.867</v>
      </c>
      <c r="O86" s="3">
        <v>1167927.338</v>
      </c>
      <c r="P86" s="3">
        <v>733299.90800000005</v>
      </c>
      <c r="Q86" s="3">
        <v>37700.292000000001</v>
      </c>
      <c r="R86" s="3">
        <v>32.5</v>
      </c>
      <c r="T86" s="2">
        <f>E86/G86</f>
        <v>0.13448602412484456</v>
      </c>
      <c r="U86" s="2">
        <f>D86/C86</f>
        <v>0.29456235683303961</v>
      </c>
      <c r="V86" s="2">
        <f>(E86-F86)/O86</f>
        <v>0.20162773174164711</v>
      </c>
      <c r="W86" s="2">
        <f>H86/K86</f>
        <v>0.11756651959380794</v>
      </c>
      <c r="X86" s="2">
        <f>(H86-I86)/K86</f>
        <v>7.4711064985120063E-2</v>
      </c>
      <c r="Y86" s="2">
        <f>(H86-K86)/G86</f>
        <v>-6.9445867138211034E-2</v>
      </c>
      <c r="Z86" s="2">
        <f>J86/N86</f>
        <v>0.57161453341182478</v>
      </c>
      <c r="AA86" s="2">
        <f>J86/G86</f>
        <v>0.33299837793559889</v>
      </c>
      <c r="AB86" s="2">
        <f>C86/G86</f>
        <v>8.3450442566290764E-2</v>
      </c>
      <c r="AC86" s="2">
        <f>C86/(G86-K86)</f>
        <v>9.0578827122837824E-2</v>
      </c>
      <c r="AD86" s="2">
        <f>Q86/E86</f>
        <v>0.16009531585117348</v>
      </c>
      <c r="AE86" s="2">
        <f>Q86/J86</f>
        <v>6.4656718880473016E-2</v>
      </c>
      <c r="AF86" s="2">
        <f>Q86/G86</f>
        <v>2.1530582509835527E-2</v>
      </c>
      <c r="AG86" s="2">
        <f>Q86/K86</f>
        <v>0.2735844139078063</v>
      </c>
      <c r="AH86" s="2">
        <f>Q86/L86</f>
        <v>0.14629229039198288</v>
      </c>
      <c r="AI86" s="3">
        <f>R86</f>
        <v>32.5</v>
      </c>
      <c r="AJ86" s="3">
        <f>P86</f>
        <v>733299.90800000005</v>
      </c>
    </row>
    <row r="87" spans="1:36" x14ac:dyDescent="0.25">
      <c r="A87" t="s">
        <v>131</v>
      </c>
      <c r="B87">
        <v>2019</v>
      </c>
      <c r="C87" s="1">
        <v>149355.356</v>
      </c>
      <c r="D87" s="1">
        <v>-11465.466</v>
      </c>
      <c r="E87" s="1">
        <v>3639.3040000000001</v>
      </c>
      <c r="F87" s="1">
        <v>0</v>
      </c>
      <c r="G87" s="1">
        <v>2058529.875</v>
      </c>
      <c r="H87" s="1">
        <v>139451.66099999999</v>
      </c>
      <c r="I87" s="1">
        <v>22818.264999999999</v>
      </c>
      <c r="J87" s="1">
        <v>358206.60700000002</v>
      </c>
      <c r="K87" s="1">
        <v>84234.039000000004</v>
      </c>
      <c r="L87" s="1">
        <v>33442.949000000001</v>
      </c>
      <c r="M87" s="1">
        <v>26358.503000000001</v>
      </c>
      <c r="N87" s="1">
        <v>1667840.3810000001</v>
      </c>
      <c r="O87" s="1">
        <v>1700323.267</v>
      </c>
      <c r="P87" s="1">
        <v>752366.45499999996</v>
      </c>
      <c r="Q87" s="1">
        <v>-65109.67</v>
      </c>
      <c r="R87" s="1">
        <v>23.9</v>
      </c>
      <c r="T87">
        <f>E87/G87</f>
        <v>1.7679141042342172E-3</v>
      </c>
      <c r="U87">
        <f>D87/C87</f>
        <v>-7.6766353126298328E-2</v>
      </c>
      <c r="V87">
        <f>(E87-F87)/O87</f>
        <v>2.1403600542507896E-3</v>
      </c>
      <c r="W87">
        <f>H87/K87</f>
        <v>1.6555262297228794</v>
      </c>
      <c r="X87">
        <f>(H87-I87)/K87</f>
        <v>1.3846349692432531</v>
      </c>
      <c r="Y87">
        <f>(H87-K87)/G87</f>
        <v>2.6823813766608556E-2</v>
      </c>
      <c r="Z87">
        <f>J87/N87</f>
        <v>0.21477271511151882</v>
      </c>
      <c r="AA87">
        <f>J87/G87</f>
        <v>0.17401088580266538</v>
      </c>
      <c r="AB87">
        <f>C87/G87</f>
        <v>7.2554378643642461E-2</v>
      </c>
      <c r="AC87">
        <f>C87/(G87-K87)</f>
        <v>7.5649937196139647E-2</v>
      </c>
      <c r="AD87">
        <f>Q87/E87</f>
        <v>-17.890692835772992</v>
      </c>
      <c r="AE87">
        <f>Q87/J87</f>
        <v>-0.18176568697405404</v>
      </c>
      <c r="AF87">
        <f>Q87/G87</f>
        <v>-3.1629208198885136E-2</v>
      </c>
      <c r="AG87">
        <f>Q87/K87</f>
        <v>-0.77296151025121795</v>
      </c>
      <c r="AH87">
        <f>Q87/L87</f>
        <v>-1.9468878178177409</v>
      </c>
      <c r="AI87" s="1">
        <f>R87</f>
        <v>23.9</v>
      </c>
      <c r="AJ87" s="1">
        <f>P87</f>
        <v>752366.45499999996</v>
      </c>
    </row>
    <row r="88" spans="1:36" x14ac:dyDescent="0.25">
      <c r="A88" t="s">
        <v>131</v>
      </c>
      <c r="B88">
        <v>2020</v>
      </c>
      <c r="C88" s="1">
        <v>203901.916</v>
      </c>
      <c r="D88" s="1">
        <v>-108540.549</v>
      </c>
      <c r="E88" s="1">
        <v>609885.40899999999</v>
      </c>
      <c r="F88" s="1">
        <v>0</v>
      </c>
      <c r="G88" s="1">
        <v>11593959.372</v>
      </c>
      <c r="H88" s="1">
        <v>1600914.3929999999</v>
      </c>
      <c r="I88" s="1">
        <v>1461723.5730000001</v>
      </c>
      <c r="J88" s="1">
        <v>3504298.0959999999</v>
      </c>
      <c r="K88" s="1">
        <v>764444.15500000003</v>
      </c>
      <c r="L88" s="1">
        <v>2364600.6320000002</v>
      </c>
      <c r="M88" s="1">
        <v>2121138.9559999998</v>
      </c>
      <c r="N88" s="1">
        <v>8056387.8210000005</v>
      </c>
      <c r="O88" s="1">
        <v>8089661.2759999996</v>
      </c>
      <c r="P88" s="1">
        <v>1368092.024</v>
      </c>
      <c r="Q88" s="1">
        <v>-337466.71299999999</v>
      </c>
      <c r="R88" s="1">
        <v>33.5</v>
      </c>
      <c r="T88">
        <f>E88/G88</f>
        <v>5.2603721423494391E-2</v>
      </c>
      <c r="U88">
        <f>D88/C88</f>
        <v>-0.53231745502577821</v>
      </c>
      <c r="V88">
        <f>(E88-F88)/O88</f>
        <v>7.5390722576899147E-2</v>
      </c>
      <c r="W88">
        <f>H88/K88</f>
        <v>2.094220202390062</v>
      </c>
      <c r="X88">
        <f>(H88-I88)/K88</f>
        <v>0.18208108347692165</v>
      </c>
      <c r="Y88">
        <f>(H88-K88)/G88</f>
        <v>7.2147073416534299E-2</v>
      </c>
      <c r="Z88">
        <f>J88/N88</f>
        <v>0.43497137598882724</v>
      </c>
      <c r="AA88">
        <f>J88/G88</f>
        <v>0.30225205933212579</v>
      </c>
      <c r="AB88">
        <f>C88/G88</f>
        <v>1.75869096533522E-2</v>
      </c>
      <c r="AC88">
        <f>C88/(G88-K88)</f>
        <v>1.8828351215566697E-2</v>
      </c>
      <c r="AD88">
        <f>Q88/E88</f>
        <v>-0.55332806461680739</v>
      </c>
      <c r="AE88">
        <f>Q88/J88</f>
        <v>-9.6300800832327366E-2</v>
      </c>
      <c r="AF88">
        <f>Q88/G88</f>
        <v>-2.910711536690384E-2</v>
      </c>
      <c r="AG88">
        <f>Q88/K88</f>
        <v>-0.44145371613182127</v>
      </c>
      <c r="AH88">
        <f>Q88/L88</f>
        <v>-0.14271615613777774</v>
      </c>
      <c r="AI88" s="1">
        <f>R88</f>
        <v>33.5</v>
      </c>
      <c r="AJ88" s="1">
        <f>P88</f>
        <v>1368092.024</v>
      </c>
    </row>
    <row r="89" spans="1:36" x14ac:dyDescent="0.25">
      <c r="A89" t="s">
        <v>131</v>
      </c>
      <c r="B89">
        <v>2021</v>
      </c>
      <c r="C89" s="1">
        <v>431877.272</v>
      </c>
      <c r="D89" s="1">
        <v>-131783.041</v>
      </c>
      <c r="E89" s="1">
        <v>-201023.99799999999</v>
      </c>
      <c r="F89" s="1">
        <v>0</v>
      </c>
      <c r="G89" s="1">
        <v>15275380.706</v>
      </c>
      <c r="H89" s="1">
        <v>2401909.0980000002</v>
      </c>
      <c r="I89" s="1">
        <v>1493789.588</v>
      </c>
      <c r="J89" s="1">
        <v>5602844.1639999999</v>
      </c>
      <c r="K89" s="1">
        <v>2637028.5959999999</v>
      </c>
      <c r="L89" s="1">
        <v>3700827.4950000001</v>
      </c>
      <c r="M89" s="1">
        <v>1717944.4029999999</v>
      </c>
      <c r="N89" s="1">
        <v>8471986.1750000007</v>
      </c>
      <c r="O89" s="1">
        <v>9672536.5429999996</v>
      </c>
      <c r="P89" s="1">
        <v>1153741.389</v>
      </c>
      <c r="Q89" s="1">
        <v>-82395.320000000007</v>
      </c>
      <c r="R89" s="1">
        <v>38.9</v>
      </c>
      <c r="T89">
        <f>E89/G89</f>
        <v>-1.3159999208467518E-2</v>
      </c>
      <c r="U89">
        <f>D89/C89</f>
        <v>-0.3051400236685759</v>
      </c>
      <c r="V89">
        <f>(E89-F89)/O89</f>
        <v>-2.0782965988945346E-2</v>
      </c>
      <c r="W89">
        <f>H89/K89</f>
        <v>0.91083923080825036</v>
      </c>
      <c r="X89">
        <f>(H89-I89)/K89</f>
        <v>0.34437226482014238</v>
      </c>
      <c r="Y89">
        <f>(H89-K89)/G89</f>
        <v>-1.5392054870858134E-2</v>
      </c>
      <c r="Z89">
        <f>J89/N89</f>
        <v>0.66133773689733377</v>
      </c>
      <c r="AA89">
        <f>J89/G89</f>
        <v>0.36678916695014119</v>
      </c>
      <c r="AB89">
        <f>C89/G89</f>
        <v>2.827276650658948E-2</v>
      </c>
      <c r="AC89">
        <f>C89/(G89-K89)</f>
        <v>3.4171960730408867E-2</v>
      </c>
      <c r="AD89">
        <f>Q89/E89</f>
        <v>0.40987802859238731</v>
      </c>
      <c r="AE89">
        <f>Q89/J89</f>
        <v>-1.4705981031815115E-2</v>
      </c>
      <c r="AF89">
        <f>Q89/G89</f>
        <v>-5.3939945318440437E-3</v>
      </c>
      <c r="AG89">
        <f>Q89/K89</f>
        <v>-3.1245516307628243E-2</v>
      </c>
      <c r="AH89">
        <f>Q89/L89</f>
        <v>-2.2264026116137575E-2</v>
      </c>
      <c r="AI89" s="1">
        <f>R89</f>
        <v>38.9</v>
      </c>
      <c r="AJ89" s="1">
        <f>P89</f>
        <v>1153741.389</v>
      </c>
    </row>
    <row r="90" spans="1:36" x14ac:dyDescent="0.25">
      <c r="A90" t="s">
        <v>131</v>
      </c>
      <c r="B90">
        <v>2022</v>
      </c>
      <c r="C90" s="1">
        <v>1240449.713</v>
      </c>
      <c r="D90" s="1">
        <v>126558.08500000001</v>
      </c>
      <c r="E90" s="1">
        <v>1278131.037</v>
      </c>
      <c r="F90" s="1">
        <v>0</v>
      </c>
      <c r="G90" s="1">
        <v>17987534.783</v>
      </c>
      <c r="H90" s="1">
        <v>2593754.3360000001</v>
      </c>
      <c r="I90" s="1">
        <v>1468746.4210000001</v>
      </c>
      <c r="J90" s="1">
        <v>6840401.7829999998</v>
      </c>
      <c r="K90" s="1">
        <v>1990476.915</v>
      </c>
      <c r="L90" s="1">
        <v>4056052.878</v>
      </c>
      <c r="M90" s="1">
        <v>3079779.0380000002</v>
      </c>
      <c r="N90" s="1">
        <v>9710336.5219999999</v>
      </c>
      <c r="O90" s="1">
        <v>11147133</v>
      </c>
      <c r="P90" s="1">
        <v>2115245.52</v>
      </c>
      <c r="Q90" s="1">
        <v>52571.802000000003</v>
      </c>
      <c r="R90" s="1">
        <v>14.3</v>
      </c>
      <c r="T90">
        <f>E90/G90</f>
        <v>7.1056487307419147E-2</v>
      </c>
      <c r="U90">
        <f>D90/C90</f>
        <v>0.10202596983469979</v>
      </c>
      <c r="V90">
        <f>(E90-F90)/O90</f>
        <v>0.11466006882666602</v>
      </c>
      <c r="W90">
        <f>H90/K90</f>
        <v>1.3030818475983179</v>
      </c>
      <c r="X90">
        <f>(H90-I90)/K90</f>
        <v>0.56519515826688205</v>
      </c>
      <c r="Y90">
        <f>(H90-K90)/G90</f>
        <v>3.3538638189050618E-2</v>
      </c>
      <c r="Z90">
        <f>J90/N90</f>
        <v>0.70444538842729099</v>
      </c>
      <c r="AA90">
        <f>J90/G90</f>
        <v>0.38028567369136412</v>
      </c>
      <c r="AB90">
        <f>C90/G90</f>
        <v>6.8961629704385491E-2</v>
      </c>
      <c r="AC90">
        <f>C90/(G90-K90)</f>
        <v>7.7542365804736862E-2</v>
      </c>
      <c r="AD90">
        <f>Q90/E90</f>
        <v>4.1131777946176271E-2</v>
      </c>
      <c r="AE90">
        <f>Q90/J90</f>
        <v>7.6854845179786429E-3</v>
      </c>
      <c r="AF90">
        <f>Q90/G90</f>
        <v>2.9226796575640571E-3</v>
      </c>
      <c r="AG90">
        <f>Q90/K90</f>
        <v>2.6411661247525697E-2</v>
      </c>
      <c r="AH90">
        <f>Q90/L90</f>
        <v>1.2961320668462943E-2</v>
      </c>
      <c r="AI90" s="1">
        <f>R90</f>
        <v>14.3</v>
      </c>
      <c r="AJ90" s="1">
        <f>P90</f>
        <v>2115245.52</v>
      </c>
    </row>
    <row r="91" spans="1:36" x14ac:dyDescent="0.25">
      <c r="A91" t="s">
        <v>131</v>
      </c>
      <c r="B91">
        <v>2023</v>
      </c>
      <c r="C91" s="1">
        <v>1796015.84</v>
      </c>
      <c r="D91" s="1">
        <v>-365639.19400000002</v>
      </c>
      <c r="E91" s="1">
        <v>-888614.87300000002</v>
      </c>
      <c r="F91" s="1">
        <v>0</v>
      </c>
      <c r="G91" s="1">
        <v>18217308.438999999</v>
      </c>
      <c r="H91" s="1">
        <v>1626568.567</v>
      </c>
      <c r="I91" s="1">
        <v>597529.86100000003</v>
      </c>
      <c r="J91" s="1">
        <v>8395202.1960000005</v>
      </c>
      <c r="K91" s="1">
        <v>2312136.0690000001</v>
      </c>
      <c r="L91" s="1">
        <v>4366947.5539999995</v>
      </c>
      <c r="M91" s="1">
        <v>3226367.2629999998</v>
      </c>
      <c r="N91" s="1">
        <v>8310466.6189999999</v>
      </c>
      <c r="O91" s="1">
        <v>9822106.2440000009</v>
      </c>
      <c r="P91" s="1">
        <v>1064955.3589999999</v>
      </c>
      <c r="Q91" s="1">
        <v>192135.00099999999</v>
      </c>
      <c r="R91" s="1">
        <v>13</v>
      </c>
      <c r="T91">
        <f>E91/G91</f>
        <v>-4.8778603929087269E-2</v>
      </c>
      <c r="U91">
        <f>D91/C91</f>
        <v>-0.20358350180252308</v>
      </c>
      <c r="V91">
        <f>(E91-F91)/O91</f>
        <v>-9.047090826805354E-2</v>
      </c>
      <c r="W91">
        <f>H91/K91</f>
        <v>0.70349171435377145</v>
      </c>
      <c r="X91">
        <f>(H91-I91)/K91</f>
        <v>0.44505975223381194</v>
      </c>
      <c r="Y91">
        <f>(H91-K91)/G91</f>
        <v>-3.7632754821910065E-2</v>
      </c>
      <c r="Z91">
        <f>J91/N91</f>
        <v>1.0101962478022921</v>
      </c>
      <c r="AA91">
        <f>J91/G91</f>
        <v>0.46083658429076019</v>
      </c>
      <c r="AB91">
        <f>C91/G91</f>
        <v>9.8588430119295301E-2</v>
      </c>
      <c r="AC91">
        <f>C91/(G91-K91)</f>
        <v>0.11292023740576414</v>
      </c>
      <c r="AD91">
        <f>Q91/E91</f>
        <v>-0.21621852935157881</v>
      </c>
      <c r="AE91">
        <f>Q91/J91</f>
        <v>2.2886286299518208E-2</v>
      </c>
      <c r="AF91">
        <f>Q91/G91</f>
        <v>1.0546838005370393E-2</v>
      </c>
      <c r="AG91">
        <f>Q91/K91</f>
        <v>8.3098483508844037E-2</v>
      </c>
      <c r="AH91">
        <f>Q91/L91</f>
        <v>4.3997551750766917E-2</v>
      </c>
      <c r="AI91" s="1">
        <f>R91</f>
        <v>13</v>
      </c>
      <c r="AJ91" s="1">
        <f>P91</f>
        <v>1064955.3589999999</v>
      </c>
    </row>
    <row r="92" spans="1:36" x14ac:dyDescent="0.25">
      <c r="A92" t="s">
        <v>131</v>
      </c>
      <c r="B92">
        <v>2024</v>
      </c>
      <c r="C92" s="1">
        <v>1124465.0970000001</v>
      </c>
      <c r="D92" s="1">
        <v>-24691.485000000001</v>
      </c>
      <c r="E92" s="1">
        <v>17789.635999999999</v>
      </c>
      <c r="F92" s="1">
        <v>0</v>
      </c>
      <c r="G92" s="1">
        <v>18537289.645</v>
      </c>
      <c r="H92" s="1">
        <v>1274818.3999999999</v>
      </c>
      <c r="I92" s="1">
        <v>455276.43599999999</v>
      </c>
      <c r="J92" s="1">
        <v>8726612.0380000006</v>
      </c>
      <c r="K92" s="1">
        <v>2685687.78</v>
      </c>
      <c r="L92" s="1">
        <v>4310519.9780000001</v>
      </c>
      <c r="M92" s="1">
        <v>2941214.9360000002</v>
      </c>
      <c r="N92" s="1">
        <v>8113562.6730000004</v>
      </c>
      <c r="O92" s="1">
        <v>9810677.6070000008</v>
      </c>
      <c r="P92" s="1">
        <v>803011.39899999998</v>
      </c>
      <c r="Q92" s="1">
        <v>30571.901999999998</v>
      </c>
      <c r="R92" s="1">
        <v>10.4</v>
      </c>
      <c r="T92">
        <f>E92/G92</f>
        <v>9.5966758575185434E-4</v>
      </c>
      <c r="U92">
        <f>D92/C92</f>
        <v>-2.1958427225420584E-2</v>
      </c>
      <c r="V92">
        <f>(E92-F92)/O92</f>
        <v>1.8132933027283399E-3</v>
      </c>
      <c r="W92">
        <f>H92/K92</f>
        <v>0.47467111013179647</v>
      </c>
      <c r="X92">
        <f>(H92-I92)/K92</f>
        <v>0.30515161520375983</v>
      </c>
      <c r="Y92">
        <f>(H92-K92)/G92</f>
        <v>-7.6109798520656385E-2</v>
      </c>
      <c r="Z92">
        <f>J92/N92</f>
        <v>1.075558591177225</v>
      </c>
      <c r="AA92">
        <f>J92/G92</f>
        <v>0.47075986862803326</v>
      </c>
      <c r="AB92">
        <f>C92/G92</f>
        <v>6.0659628162162221E-2</v>
      </c>
      <c r="AC92">
        <f>C92/(G92-K92)</f>
        <v>7.0937000977976561E-2</v>
      </c>
      <c r="AD92">
        <f>Q92/E92</f>
        <v>1.7185231895694775</v>
      </c>
      <c r="AE92">
        <f>Q92/J92</f>
        <v>3.5032956509209717E-3</v>
      </c>
      <c r="AF92">
        <f>Q92/G92</f>
        <v>1.6492110003927167E-3</v>
      </c>
      <c r="AG92">
        <f>Q92/K92</f>
        <v>1.138326734316079E-2</v>
      </c>
      <c r="AH92">
        <f>Q92/L92</f>
        <v>7.0923930653453982E-3</v>
      </c>
      <c r="AI92" s="1">
        <f>R92</f>
        <v>10.4</v>
      </c>
      <c r="AJ92" s="1">
        <f>P92</f>
        <v>803011.39899999998</v>
      </c>
    </row>
    <row r="93" spans="1:36" s="2" customFormat="1" x14ac:dyDescent="0.25">
      <c r="A93" s="2" t="s">
        <v>127</v>
      </c>
      <c r="B93" s="2">
        <v>2018</v>
      </c>
      <c r="C93" s="3">
        <v>15565076.832</v>
      </c>
      <c r="D93" s="3">
        <v>729223.61399999994</v>
      </c>
      <c r="E93" s="3">
        <v>504117.47600000002</v>
      </c>
      <c r="F93" s="3">
        <v>0</v>
      </c>
      <c r="G93" s="3">
        <v>7127804.9539999999</v>
      </c>
      <c r="H93" s="3">
        <v>6563826.7379999999</v>
      </c>
      <c r="I93" s="3">
        <v>5651196.6739999996</v>
      </c>
      <c r="J93" s="3">
        <v>3789145.41</v>
      </c>
      <c r="K93" s="3">
        <v>3705588.6880000001</v>
      </c>
      <c r="L93" s="3">
        <v>2320488.088</v>
      </c>
      <c r="M93" s="3">
        <v>0</v>
      </c>
      <c r="N93" s="3">
        <v>3338659.5440000002</v>
      </c>
      <c r="O93" s="3">
        <v>3338659.5440000002</v>
      </c>
      <c r="P93" s="3">
        <v>2401829.0159999998</v>
      </c>
      <c r="Q93" s="3">
        <v>-1205775.9040000001</v>
      </c>
      <c r="R93" s="3">
        <v>990.5</v>
      </c>
      <c r="T93" s="2">
        <f>E93/G93</f>
        <v>7.0725486914046107E-2</v>
      </c>
      <c r="U93" s="2">
        <f>D93/C93</f>
        <v>4.6849984864886784E-2</v>
      </c>
      <c r="V93" s="2">
        <f>(E93-F93)/O93</f>
        <v>0.15099397508379189</v>
      </c>
      <c r="W93" s="2">
        <f>H93/K93</f>
        <v>1.7713317074979154</v>
      </c>
      <c r="X93" s="2">
        <f>(H93-I93)/K93</f>
        <v>0.24628477168969604</v>
      </c>
      <c r="Y93" s="2">
        <f>(H93-K93)/G93</f>
        <v>0.40099835341257567</v>
      </c>
      <c r="Z93" s="2">
        <f>J93/N93</f>
        <v>1.1349301598629848</v>
      </c>
      <c r="AA93" s="2">
        <f>J93/G93</f>
        <v>0.531600602773733</v>
      </c>
      <c r="AB93" s="2">
        <f>C93/G93</f>
        <v>2.1837125079110296</v>
      </c>
      <c r="AC93" s="2">
        <f>C93/(G93-K93)</f>
        <v>4.5482446526364564</v>
      </c>
      <c r="AD93" s="2">
        <f>Q93/E93</f>
        <v>-2.3918549969094904</v>
      </c>
      <c r="AE93" s="2">
        <f>Q93/J93</f>
        <v>-0.31821843015520485</v>
      </c>
      <c r="AF93" s="2">
        <f>Q93/G93</f>
        <v>-0.16916510928421796</v>
      </c>
      <c r="AG93" s="2">
        <f>Q93/K93</f>
        <v>-0.32539388624126758</v>
      </c>
      <c r="AH93" s="2">
        <f>Q93/L93</f>
        <v>-0.51962167366230416</v>
      </c>
      <c r="AI93" s="3">
        <f>R93</f>
        <v>990.5</v>
      </c>
      <c r="AJ93" s="3">
        <f>P93</f>
        <v>2401829.0159999998</v>
      </c>
    </row>
    <row r="94" spans="1:36" x14ac:dyDescent="0.25">
      <c r="A94" t="s">
        <v>127</v>
      </c>
      <c r="B94">
        <v>2019</v>
      </c>
      <c r="C94" s="1">
        <v>8627775.0170000009</v>
      </c>
      <c r="D94" s="1">
        <v>332883.30699999997</v>
      </c>
      <c r="E94" s="1">
        <v>107461.19500000001</v>
      </c>
      <c r="F94" s="1">
        <v>0</v>
      </c>
      <c r="G94" s="1">
        <v>6009108.9050000003</v>
      </c>
      <c r="H94" s="1">
        <v>5406205.0369999995</v>
      </c>
      <c r="I94" s="1">
        <v>4781316.96</v>
      </c>
      <c r="J94" s="1">
        <v>2695479.67</v>
      </c>
      <c r="K94" s="1">
        <v>2610981.1719999998</v>
      </c>
      <c r="L94" s="1">
        <v>1523125.3330000001</v>
      </c>
      <c r="M94" s="1">
        <v>0</v>
      </c>
      <c r="N94" s="1">
        <v>3313629.2349999999</v>
      </c>
      <c r="O94" s="1">
        <v>3313629.2349999999</v>
      </c>
      <c r="P94" s="1">
        <v>2376906.585</v>
      </c>
      <c r="Q94" s="1">
        <v>852479.74199999997</v>
      </c>
      <c r="R94" s="1">
        <v>628</v>
      </c>
      <c r="T94">
        <f>E94/G94</f>
        <v>1.7883049999407524E-2</v>
      </c>
      <c r="U94">
        <f>D94/C94</f>
        <v>3.858275237174047E-2</v>
      </c>
      <c r="V94">
        <f>(E94-F94)/O94</f>
        <v>3.2430060027521461E-2</v>
      </c>
      <c r="W94">
        <f>H94/K94</f>
        <v>2.0705645429296111</v>
      </c>
      <c r="X94">
        <f>(H94-I94)/K94</f>
        <v>0.2393307480349765</v>
      </c>
      <c r="Y94">
        <f>(H94-K94)/G94</f>
        <v>0.46516445436263892</v>
      </c>
      <c r="Z94">
        <f>J94/N94</f>
        <v>0.81345240485240955</v>
      </c>
      <c r="AA94">
        <f>J94/G94</f>
        <v>0.44856562139474154</v>
      </c>
      <c r="AB94">
        <f>C94/G94</f>
        <v>1.4357827680275668</v>
      </c>
      <c r="AC94">
        <f>C94/(G94-K94)</f>
        <v>2.5389790187148331</v>
      </c>
      <c r="AD94">
        <f>Q94/E94</f>
        <v>7.9329077068238441</v>
      </c>
      <c r="AE94">
        <f>Q94/J94</f>
        <v>0.3162627236583832</v>
      </c>
      <c r="AF94">
        <f>Q94/G94</f>
        <v>0.1418645851618161</v>
      </c>
      <c r="AG94">
        <f>Q94/K94</f>
        <v>0.32649785113042556</v>
      </c>
      <c r="AH94">
        <f>Q94/L94</f>
        <v>0.55969113212825794</v>
      </c>
      <c r="AI94" s="1">
        <f>R94</f>
        <v>628</v>
      </c>
      <c r="AJ94" s="1">
        <f>P94</f>
        <v>2376906.585</v>
      </c>
    </row>
    <row r="95" spans="1:36" x14ac:dyDescent="0.25">
      <c r="A95" t="s">
        <v>127</v>
      </c>
      <c r="B95">
        <v>2020</v>
      </c>
      <c r="C95" s="1">
        <v>6718236.8080000002</v>
      </c>
      <c r="D95" s="1">
        <v>244731.83</v>
      </c>
      <c r="E95" s="1">
        <v>103412.94500000001</v>
      </c>
      <c r="F95" s="1">
        <v>0</v>
      </c>
      <c r="G95" s="1">
        <v>7566712.0300000003</v>
      </c>
      <c r="H95" s="1">
        <v>5070160.53</v>
      </c>
      <c r="I95" s="1">
        <v>4235608.3729999997</v>
      </c>
      <c r="J95" s="1">
        <v>4198626.4359999998</v>
      </c>
      <c r="K95" s="1">
        <v>4031967.6910000001</v>
      </c>
      <c r="L95" s="1">
        <v>3360660.8560000001</v>
      </c>
      <c r="M95" s="1">
        <v>0</v>
      </c>
      <c r="N95" s="1">
        <v>3368085.594</v>
      </c>
      <c r="O95" s="1">
        <v>3368085.594</v>
      </c>
      <c r="P95" s="1">
        <v>2431362.9440000001</v>
      </c>
      <c r="Q95" s="1">
        <v>-2023319.5360000001</v>
      </c>
      <c r="R95" s="1">
        <v>695</v>
      </c>
      <c r="T95">
        <f>E95/G95</f>
        <v>1.3666827096101343E-2</v>
      </c>
      <c r="U95">
        <f>D95/C95</f>
        <v>3.6427985049377255E-2</v>
      </c>
      <c r="V95">
        <f>(E95-F95)/O95</f>
        <v>3.0703775813839963E-2</v>
      </c>
      <c r="W95">
        <f>H95/K95</f>
        <v>1.2574903666310158</v>
      </c>
      <c r="X95">
        <f>(H95-I95)/K95</f>
        <v>0.20698384038712789</v>
      </c>
      <c r="Y95">
        <f>(H95-K95)/G95</f>
        <v>0.13720527950367897</v>
      </c>
      <c r="Z95">
        <f>J95/N95</f>
        <v>1.2465913703260831</v>
      </c>
      <c r="AA95">
        <f>J95/G95</f>
        <v>0.5548812244147211</v>
      </c>
      <c r="AB95">
        <f>C95/G95</f>
        <v>0.88786738300122681</v>
      </c>
      <c r="AC95">
        <f>C95/(G95-K95)</f>
        <v>1.9006287764225203</v>
      </c>
      <c r="AD95">
        <f>Q95/E95</f>
        <v>-19.565437731224073</v>
      </c>
      <c r="AE95">
        <f>Q95/J95</f>
        <v>-0.48190034689716327</v>
      </c>
      <c r="AF95">
        <f>Q95/G95</f>
        <v>-0.26739745453217678</v>
      </c>
      <c r="AG95">
        <f>Q95/K95</f>
        <v>-0.50181938226250533</v>
      </c>
      <c r="AH95">
        <f>Q95/L95</f>
        <v>-0.60206001816209453</v>
      </c>
      <c r="AI95" s="1">
        <f>R95</f>
        <v>695</v>
      </c>
      <c r="AJ95" s="1">
        <f>P95</f>
        <v>2431362.9440000001</v>
      </c>
    </row>
    <row r="96" spans="1:36" x14ac:dyDescent="0.25">
      <c r="A96" t="s">
        <v>127</v>
      </c>
      <c r="B96">
        <v>2021</v>
      </c>
      <c r="C96" s="1">
        <v>2973106.4049999998</v>
      </c>
      <c r="D96" s="1">
        <v>193708.929</v>
      </c>
      <c r="E96" s="1">
        <v>4505.3029999999999</v>
      </c>
      <c r="F96" s="1">
        <v>0</v>
      </c>
      <c r="G96" s="1">
        <v>7232774.0329999998</v>
      </c>
      <c r="H96" s="1">
        <v>5165568.1809999999</v>
      </c>
      <c r="I96" s="1">
        <v>4386035.693</v>
      </c>
      <c r="J96" s="1">
        <v>3876431.3280000002</v>
      </c>
      <c r="K96" s="1">
        <v>3717057.1269999999</v>
      </c>
      <c r="L96" s="1">
        <v>863724.15800000005</v>
      </c>
      <c r="M96" s="1">
        <v>0</v>
      </c>
      <c r="N96" s="1">
        <v>3356342.7050000001</v>
      </c>
      <c r="O96" s="1">
        <v>3356342.7050000001</v>
      </c>
      <c r="P96" s="1">
        <v>2419620.0550000002</v>
      </c>
      <c r="Q96" s="1">
        <v>2146001.943</v>
      </c>
      <c r="R96" s="1">
        <v>839.25</v>
      </c>
      <c r="T96">
        <f>E96/G96</f>
        <v>6.2290111365905572E-4</v>
      </c>
      <c r="U96">
        <f>D96/C96</f>
        <v>6.5153715546215046E-2</v>
      </c>
      <c r="V96">
        <f>(E96-F96)/O96</f>
        <v>1.342325082980464E-3</v>
      </c>
      <c r="W96">
        <f>H96/K96</f>
        <v>1.3896929760584764</v>
      </c>
      <c r="X96">
        <f>(H96-I96)/K96</f>
        <v>0.20971765064831083</v>
      </c>
      <c r="Y96">
        <f>(H96-K96)/G96</f>
        <v>0.20027046986274899</v>
      </c>
      <c r="Z96">
        <f>J96/N96</f>
        <v>1.1549569482953024</v>
      </c>
      <c r="AA96">
        <f>J96/G96</f>
        <v>0.53595360650194945</v>
      </c>
      <c r="AB96">
        <f>C96/G96</f>
        <v>0.41106031951710498</v>
      </c>
      <c r="AC96">
        <f>C96/(G96-K96)</f>
        <v>0.84566149223392562</v>
      </c>
      <c r="AD96">
        <f>Q96/E96</f>
        <v>476.32799458771143</v>
      </c>
      <c r="AE96">
        <f>Q96/J96</f>
        <v>0.55360246613918596</v>
      </c>
      <c r="AF96">
        <f>Q96/G96</f>
        <v>0.29670523829567014</v>
      </c>
      <c r="AG96">
        <f>Q96/K96</f>
        <v>0.57733897265442813</v>
      </c>
      <c r="AH96">
        <f>Q96/L96</f>
        <v>2.4845917798214461</v>
      </c>
      <c r="AI96" s="1">
        <f>R96</f>
        <v>839.25</v>
      </c>
      <c r="AJ96" s="1">
        <f>P96</f>
        <v>2419620.0550000002</v>
      </c>
    </row>
    <row r="97" spans="1:36" x14ac:dyDescent="0.25">
      <c r="A97" t="s">
        <v>127</v>
      </c>
      <c r="B97">
        <v>2022</v>
      </c>
      <c r="C97" s="1">
        <v>6860962.9890000001</v>
      </c>
      <c r="D97" s="1">
        <v>451617.924</v>
      </c>
      <c r="E97" s="1">
        <v>342975.01500000001</v>
      </c>
      <c r="F97" s="1">
        <v>0</v>
      </c>
      <c r="G97" s="1">
        <v>7642829.7879999997</v>
      </c>
      <c r="H97" s="1">
        <v>5859272.6770000001</v>
      </c>
      <c r="I97" s="1">
        <v>2952421.165</v>
      </c>
      <c r="J97" s="1">
        <v>3946185.102</v>
      </c>
      <c r="K97" s="1">
        <v>3804507.5290000001</v>
      </c>
      <c r="L97" s="1">
        <v>378205.76699999999</v>
      </c>
      <c r="M97" s="1">
        <v>0</v>
      </c>
      <c r="N97" s="1">
        <v>3696644.6860000002</v>
      </c>
      <c r="O97" s="1">
        <v>3696644.6860000002</v>
      </c>
      <c r="P97" s="1">
        <v>2759922.0359999998</v>
      </c>
      <c r="Q97" s="1">
        <v>2363942.9709999999</v>
      </c>
      <c r="R97" s="1">
        <v>710</v>
      </c>
      <c r="T97">
        <f>E97/G97</f>
        <v>4.4875396222810664E-2</v>
      </c>
      <c r="U97">
        <f>D97/C97</f>
        <v>6.582427637695569E-2</v>
      </c>
      <c r="V97">
        <f>(E97-F97)/O97</f>
        <v>9.278008684440818E-2</v>
      </c>
      <c r="W97">
        <f>H97/K97</f>
        <v>1.5400870237047704</v>
      </c>
      <c r="X97">
        <f>(H97-I97)/K97</f>
        <v>0.76405460886656584</v>
      </c>
      <c r="Y97">
        <f>(H97-K97)/G97</f>
        <v>0.26884873862115638</v>
      </c>
      <c r="Z97">
        <f>J97/N97</f>
        <v>1.0675045716308802</v>
      </c>
      <c r="AA97">
        <f>J97/G97</f>
        <v>0.51632513237386257</v>
      </c>
      <c r="AB97">
        <f>C97/G97</f>
        <v>0.89769930501035</v>
      </c>
      <c r="AC97">
        <f>C97/(G97-K97)</f>
        <v>1.7874900870849471</v>
      </c>
      <c r="AD97">
        <f>Q97/E97</f>
        <v>6.8924640793440881</v>
      </c>
      <c r="AE97">
        <f>Q97/J97</f>
        <v>0.59904513090425227</v>
      </c>
      <c r="AF97">
        <f>Q97/G97</f>
        <v>0.30930205651205589</v>
      </c>
      <c r="AG97">
        <f>Q97/K97</f>
        <v>0.6213532114158683</v>
      </c>
      <c r="AH97">
        <f>Q97/L97</f>
        <v>6.2504149255873189</v>
      </c>
      <c r="AI97" s="1">
        <f>R97</f>
        <v>710</v>
      </c>
      <c r="AJ97" s="1">
        <f>P97</f>
        <v>2759922.0359999998</v>
      </c>
    </row>
    <row r="98" spans="1:36" x14ac:dyDescent="0.25">
      <c r="A98" t="s">
        <v>127</v>
      </c>
      <c r="B98">
        <v>2023</v>
      </c>
      <c r="C98" s="1">
        <v>3487704.6170000001</v>
      </c>
      <c r="D98" s="1">
        <v>33687.500999999997</v>
      </c>
      <c r="E98" s="1">
        <v>47135.589</v>
      </c>
      <c r="F98" s="1">
        <v>0</v>
      </c>
      <c r="G98" s="1">
        <v>5121568.057</v>
      </c>
      <c r="H98" s="1">
        <v>3747303.73</v>
      </c>
      <c r="I98" s="1">
        <v>2623994.1519999998</v>
      </c>
      <c r="J98" s="1">
        <v>1307232.79</v>
      </c>
      <c r="K98" s="1">
        <v>1166893.4450000001</v>
      </c>
      <c r="L98" s="1">
        <v>0</v>
      </c>
      <c r="M98" s="1">
        <v>0</v>
      </c>
      <c r="N98" s="1">
        <v>3814335.267</v>
      </c>
      <c r="O98" s="1">
        <v>3814335.267</v>
      </c>
      <c r="P98" s="1">
        <v>2877612.6170000001</v>
      </c>
      <c r="Q98" s="1">
        <v>-1804891.442</v>
      </c>
      <c r="R98" s="1">
        <v>788</v>
      </c>
      <c r="T98">
        <f>E98/G98</f>
        <v>9.2033510978296075E-3</v>
      </c>
      <c r="U98">
        <f>D98/C98</f>
        <v>9.658931790208998E-3</v>
      </c>
      <c r="V98">
        <f>(E98-F98)/O98</f>
        <v>1.2357484515794138E-2</v>
      </c>
      <c r="W98">
        <f>H98/K98</f>
        <v>3.2113503988361165</v>
      </c>
      <c r="X98">
        <f>(H98-I98)/K98</f>
        <v>0.96264965992674689</v>
      </c>
      <c r="Y98">
        <f>(H98-K98)/G98</f>
        <v>0.50383207960561527</v>
      </c>
      <c r="Z98">
        <f>J98/N98</f>
        <v>0.34271575477636168</v>
      </c>
      <c r="AA98">
        <f>J98/G98</f>
        <v>0.25524073398054625</v>
      </c>
      <c r="AB98">
        <f>C98/G98</f>
        <v>0.6809837491533699</v>
      </c>
      <c r="AC98">
        <f>C98/(G98-K98)</f>
        <v>0.88191949001745085</v>
      </c>
      <c r="AD98">
        <f>Q98/E98</f>
        <v>-38.291479544256887</v>
      </c>
      <c r="AE98">
        <f>Q98/J98</f>
        <v>-1.3806962736912376</v>
      </c>
      <c r="AF98">
        <f>Q98/G98</f>
        <v>-0.35240993030115658</v>
      </c>
      <c r="AG98">
        <f>Q98/K98</f>
        <v>-1.5467491481195184</v>
      </c>
      <c r="AH98" t="e">
        <f>Q98/L98</f>
        <v>#DIV/0!</v>
      </c>
      <c r="AI98" s="1">
        <f>R98</f>
        <v>788</v>
      </c>
      <c r="AJ98" s="1">
        <f>P98</f>
        <v>2877612.6170000001</v>
      </c>
    </row>
    <row r="99" spans="1:36" x14ac:dyDescent="0.25">
      <c r="A99" t="s">
        <v>127</v>
      </c>
      <c r="B99">
        <v>2024</v>
      </c>
      <c r="C99" s="1">
        <v>5404387.7740000002</v>
      </c>
      <c r="D99" s="1">
        <v>1194255.8089999999</v>
      </c>
      <c r="E99" s="1">
        <v>58896.688999999998</v>
      </c>
      <c r="F99" s="1">
        <v>0</v>
      </c>
      <c r="G99" s="1">
        <v>7584956.625</v>
      </c>
      <c r="H99" s="1">
        <v>6243210.102</v>
      </c>
      <c r="I99" s="1">
        <v>3752742.105</v>
      </c>
      <c r="J99" s="1">
        <v>2995559.7459999998</v>
      </c>
      <c r="K99" s="1">
        <v>2926723.5959999999</v>
      </c>
      <c r="L99" s="1">
        <v>0</v>
      </c>
      <c r="M99" s="1">
        <v>0</v>
      </c>
      <c r="N99" s="1">
        <v>4589396.8789999997</v>
      </c>
      <c r="O99" s="1">
        <v>4589396.8789999997</v>
      </c>
      <c r="P99" s="1">
        <v>3652674.2289999998</v>
      </c>
      <c r="Q99" s="1">
        <v>1329414.041</v>
      </c>
      <c r="R99" s="1">
        <v>690.25</v>
      </c>
      <c r="T99">
        <f>E99/G99</f>
        <v>7.7649341864232477E-3</v>
      </c>
      <c r="U99">
        <f>D99/C99</f>
        <v>0.22097892655768558</v>
      </c>
      <c r="V99">
        <f>(E99-F99)/O99</f>
        <v>1.283320892762563E-2</v>
      </c>
      <c r="W99">
        <f>H99/K99</f>
        <v>2.1331738024501852</v>
      </c>
      <c r="X99">
        <f>(H99-I99)/K99</f>
        <v>0.85094062193087261</v>
      </c>
      <c r="Y99">
        <f>(H99-K99)/G99</f>
        <v>0.43724528299461435</v>
      </c>
      <c r="Z99">
        <f>J99/N99</f>
        <v>0.65271316144109837</v>
      </c>
      <c r="AA99">
        <f>J99/G99</f>
        <v>0.39493432778859167</v>
      </c>
      <c r="AB99">
        <f>C99/G99</f>
        <v>0.71251399858862086</v>
      </c>
      <c r="AC99">
        <f>C99/(G99-K99)</f>
        <v>1.1601797806925473</v>
      </c>
      <c r="AD99">
        <f>Q99/E99</f>
        <v>22.571965649885684</v>
      </c>
      <c r="AE99">
        <f>Q99/J99</f>
        <v>0.44379486764541404</v>
      </c>
      <c r="AF99">
        <f>Q99/G99</f>
        <v>0.17526982772956859</v>
      </c>
      <c r="AG99">
        <f>Q99/K99</f>
        <v>0.45423286394961637</v>
      </c>
      <c r="AH99" t="e">
        <f>Q99/L99</f>
        <v>#DIV/0!</v>
      </c>
      <c r="AI99" s="1">
        <f>R99</f>
        <v>690.25</v>
      </c>
      <c r="AJ99" s="1">
        <f>P99</f>
        <v>3652674.2289999998</v>
      </c>
    </row>
    <row r="100" spans="1:36" s="2" customFormat="1" x14ac:dyDescent="0.25">
      <c r="A100" s="2" t="s">
        <v>32</v>
      </c>
      <c r="B100" s="2">
        <v>2018</v>
      </c>
      <c r="C100" s="3">
        <v>12025178</v>
      </c>
      <c r="D100" s="3">
        <v>2585793</v>
      </c>
      <c r="E100" s="3">
        <v>1900064</v>
      </c>
      <c r="F100" s="3"/>
      <c r="G100" s="3">
        <v>21730796</v>
      </c>
      <c r="H100" s="3">
        <v>2768854</v>
      </c>
      <c r="I100" s="3">
        <v>523340</v>
      </c>
      <c r="J100" s="3">
        <f>8411919+K100</f>
        <v>13538823</v>
      </c>
      <c r="K100" s="3">
        <v>5126904</v>
      </c>
      <c r="L100" s="3">
        <f>3874204+M100</f>
        <v>10486102</v>
      </c>
      <c r="M100" s="3">
        <v>6611898</v>
      </c>
      <c r="N100" s="3">
        <v>7491255</v>
      </c>
      <c r="O100" s="3">
        <v>8191972</v>
      </c>
      <c r="P100" s="3">
        <v>1149356</v>
      </c>
      <c r="Q100" s="3">
        <v>2580345</v>
      </c>
      <c r="R100" s="3">
        <v>27.5</v>
      </c>
      <c r="T100" s="2">
        <f>E100/G100</f>
        <v>8.7436465741982022E-2</v>
      </c>
      <c r="U100" s="2">
        <f>D100/C100</f>
        <v>0.21503157791094651</v>
      </c>
      <c r="V100" s="2">
        <f>(E100-F100)/O100</f>
        <v>0.23194219902118807</v>
      </c>
      <c r="W100" s="2">
        <f>H100/K100</f>
        <v>0.54006355492515556</v>
      </c>
      <c r="X100" s="2">
        <f>(H100-I100)/K100</f>
        <v>0.43798635589821849</v>
      </c>
      <c r="Y100" s="2">
        <f>(H100-K100)/G100</f>
        <v>-0.10851190172693168</v>
      </c>
      <c r="Z100" s="2">
        <f>J100/N100</f>
        <v>1.8072836927857883</v>
      </c>
      <c r="AA100" s="2">
        <f>J100/G100</f>
        <v>0.62302471570760687</v>
      </c>
      <c r="AB100" s="2">
        <f>C100/G100</f>
        <v>0.55337034133494234</v>
      </c>
      <c r="AC100" s="2">
        <f>C100/(G100-K100)</f>
        <v>0.72423850986262739</v>
      </c>
      <c r="AD100" s="2">
        <f>Q100/E100</f>
        <v>1.3580305716017986</v>
      </c>
      <c r="AE100" s="2">
        <f>Q100/J100</f>
        <v>0.19058857627431869</v>
      </c>
      <c r="AF100" s="2">
        <f>Q100/G100</f>
        <v>0.11874139355042494</v>
      </c>
      <c r="AG100" s="2">
        <f>Q100/K100</f>
        <v>0.50329497100004217</v>
      </c>
      <c r="AH100" s="2">
        <f>Q100/L100</f>
        <v>0.24607284956793288</v>
      </c>
      <c r="AI100" s="3">
        <f>R100</f>
        <v>27.5</v>
      </c>
      <c r="AJ100" s="3">
        <f>P100</f>
        <v>1149356</v>
      </c>
    </row>
    <row r="101" spans="1:36" x14ac:dyDescent="0.25">
      <c r="A101" t="s">
        <v>32</v>
      </c>
      <c r="B101">
        <v>2019</v>
      </c>
      <c r="C101" s="1">
        <v>13476097</v>
      </c>
      <c r="D101" s="1">
        <v>3012052</v>
      </c>
      <c r="E101" s="1">
        <v>1791723</v>
      </c>
      <c r="G101" s="1">
        <v>26782211</v>
      </c>
      <c r="H101" s="1">
        <v>4046726</v>
      </c>
      <c r="I101" s="1">
        <v>452519</v>
      </c>
      <c r="J101" s="1">
        <f>8175514+K101</f>
        <v>17314026</v>
      </c>
      <c r="K101" s="1">
        <v>9138512</v>
      </c>
      <c r="L101" s="1">
        <f>2313383+M101</f>
        <v>8360060</v>
      </c>
      <c r="M101" s="1">
        <v>6046677</v>
      </c>
      <c r="N101" s="1">
        <v>8675864</v>
      </c>
      <c r="O101" s="1">
        <v>9468184</v>
      </c>
      <c r="P101" s="1">
        <v>1951118</v>
      </c>
      <c r="Q101" s="1">
        <v>2362873</v>
      </c>
      <c r="R101" s="1">
        <v>20.2</v>
      </c>
      <c r="T101">
        <f>E101/G101</f>
        <v>6.6899741772626614E-2</v>
      </c>
      <c r="U101">
        <f>D101/C101</f>
        <v>0.22351070936933742</v>
      </c>
      <c r="V101">
        <f>(E101-F101)/O101</f>
        <v>0.18923618298926173</v>
      </c>
      <c r="W101">
        <f>H101/K101</f>
        <v>0.44282110698109278</v>
      </c>
      <c r="X101">
        <f>(H101-I101)/K101</f>
        <v>0.39330330802213753</v>
      </c>
      <c r="Y101">
        <f>(H101-K101)/G101</f>
        <v>-0.19011820943386637</v>
      </c>
      <c r="Z101">
        <f>J101/N101</f>
        <v>1.9956543809354319</v>
      </c>
      <c r="AA101">
        <f>J101/G101</f>
        <v>0.64647485601543497</v>
      </c>
      <c r="AB101">
        <f>C101/G101</f>
        <v>0.50317343105093149</v>
      </c>
      <c r="AC101">
        <f>C101/(G101-K101)</f>
        <v>0.76379091481893902</v>
      </c>
      <c r="AD101">
        <f>Q101/E101</f>
        <v>1.3187713725838202</v>
      </c>
      <c r="AE101">
        <f>Q101/J101</f>
        <v>0.13647160978041734</v>
      </c>
      <c r="AF101">
        <f>Q101/G101</f>
        <v>8.8225464282989927E-2</v>
      </c>
      <c r="AG101">
        <f>Q101/K101</f>
        <v>0.25856211602063883</v>
      </c>
      <c r="AH101">
        <f>Q101/L101</f>
        <v>0.28263828250036482</v>
      </c>
      <c r="AI101" s="1">
        <f>R101</f>
        <v>20.2</v>
      </c>
      <c r="AJ101" s="1">
        <f>P101</f>
        <v>1951118</v>
      </c>
    </row>
    <row r="102" spans="1:36" x14ac:dyDescent="0.25">
      <c r="A102" t="s">
        <v>32</v>
      </c>
      <c r="B102">
        <v>2020</v>
      </c>
      <c r="C102" s="1">
        <v>15510422</v>
      </c>
      <c r="D102" s="1">
        <v>2854127</v>
      </c>
      <c r="E102" s="1">
        <v>918207</v>
      </c>
      <c r="G102" s="1">
        <v>32197975</v>
      </c>
      <c r="H102" s="1">
        <v>5313765</v>
      </c>
      <c r="I102" s="1">
        <v>665626</v>
      </c>
      <c r="J102" s="1">
        <f>9505237+K102</f>
        <v>21336670</v>
      </c>
      <c r="K102" s="1">
        <v>11831433</v>
      </c>
      <c r="L102" s="1">
        <f>5796004+M102</f>
        <v>12912016</v>
      </c>
      <c r="M102" s="1">
        <v>7116012</v>
      </c>
      <c r="N102" s="1">
        <v>9959949</v>
      </c>
      <c r="O102" s="1">
        <v>10861304</v>
      </c>
      <c r="P102" s="1">
        <v>2683467</v>
      </c>
      <c r="Q102" s="1">
        <v>2757590</v>
      </c>
      <c r="R102" s="1">
        <v>17</v>
      </c>
      <c r="T102">
        <f>E102/G102</f>
        <v>2.8517538758260418E-2</v>
      </c>
      <c r="U102">
        <f>D102/C102</f>
        <v>0.18401349750509691</v>
      </c>
      <c r="V102">
        <f>(E102-F102)/O102</f>
        <v>8.4539296570651179E-2</v>
      </c>
      <c r="W102">
        <f>H102/K102</f>
        <v>0.4491226886886821</v>
      </c>
      <c r="X102">
        <f>(H102-I102)/K102</f>
        <v>0.3928635694425181</v>
      </c>
      <c r="Y102">
        <f>(H102-K102)/G102</f>
        <v>-0.20242477981922777</v>
      </c>
      <c r="Z102">
        <f>J102/N102</f>
        <v>2.1422469131117037</v>
      </c>
      <c r="AA102">
        <f>J102/G102</f>
        <v>0.6626711773022993</v>
      </c>
      <c r="AB102">
        <f>C102/G102</f>
        <v>0.48172041875304272</v>
      </c>
      <c r="AC102">
        <f>C102/(G102-K102)</f>
        <v>0.76156384328768234</v>
      </c>
      <c r="AD102">
        <f>Q102/E102</f>
        <v>3.0032334756759642</v>
      </c>
      <c r="AE102">
        <f>Q102/J102</f>
        <v>0.12924181702205639</v>
      </c>
      <c r="AF102">
        <f>Q102/G102</f>
        <v>8.5644827042694452E-2</v>
      </c>
      <c r="AG102">
        <f>Q102/K102</f>
        <v>0.23307320423485473</v>
      </c>
      <c r="AH102">
        <f>Q102/L102</f>
        <v>0.21356773411681026</v>
      </c>
      <c r="AI102" s="1">
        <f>R102</f>
        <v>17</v>
      </c>
      <c r="AJ102" s="1">
        <f>P102</f>
        <v>2683467</v>
      </c>
    </row>
    <row r="103" spans="1:36" x14ac:dyDescent="0.25">
      <c r="A103" t="s">
        <v>32</v>
      </c>
      <c r="B103">
        <v>2021</v>
      </c>
      <c r="C103" s="1">
        <v>15784523</v>
      </c>
      <c r="D103" s="1">
        <v>2666783</v>
      </c>
      <c r="E103" s="1">
        <v>1744618</v>
      </c>
      <c r="G103" s="1">
        <v>32071279</v>
      </c>
      <c r="H103" s="1">
        <v>4520543</v>
      </c>
      <c r="I103" s="1">
        <v>664297</v>
      </c>
      <c r="J103" s="1">
        <f>9972922+K103</f>
        <v>20774021</v>
      </c>
      <c r="K103" s="1">
        <v>10801099</v>
      </c>
      <c r="L103" s="1">
        <f>6011703+M103</f>
        <v>14211251</v>
      </c>
      <c r="M103" s="1">
        <v>8199548</v>
      </c>
      <c r="N103" s="1">
        <v>10293779</v>
      </c>
      <c r="O103" s="1">
        <v>11297258</v>
      </c>
      <c r="P103" s="1">
        <v>2327574</v>
      </c>
      <c r="Q103" s="1">
        <v>2706998</v>
      </c>
      <c r="R103" s="1">
        <v>25.5</v>
      </c>
      <c r="T103">
        <f>E103/G103</f>
        <v>5.4398142337884307E-2</v>
      </c>
      <c r="U103">
        <f>D103/C103</f>
        <v>0.16894922957127054</v>
      </c>
      <c r="V103">
        <f>(E103-F103)/O103</f>
        <v>0.15442844626545663</v>
      </c>
      <c r="W103">
        <f>H103/K103</f>
        <v>0.41852620737945279</v>
      </c>
      <c r="X103">
        <f>(H103-I103)/K103</f>
        <v>0.3570234843695072</v>
      </c>
      <c r="Y103">
        <f>(H103-K103)/G103</f>
        <v>-0.19583116719479757</v>
      </c>
      <c r="Z103">
        <f>J103/N103</f>
        <v>2.0181141444750272</v>
      </c>
      <c r="AA103">
        <f>J103/G103</f>
        <v>0.64774532378331406</v>
      </c>
      <c r="AB103">
        <f>C103/G103</f>
        <v>0.49217005034317463</v>
      </c>
      <c r="AC103">
        <f>C103/(G103-K103)</f>
        <v>0.74209635273420349</v>
      </c>
      <c r="AD103">
        <f>Q103/E103</f>
        <v>1.5516279208399775</v>
      </c>
      <c r="AE103">
        <f>Q103/J103</f>
        <v>0.13030688666387696</v>
      </c>
      <c r="AF103">
        <f>Q103/G103</f>
        <v>8.4405676493288589E-2</v>
      </c>
      <c r="AG103">
        <f>Q103/K103</f>
        <v>0.25062245980709924</v>
      </c>
      <c r="AH103">
        <f>Q103/L103</f>
        <v>0.19048273793770865</v>
      </c>
      <c r="AI103" s="1">
        <f>R103</f>
        <v>25.5</v>
      </c>
      <c r="AJ103" s="1">
        <f>P103</f>
        <v>2327574</v>
      </c>
    </row>
    <row r="104" spans="1:36" x14ac:dyDescent="0.25">
      <c r="A104" t="s">
        <v>32</v>
      </c>
      <c r="B104">
        <v>2022</v>
      </c>
      <c r="C104" s="1">
        <v>22324121</v>
      </c>
      <c r="D104" s="1">
        <v>5633532</v>
      </c>
      <c r="E104" s="1">
        <v>3803298</v>
      </c>
      <c r="G104" s="1">
        <v>39243373</v>
      </c>
      <c r="H104" s="1">
        <v>7291660</v>
      </c>
      <c r="I104" s="1">
        <v>1000220</v>
      </c>
      <c r="J104" s="1">
        <f>8988123+K104</f>
        <v>23420534</v>
      </c>
      <c r="K104" s="1">
        <v>14432411</v>
      </c>
      <c r="L104" s="1">
        <f>7590045+M104</f>
        <v>13836792</v>
      </c>
      <c r="M104" s="1">
        <v>6246747</v>
      </c>
      <c r="N104" s="1">
        <v>14653470</v>
      </c>
      <c r="O104" s="1">
        <v>15822838</v>
      </c>
      <c r="P104" s="1">
        <v>2990073</v>
      </c>
      <c r="Q104" s="1">
        <v>5534768</v>
      </c>
      <c r="R104" s="1">
        <v>37.5</v>
      </c>
      <c r="T104">
        <f>E104/G104</f>
        <v>9.6915675418624184E-2</v>
      </c>
      <c r="U104">
        <f>D104/C104</f>
        <v>0.25235179472463887</v>
      </c>
      <c r="V104">
        <f>(E104-F104)/O104</f>
        <v>0.24036762558018984</v>
      </c>
      <c r="W104">
        <f>H104/K104</f>
        <v>0.50522812855038568</v>
      </c>
      <c r="X104">
        <f>(H104-I104)/K104</f>
        <v>0.43592439267423855</v>
      </c>
      <c r="Y104">
        <f>(H104-K104)/G104</f>
        <v>-0.18196068416443203</v>
      </c>
      <c r="Z104">
        <f>J104/N104</f>
        <v>1.5982926910827264</v>
      </c>
      <c r="AA104">
        <f>J104/G104</f>
        <v>0.59680226773575251</v>
      </c>
      <c r="AB104">
        <f>C104/G104</f>
        <v>0.56886346135435406</v>
      </c>
      <c r="AC104">
        <f>C104/(G104-K104)</f>
        <v>0.89976845718436871</v>
      </c>
      <c r="AD104">
        <f>Q104/E104</f>
        <v>1.4552548866799289</v>
      </c>
      <c r="AE104">
        <f>Q104/J104</f>
        <v>0.23632117013215839</v>
      </c>
      <c r="AF104">
        <f>Q104/G104</f>
        <v>0.14103701024883869</v>
      </c>
      <c r="AG104">
        <f>Q104/K104</f>
        <v>0.38349573054703057</v>
      </c>
      <c r="AH104">
        <f>Q104/L104</f>
        <v>0.4000037002796602</v>
      </c>
      <c r="AI104" s="1">
        <f>R104</f>
        <v>37.5</v>
      </c>
      <c r="AJ104" s="1">
        <f>P104</f>
        <v>2990073</v>
      </c>
    </row>
    <row r="105" spans="1:36" x14ac:dyDescent="0.25">
      <c r="A105" t="s">
        <v>32</v>
      </c>
      <c r="B105">
        <v>2023</v>
      </c>
      <c r="C105" s="1">
        <v>24785716</v>
      </c>
      <c r="D105" s="1">
        <v>5749903</v>
      </c>
      <c r="E105" s="1">
        <v>1699258</v>
      </c>
      <c r="G105" s="1">
        <v>50285055</v>
      </c>
      <c r="H105" s="1">
        <v>9526741</v>
      </c>
      <c r="I105" s="1">
        <v>1232955</v>
      </c>
      <c r="J105" s="1">
        <f>9871448+K105</f>
        <v>31109569</v>
      </c>
      <c r="K105" s="1">
        <v>21238121</v>
      </c>
      <c r="L105" s="1">
        <f>12808752+M105</f>
        <v>17524507</v>
      </c>
      <c r="M105" s="1">
        <v>4715755</v>
      </c>
      <c r="N105" s="1">
        <v>17716933</v>
      </c>
      <c r="O105" s="1">
        <v>19175227</v>
      </c>
      <c r="P105" s="1">
        <v>4600553</v>
      </c>
      <c r="Q105" s="1">
        <v>3134046</v>
      </c>
      <c r="R105" s="1">
        <v>24.9</v>
      </c>
      <c r="T105">
        <f>E105/G105</f>
        <v>3.3792505546628118E-2</v>
      </c>
      <c r="U105">
        <f>D105/C105</f>
        <v>0.23198454303276936</v>
      </c>
      <c r="V105">
        <f>(E105-F105)/O105</f>
        <v>8.8617360305565093E-2</v>
      </c>
      <c r="W105">
        <f>H105/K105</f>
        <v>0.44856797830655548</v>
      </c>
      <c r="X105">
        <f>(H105-I105)/K105</f>
        <v>0.39051411374857503</v>
      </c>
      <c r="Y105">
        <f>(H105-K105)/G105</f>
        <v>-0.23289981486547046</v>
      </c>
      <c r="Z105">
        <f>J105/N105</f>
        <v>1.7559229354200301</v>
      </c>
      <c r="AA105">
        <f>J105/G105</f>
        <v>0.6186643128858067</v>
      </c>
      <c r="AB105">
        <f>C105/G105</f>
        <v>0.49290422373009235</v>
      </c>
      <c r="AC105">
        <f>C105/(G105-K105)</f>
        <v>0.85329887140584271</v>
      </c>
      <c r="AD105">
        <f>Q105/E105</f>
        <v>1.8443614801283854</v>
      </c>
      <c r="AE105">
        <f>Q105/J105</f>
        <v>0.10074218643144815</v>
      </c>
      <c r="AF105">
        <f>Q105/G105</f>
        <v>6.2325595547225714E-2</v>
      </c>
      <c r="AG105">
        <f>Q105/K105</f>
        <v>0.1475670093413631</v>
      </c>
      <c r="AH105">
        <f>Q105/L105</f>
        <v>0.17883789826441338</v>
      </c>
      <c r="AI105" s="1">
        <f>R105</f>
        <v>24.9</v>
      </c>
      <c r="AJ105" s="1">
        <f>P105</f>
        <v>4600553</v>
      </c>
    </row>
    <row r="106" spans="1:36" x14ac:dyDescent="0.25">
      <c r="A106" s="15" t="s">
        <v>32</v>
      </c>
      <c r="B106" s="15">
        <v>2024</v>
      </c>
      <c r="C106" s="6">
        <v>28571487</v>
      </c>
      <c r="D106" s="6">
        <v>6138414</v>
      </c>
      <c r="E106" s="6">
        <v>3118877</v>
      </c>
      <c r="F106" s="6"/>
      <c r="G106" s="6">
        <v>52549245</v>
      </c>
      <c r="H106" s="6">
        <v>10810965</v>
      </c>
      <c r="I106" s="6">
        <v>1282042</v>
      </c>
      <c r="J106" s="6">
        <v>29116797</v>
      </c>
      <c r="K106" s="6">
        <v>17110190</v>
      </c>
      <c r="L106" s="6">
        <f>7913231+M106</f>
        <v>14148886</v>
      </c>
      <c r="M106" s="6">
        <v>6235655</v>
      </c>
      <c r="N106" s="6">
        <v>21696318</v>
      </c>
      <c r="O106" s="6">
        <v>23432446</v>
      </c>
      <c r="P106" s="6">
        <v>6456689</v>
      </c>
      <c r="Q106" s="6">
        <v>4375085</v>
      </c>
      <c r="R106" s="6">
        <v>25</v>
      </c>
      <c r="S106" s="15"/>
      <c r="T106" s="15">
        <f>E106/G106</f>
        <v>5.9351509236716914E-2</v>
      </c>
      <c r="U106" s="15">
        <f>D106/C106</f>
        <v>0.21484405064391643</v>
      </c>
      <c r="V106" s="15">
        <f>(E106-F106)/O106</f>
        <v>0.13310078683207036</v>
      </c>
      <c r="W106" s="15">
        <f>H106/K106</f>
        <v>0.63184365573964985</v>
      </c>
      <c r="X106" s="15">
        <f>(H106-I106)/K106</f>
        <v>0.55691508977983295</v>
      </c>
      <c r="Y106" s="15">
        <f>(H106-K106)/G106</f>
        <v>-0.11987279741126633</v>
      </c>
      <c r="Z106" s="15">
        <f>J106/N106</f>
        <v>1.3420155899263644</v>
      </c>
      <c r="AA106" s="15">
        <f>J106/G106</f>
        <v>0.55408592454563332</v>
      </c>
      <c r="AB106" s="15">
        <f>C106/G106</f>
        <v>0.54370880114452647</v>
      </c>
      <c r="AC106" s="15">
        <f>C106/(G106-K106)</f>
        <v>0.80621469731628004</v>
      </c>
      <c r="AD106" s="15">
        <f>Q106/E106</f>
        <v>1.4027757426791758</v>
      </c>
      <c r="AE106" s="15">
        <f>Q106/J106</f>
        <v>0.15025983112084754</v>
      </c>
      <c r="AF106" s="15">
        <f>Q106/G106</f>
        <v>8.3256857448665539E-2</v>
      </c>
      <c r="AG106" s="15">
        <f>Q106/K106</f>
        <v>0.25570055037378309</v>
      </c>
      <c r="AH106" s="15">
        <f>Q106/L106</f>
        <v>0.30921763027845445</v>
      </c>
      <c r="AI106" s="6">
        <f>R106</f>
        <v>25</v>
      </c>
      <c r="AJ106" s="6">
        <f>P106</f>
        <v>6456689</v>
      </c>
    </row>
    <row r="107" spans="1:36" s="2" customFormat="1" x14ac:dyDescent="0.25">
      <c r="A107" s="2" t="s">
        <v>30</v>
      </c>
      <c r="B107" s="2">
        <v>2018</v>
      </c>
      <c r="C107" s="3">
        <v>784688</v>
      </c>
      <c r="D107" s="3">
        <v>302330</v>
      </c>
      <c r="E107" s="3">
        <v>97558</v>
      </c>
      <c r="F107" s="3"/>
      <c r="G107" s="3">
        <v>2432292</v>
      </c>
      <c r="H107" s="3">
        <v>1483918</v>
      </c>
      <c r="I107" s="3">
        <v>2689</v>
      </c>
      <c r="J107" s="3">
        <v>1750297</v>
      </c>
      <c r="K107" s="3">
        <v>1237050</v>
      </c>
      <c r="L107" s="3">
        <f>64285+553359+M107</f>
        <v>949786</v>
      </c>
      <c r="M107" s="3">
        <v>332142</v>
      </c>
      <c r="N107" s="3">
        <v>681995</v>
      </c>
      <c r="O107" s="3">
        <v>681995</v>
      </c>
      <c r="P107" s="3">
        <v>317761</v>
      </c>
      <c r="Q107" s="3">
        <v>84289</v>
      </c>
      <c r="R107" s="3">
        <v>2.2000000000000002</v>
      </c>
      <c r="T107" s="2">
        <f>E107/G107</f>
        <v>4.0109493432531951E-2</v>
      </c>
      <c r="U107" s="2">
        <f>D107/C107</f>
        <v>0.38528689109556918</v>
      </c>
      <c r="V107" s="2">
        <f>(E107-F107)/O107</f>
        <v>0.14304796955989413</v>
      </c>
      <c r="W107" s="2">
        <f>H107/K107</f>
        <v>1.1995618608787033</v>
      </c>
      <c r="X107" s="2">
        <f>(H107-I107)/K107</f>
        <v>1.1973881411422336</v>
      </c>
      <c r="Y107" s="2">
        <f>(H107-K107)/G107</f>
        <v>0.10149603748234176</v>
      </c>
      <c r="Z107" s="2">
        <f>J107/N107</f>
        <v>2.5664367040814082</v>
      </c>
      <c r="AA107" s="2">
        <f>J107/G107</f>
        <v>0.71960808981816327</v>
      </c>
      <c r="AB107" s="2">
        <f>C107/G107</f>
        <v>0.32261258105523516</v>
      </c>
      <c r="AC107" s="2">
        <f>C107/(G107-K107)</f>
        <v>0.65650972773714444</v>
      </c>
      <c r="AD107" s="2">
        <f>Q107/E107</f>
        <v>0.86398860165235036</v>
      </c>
      <c r="AE107" s="2">
        <f>Q107/J107</f>
        <v>4.8156969931388786E-2</v>
      </c>
      <c r="AF107" s="2">
        <f>Q107/G107</f>
        <v>3.4654145143757413E-2</v>
      </c>
      <c r="AG107" s="2">
        <f>Q107/K107</f>
        <v>6.8137100359726768E-2</v>
      </c>
      <c r="AH107" s="2">
        <f>Q107/L107</f>
        <v>8.8745254194102674E-2</v>
      </c>
      <c r="AI107" s="3">
        <f>R107</f>
        <v>2.2000000000000002</v>
      </c>
      <c r="AJ107" s="3">
        <f>P107</f>
        <v>317761</v>
      </c>
    </row>
    <row r="108" spans="1:36" x14ac:dyDescent="0.25">
      <c r="A108" t="s">
        <v>30</v>
      </c>
      <c r="B108">
        <v>2019</v>
      </c>
      <c r="C108" s="1">
        <v>770678</v>
      </c>
      <c r="D108" s="1">
        <v>296204</v>
      </c>
      <c r="E108" s="1">
        <v>113052</v>
      </c>
      <c r="G108" s="1">
        <v>2806651</v>
      </c>
      <c r="H108" s="1">
        <v>1898087</v>
      </c>
      <c r="I108" s="1">
        <v>3249</v>
      </c>
      <c r="J108" s="1">
        <v>2073604</v>
      </c>
      <c r="K108" s="1">
        <v>1603357</v>
      </c>
      <c r="L108" s="1">
        <f>64285+896061</f>
        <v>960346</v>
      </c>
      <c r="M108" s="1">
        <v>267857</v>
      </c>
      <c r="N108" s="1">
        <v>733047</v>
      </c>
      <c r="O108" s="1">
        <v>733047</v>
      </c>
      <c r="P108" s="1">
        <v>368813</v>
      </c>
      <c r="Q108" s="1">
        <v>81824</v>
      </c>
      <c r="R108" s="1">
        <v>1.9</v>
      </c>
      <c r="T108">
        <f>E108/G108</f>
        <v>4.0280034817296487E-2</v>
      </c>
      <c r="U108">
        <f>D108/C108</f>
        <v>0.38434209877536402</v>
      </c>
      <c r="V108">
        <f>(E108-F108)/O108</f>
        <v>0.15422203487634489</v>
      </c>
      <c r="W108">
        <f>H108/K108</f>
        <v>1.1838205714634982</v>
      </c>
      <c r="X108">
        <f>(H108-I108)/K108</f>
        <v>1.1817941980482201</v>
      </c>
      <c r="Y108">
        <f>(H108-K108)/G108</f>
        <v>0.10501127500355406</v>
      </c>
      <c r="Z108">
        <f>J108/N108</f>
        <v>2.8287463150384626</v>
      </c>
      <c r="AA108">
        <f>J108/G108</f>
        <v>0.73881790076500431</v>
      </c>
      <c r="AB108">
        <f>C108/G108</f>
        <v>0.27458989379156867</v>
      </c>
      <c r="AC108">
        <f>C108/(G108-K108)</f>
        <v>0.64047356672600375</v>
      </c>
      <c r="AD108">
        <f>Q108/E108</f>
        <v>0.72377313094859008</v>
      </c>
      <c r="AE108">
        <f>Q108/J108</f>
        <v>3.9459800424767696E-2</v>
      </c>
      <c r="AF108">
        <f>Q108/G108</f>
        <v>2.9153606914432896E-2</v>
      </c>
      <c r="AG108">
        <f>Q108/K108</f>
        <v>5.103292654100116E-2</v>
      </c>
      <c r="AH108">
        <f>Q108/L108</f>
        <v>8.5202624887280212E-2</v>
      </c>
      <c r="AI108" s="1">
        <f>R108</f>
        <v>1.9</v>
      </c>
      <c r="AJ108" s="1">
        <f>P108</f>
        <v>368813</v>
      </c>
    </row>
    <row r="109" spans="1:36" x14ac:dyDescent="0.25">
      <c r="A109" t="s">
        <v>30</v>
      </c>
      <c r="B109">
        <v>2020</v>
      </c>
      <c r="C109" s="1">
        <v>713243</v>
      </c>
      <c r="D109" s="1">
        <v>199077</v>
      </c>
      <c r="E109" s="1">
        <v>16854</v>
      </c>
      <c r="G109" s="1">
        <v>2448950</v>
      </c>
      <c r="H109" s="1">
        <v>1316556</v>
      </c>
      <c r="I109" s="1">
        <v>4040</v>
      </c>
      <c r="J109" s="1">
        <v>1582846</v>
      </c>
      <c r="K109" s="1">
        <v>1077691</v>
      </c>
      <c r="L109" s="1">
        <f>67857+920811</f>
        <v>988668</v>
      </c>
      <c r="M109" s="1">
        <v>203571</v>
      </c>
      <c r="N109" s="1">
        <v>866103</v>
      </c>
      <c r="O109" s="1">
        <v>866103</v>
      </c>
      <c r="P109" s="1">
        <v>344716</v>
      </c>
      <c r="Q109" s="1">
        <v>273064</v>
      </c>
      <c r="R109" s="1">
        <v>1.8</v>
      </c>
      <c r="T109">
        <f>E109/G109</f>
        <v>6.8821331591090058E-3</v>
      </c>
      <c r="U109">
        <f>D109/C109</f>
        <v>0.27911525244551999</v>
      </c>
      <c r="V109">
        <f>(E109-F109)/O109</f>
        <v>1.9459579287913795E-2</v>
      </c>
      <c r="W109">
        <f>H109/K109</f>
        <v>1.2216451654509501</v>
      </c>
      <c r="X109">
        <f>(H109-I109)/K109</f>
        <v>1.2178964100099194</v>
      </c>
      <c r="Y109">
        <f>(H109-K109)/G109</f>
        <v>9.7537720247452997E-2</v>
      </c>
      <c r="Z109">
        <f>J109/N109</f>
        <v>1.8275493792308768</v>
      </c>
      <c r="AA109">
        <f>J109/G109</f>
        <v>0.64633659323383486</v>
      </c>
      <c r="AB109">
        <f>C109/G109</f>
        <v>0.29124441086996466</v>
      </c>
      <c r="AC109">
        <f>C109/(G109-K109)</f>
        <v>0.52013733364739989</v>
      </c>
      <c r="AD109">
        <f>Q109/E109</f>
        <v>16.201732526403227</v>
      </c>
      <c r="AE109">
        <f>Q109/J109</f>
        <v>0.17251457185348418</v>
      </c>
      <c r="AF109">
        <f>Q109/G109</f>
        <v>0.11150248065497458</v>
      </c>
      <c r="AG109">
        <f>Q109/K109</f>
        <v>0.25337875142318161</v>
      </c>
      <c r="AH109">
        <f>Q109/L109</f>
        <v>0.2761938284641558</v>
      </c>
      <c r="AI109" s="1">
        <f>R109</f>
        <v>1.8</v>
      </c>
      <c r="AJ109" s="1">
        <f>P109</f>
        <v>344716</v>
      </c>
    </row>
    <row r="110" spans="1:36" x14ac:dyDescent="0.25">
      <c r="A110" t="s">
        <v>30</v>
      </c>
      <c r="B110">
        <v>2021</v>
      </c>
      <c r="C110" s="1">
        <v>647159</v>
      </c>
      <c r="D110" s="1">
        <v>45692</v>
      </c>
      <c r="E110" s="1">
        <v>-4232</v>
      </c>
      <c r="G110" s="1">
        <v>2499977</v>
      </c>
      <c r="H110" s="1">
        <v>1397957</v>
      </c>
      <c r="I110" s="1">
        <v>4487</v>
      </c>
      <c r="J110" s="1">
        <v>1621542</v>
      </c>
      <c r="K110" s="1">
        <v>1270882</v>
      </c>
      <c r="L110" s="1">
        <f>64285+481000+M110</f>
        <v>684570</v>
      </c>
      <c r="M110" s="1">
        <v>139285</v>
      </c>
      <c r="N110" s="1">
        <v>878435</v>
      </c>
      <c r="O110" s="1">
        <v>878435</v>
      </c>
      <c r="P110" s="1">
        <v>307164</v>
      </c>
      <c r="Q110" s="1">
        <v>107135</v>
      </c>
      <c r="R110" s="1">
        <v>2.5</v>
      </c>
      <c r="T110">
        <f>E110/G110</f>
        <v>-1.69281557390328E-3</v>
      </c>
      <c r="U110">
        <f>D110/C110</f>
        <v>7.0603978311357798E-2</v>
      </c>
      <c r="V110">
        <f>(E110-F110)/O110</f>
        <v>-4.8176586770791235E-3</v>
      </c>
      <c r="W110">
        <f>H110/K110</f>
        <v>1.0999896135125056</v>
      </c>
      <c r="X110">
        <f>(H110-I110)/K110</f>
        <v>1.0964589946194847</v>
      </c>
      <c r="Y110">
        <f>(H110-K110)/G110</f>
        <v>5.0830467640302288E-2</v>
      </c>
      <c r="Z110">
        <f>J110/N110</f>
        <v>1.8459442075964643</v>
      </c>
      <c r="AA110">
        <f>J110/G110</f>
        <v>0.64862276732945945</v>
      </c>
      <c r="AB110">
        <f>C110/G110</f>
        <v>0.25886598156703039</v>
      </c>
      <c r="AC110">
        <f>C110/(G110-K110)</f>
        <v>0.52653293683563918</v>
      </c>
      <c r="AD110">
        <f>Q110/E110</f>
        <v>-25.315453686200378</v>
      </c>
      <c r="AE110">
        <f>Q110/J110</f>
        <v>6.6069827361856806E-2</v>
      </c>
      <c r="AF110">
        <f>Q110/G110</f>
        <v>4.2854394260427198E-2</v>
      </c>
      <c r="AG110">
        <f>Q110/K110</f>
        <v>8.4299722554887074E-2</v>
      </c>
      <c r="AH110">
        <f>Q110/L110</f>
        <v>0.15649970054194604</v>
      </c>
      <c r="AI110" s="1">
        <f>R110</f>
        <v>2.5</v>
      </c>
      <c r="AJ110" s="1">
        <f>P110</f>
        <v>307164</v>
      </c>
    </row>
    <row r="111" spans="1:36" x14ac:dyDescent="0.25">
      <c r="A111" t="s">
        <v>30</v>
      </c>
      <c r="B111">
        <v>2022</v>
      </c>
      <c r="C111" s="1">
        <v>711612</v>
      </c>
      <c r="D111" s="1">
        <v>240118</v>
      </c>
      <c r="E111" s="1">
        <v>119169</v>
      </c>
      <c r="G111" s="1">
        <v>2847396</v>
      </c>
      <c r="H111" s="1">
        <v>1794644</v>
      </c>
      <c r="I111" s="1">
        <v>4533</v>
      </c>
      <c r="J111" s="1">
        <v>1906873</v>
      </c>
      <c r="K111" s="1">
        <v>1597676</v>
      </c>
      <c r="L111" s="1">
        <f>64285+593000+M111</f>
        <v>732285</v>
      </c>
      <c r="M111" s="1">
        <v>75000</v>
      </c>
      <c r="N111" s="1">
        <v>940522</v>
      </c>
      <c r="O111" s="1">
        <v>940522</v>
      </c>
      <c r="P111" s="1">
        <v>414843</v>
      </c>
      <c r="Q111" s="1">
        <v>118631</v>
      </c>
      <c r="R111" s="1">
        <v>2.2000000000000002</v>
      </c>
      <c r="T111">
        <f>E111/G111</f>
        <v>4.185192365234762E-2</v>
      </c>
      <c r="U111">
        <f>D111/C111</f>
        <v>0.33742826146832827</v>
      </c>
      <c r="V111">
        <f>(E111-F111)/O111</f>
        <v>0.12670517010766361</v>
      </c>
      <c r="W111">
        <f>H111/K111</f>
        <v>1.1232840701118374</v>
      </c>
      <c r="X111">
        <f>(H111-I111)/K111</f>
        <v>1.1204468240118772</v>
      </c>
      <c r="Y111">
        <f>(H111-K111)/G111</f>
        <v>6.9174782854228914E-2</v>
      </c>
      <c r="Z111">
        <f>J111/N111</f>
        <v>2.0274624091727786</v>
      </c>
      <c r="AA111">
        <f>J111/G111</f>
        <v>0.66969013091259522</v>
      </c>
      <c r="AB111">
        <f>C111/G111</f>
        <v>0.24991676605572249</v>
      </c>
      <c r="AC111">
        <f>C111/(G111-K111)</f>
        <v>0.56941714944147492</v>
      </c>
      <c r="AD111">
        <f>Q111/E111</f>
        <v>0.99548540308301658</v>
      </c>
      <c r="AE111">
        <f>Q111/J111</f>
        <v>6.221232352652746E-2</v>
      </c>
      <c r="AF111">
        <f>Q111/G111</f>
        <v>4.1662979086856906E-2</v>
      </c>
      <c r="AG111">
        <f>Q111/K111</f>
        <v>7.425222635878613E-2</v>
      </c>
      <c r="AH111">
        <f>Q111/L111</f>
        <v>0.16200113343848366</v>
      </c>
      <c r="AI111" s="1">
        <f>R111</f>
        <v>2.2000000000000002</v>
      </c>
      <c r="AJ111" s="1">
        <f>P111</f>
        <v>414843</v>
      </c>
    </row>
    <row r="112" spans="1:36" x14ac:dyDescent="0.25">
      <c r="A112" t="s">
        <v>30</v>
      </c>
      <c r="B112">
        <v>2023</v>
      </c>
      <c r="C112" s="1">
        <v>1292102</v>
      </c>
      <c r="D112" s="1">
        <v>651792</v>
      </c>
      <c r="E112" s="1">
        <v>253135</v>
      </c>
      <c r="G112" s="1">
        <v>4007736</v>
      </c>
      <c r="H112" s="1">
        <v>2655103</v>
      </c>
      <c r="I112" s="1">
        <v>3559</v>
      </c>
      <c r="J112" s="1">
        <v>2746271</v>
      </c>
      <c r="K112" s="1">
        <v>2371453</v>
      </c>
      <c r="L112" s="1">
        <f>990000+64285+M112</f>
        <v>1064999</v>
      </c>
      <c r="M112" s="1">
        <v>10714</v>
      </c>
      <c r="N112" s="1">
        <v>1261465</v>
      </c>
      <c r="O112" s="1">
        <v>1261465</v>
      </c>
      <c r="P112" s="1">
        <v>539151</v>
      </c>
      <c r="Q112" s="1">
        <v>63080</v>
      </c>
      <c r="R112" s="1">
        <v>4</v>
      </c>
      <c r="T112">
        <f>E112/G112</f>
        <v>6.31615954743526E-2</v>
      </c>
      <c r="U112">
        <f>D112/C112</f>
        <v>0.50444314767719578</v>
      </c>
      <c r="V112">
        <f>(E112-F112)/O112</f>
        <v>0.20066747789276754</v>
      </c>
      <c r="W112">
        <f>H112/K112</f>
        <v>1.1196102136538233</v>
      </c>
      <c r="X112">
        <f>(H112-I112)/K112</f>
        <v>1.1181094459810084</v>
      </c>
      <c r="Y112">
        <f>(H112-K112)/G112</f>
        <v>7.0775619951014737E-2</v>
      </c>
      <c r="Z112">
        <f>J112/N112</f>
        <v>2.1770489074211334</v>
      </c>
      <c r="AA112">
        <f>J112/G112</f>
        <v>0.68524249102236279</v>
      </c>
      <c r="AB112">
        <f>C112/G112</f>
        <v>0.32240197458116004</v>
      </c>
      <c r="AC112">
        <f>C112/(G112-K112)</f>
        <v>0.78965680142127004</v>
      </c>
      <c r="AD112">
        <f>Q112/E112</f>
        <v>0.24919509352716929</v>
      </c>
      <c r="AE112">
        <f>Q112/J112</f>
        <v>2.296932822725798E-2</v>
      </c>
      <c r="AF112">
        <f>Q112/G112</f>
        <v>1.5739559691556531E-2</v>
      </c>
      <c r="AG112">
        <f>Q112/K112</f>
        <v>2.6599725990774432E-2</v>
      </c>
      <c r="AH112">
        <f>Q112/L112</f>
        <v>5.9230102563476585E-2</v>
      </c>
      <c r="AI112" s="1">
        <f>R112</f>
        <v>4</v>
      </c>
      <c r="AJ112" s="1">
        <f>P112</f>
        <v>539151</v>
      </c>
    </row>
    <row r="113" spans="1:36" x14ac:dyDescent="0.25">
      <c r="A113" s="15" t="s">
        <v>30</v>
      </c>
      <c r="B113" s="15">
        <v>2024</v>
      </c>
      <c r="C113" s="6">
        <v>1275474</v>
      </c>
      <c r="D113" s="6">
        <v>539707</v>
      </c>
      <c r="E113" s="6">
        <v>209211</v>
      </c>
      <c r="F113" s="6"/>
      <c r="G113" s="6">
        <v>3972344</v>
      </c>
      <c r="H113" s="6">
        <v>2612228</v>
      </c>
      <c r="I113" s="6">
        <v>4468</v>
      </c>
      <c r="J113" s="6">
        <v>2649698</v>
      </c>
      <c r="K113" s="6">
        <v>2237095</v>
      </c>
      <c r="L113" s="6">
        <f>886000+10585</f>
        <v>896585</v>
      </c>
      <c r="M113" s="6">
        <v>0</v>
      </c>
      <c r="N113" s="6">
        <v>1322645</v>
      </c>
      <c r="O113" s="6">
        <v>1322645</v>
      </c>
      <c r="P113" s="6">
        <v>600332</v>
      </c>
      <c r="Q113" s="6">
        <v>258476</v>
      </c>
      <c r="R113" s="6">
        <v>4.2</v>
      </c>
      <c r="S113" s="15"/>
      <c r="T113" s="15">
        <f>E113/G113</f>
        <v>5.2666888869644726E-2</v>
      </c>
      <c r="U113" s="15">
        <f>D113/C113</f>
        <v>0.42314229847099982</v>
      </c>
      <c r="V113" s="15">
        <f>(E113-F113)/O113</f>
        <v>0.15817623020538391</v>
      </c>
      <c r="W113" s="15">
        <f>H113/K113</f>
        <v>1.1676875590889078</v>
      </c>
      <c r="X113" s="15">
        <f>(H113-I113)/K113</f>
        <v>1.1656903260701936</v>
      </c>
      <c r="Y113" s="15">
        <f>(H113-K113)/G113</f>
        <v>9.4436181760693433E-2</v>
      </c>
      <c r="Z113" s="15">
        <f>J113/N113</f>
        <v>2.0033327158837029</v>
      </c>
      <c r="AA113" s="15">
        <f>J113/G113</f>
        <v>0.6670363895976783</v>
      </c>
      <c r="AB113" s="15">
        <f>C113/G113</f>
        <v>0.32108850593000005</v>
      </c>
      <c r="AC113" s="15">
        <f>C113/(G113-K113)</f>
        <v>0.73503802624291958</v>
      </c>
      <c r="AD113" s="15">
        <f>Q113/E113</f>
        <v>1.2354799699824579</v>
      </c>
      <c r="AE113" s="15">
        <f>Q113/J113</f>
        <v>9.7549230138679957E-2</v>
      </c>
      <c r="AF113" s="15">
        <f>Q113/G113</f>
        <v>6.5068886279738114E-2</v>
      </c>
      <c r="AG113" s="15">
        <f>Q113/K113</f>
        <v>0.11554091355083267</v>
      </c>
      <c r="AH113" s="15">
        <f>Q113/L113</f>
        <v>0.28828945387219285</v>
      </c>
      <c r="AI113" s="6">
        <f>R113</f>
        <v>4.2</v>
      </c>
      <c r="AJ113" s="6">
        <f>P113</f>
        <v>600332</v>
      </c>
    </row>
    <row r="114" spans="1:36" s="2" customFormat="1" x14ac:dyDescent="0.25">
      <c r="A114" s="2" t="s">
        <v>107</v>
      </c>
      <c r="B114" s="2">
        <v>2018</v>
      </c>
      <c r="C114" s="3">
        <v>44067.284</v>
      </c>
      <c r="D114" s="3">
        <v>485445.84700000001</v>
      </c>
      <c r="E114" s="3">
        <v>473655.06599999999</v>
      </c>
      <c r="F114" s="3">
        <v>0</v>
      </c>
      <c r="G114" s="3">
        <v>656065.89099999995</v>
      </c>
      <c r="H114" s="3">
        <v>48644.148000000001</v>
      </c>
      <c r="I114" s="3">
        <v>18514.152999999998</v>
      </c>
      <c r="J114" s="3">
        <v>121566.542</v>
      </c>
      <c r="K114" s="3">
        <v>114697.53</v>
      </c>
      <c r="L114" s="3">
        <v>17158.206999999999</v>
      </c>
      <c r="M114" s="3">
        <v>4624.1840000000002</v>
      </c>
      <c r="N114" s="3">
        <v>534499.34900000005</v>
      </c>
      <c r="O114" s="3">
        <v>534499.34900000005</v>
      </c>
      <c r="P114" s="3">
        <v>466579.76699999999</v>
      </c>
      <c r="Q114" s="3">
        <v>3668.741</v>
      </c>
      <c r="R114" s="3">
        <v>344.7</v>
      </c>
      <c r="T114" s="2">
        <f>E114/G114</f>
        <v>0.72196264505999141</v>
      </c>
      <c r="U114" s="2">
        <f>D114/C114</f>
        <v>11.016014669749104</v>
      </c>
      <c r="V114" s="2">
        <f>(E114-F114)/O114</f>
        <v>0.88616584264539477</v>
      </c>
      <c r="W114" s="2">
        <f>H114/K114</f>
        <v>0.42410806928449113</v>
      </c>
      <c r="X114" s="2">
        <f>(H114-I114)/K114</f>
        <v>0.26269087921945661</v>
      </c>
      <c r="Y114" s="2">
        <f>(H114-K114)/G114</f>
        <v>-0.10068101833387343</v>
      </c>
      <c r="Z114" s="2">
        <f>J114/N114</f>
        <v>0.22744001882778719</v>
      </c>
      <c r="AA114" s="2">
        <f>J114/G114</f>
        <v>0.18529623878891763</v>
      </c>
      <c r="AB114" s="2">
        <f>C114/G114</f>
        <v>6.7168991109766443E-2</v>
      </c>
      <c r="AC114" s="2">
        <f>C114/(G114-K114)</f>
        <v>8.1399814201554357E-2</v>
      </c>
      <c r="AD114" s="2">
        <f>Q114/E114</f>
        <v>7.7455964547838282E-3</v>
      </c>
      <c r="AE114" s="2">
        <f>Q114/J114</f>
        <v>3.0178871091027661E-2</v>
      </c>
      <c r="AF114" s="2">
        <f>Q114/G114</f>
        <v>5.5920313040630247E-3</v>
      </c>
      <c r="AG114" s="2">
        <f>Q114/K114</f>
        <v>3.19862249867107E-2</v>
      </c>
      <c r="AH114" s="2">
        <f>Q114/L114</f>
        <v>0.21381843685648508</v>
      </c>
      <c r="AI114" s="3">
        <f>R114</f>
        <v>344.7</v>
      </c>
      <c r="AJ114" s="3">
        <f>P114</f>
        <v>466579.76699999999</v>
      </c>
    </row>
    <row r="115" spans="1:36" x14ac:dyDescent="0.25">
      <c r="A115" t="s">
        <v>107</v>
      </c>
      <c r="B115">
        <v>2019</v>
      </c>
      <c r="C115" s="1">
        <v>151254.073</v>
      </c>
      <c r="D115" s="1">
        <v>21374.36</v>
      </c>
      <c r="E115" s="1">
        <v>15778.842000000001</v>
      </c>
      <c r="F115" s="1">
        <v>0</v>
      </c>
      <c r="G115" s="1">
        <v>699375.35900000005</v>
      </c>
      <c r="H115" s="1">
        <v>73217.538</v>
      </c>
      <c r="I115" s="1">
        <v>9401.7579999999998</v>
      </c>
      <c r="J115" s="1">
        <v>152078.47500000001</v>
      </c>
      <c r="K115" s="1">
        <v>153057.304</v>
      </c>
      <c r="L115" s="1">
        <v>30968.376</v>
      </c>
      <c r="M115" s="1">
        <v>6576.1360000000004</v>
      </c>
      <c r="N115" s="1">
        <v>547296.88500000001</v>
      </c>
      <c r="O115" s="1">
        <v>547296.88500000001</v>
      </c>
      <c r="P115" s="1">
        <v>479377.30300000001</v>
      </c>
      <c r="Q115" s="1">
        <v>3511.5390000000002</v>
      </c>
      <c r="R115" s="1">
        <v>371</v>
      </c>
      <c r="T115">
        <f>E115/G115</f>
        <v>2.2561335335807849E-2</v>
      </c>
      <c r="U115">
        <f>D115/C115</f>
        <v>0.14131427720296827</v>
      </c>
      <c r="V115">
        <f>(E115-F115)/O115</f>
        <v>2.8830498459716247E-2</v>
      </c>
      <c r="W115">
        <f>H115/K115</f>
        <v>0.47836683442431471</v>
      </c>
      <c r="X115">
        <f>(H115-I115)/K115</f>
        <v>0.41694044212355913</v>
      </c>
      <c r="Y115">
        <f>(H115-K115)/G115</f>
        <v>-0.11415867741488445</v>
      </c>
      <c r="Z115">
        <f>J115/N115</f>
        <v>0.27787199081171454</v>
      </c>
      <c r="AA115">
        <f>J115/G115</f>
        <v>0.21744900366156594</v>
      </c>
      <c r="AB115">
        <f>C115/G115</f>
        <v>0.21627023465091796</v>
      </c>
      <c r="AC115">
        <f>C115/(G115-K115)</f>
        <v>0.27686083521438803</v>
      </c>
      <c r="AD115">
        <f>Q115/E115</f>
        <v>0.22254732001245719</v>
      </c>
      <c r="AE115">
        <f>Q115/J115</f>
        <v>2.3090309131519104E-2</v>
      </c>
      <c r="AF115">
        <f>Q115/G115</f>
        <v>5.0209647148863872E-3</v>
      </c>
      <c r="AG115">
        <f>Q115/K115</f>
        <v>2.2942642449784691E-2</v>
      </c>
      <c r="AH115">
        <f>Q115/L115</f>
        <v>0.11339112519171171</v>
      </c>
      <c r="AI115" s="1">
        <f>R115</f>
        <v>371</v>
      </c>
      <c r="AJ115" s="1">
        <f>P115</f>
        <v>479377.30300000001</v>
      </c>
    </row>
    <row r="116" spans="1:36" x14ac:dyDescent="0.25">
      <c r="A116" t="s">
        <v>107</v>
      </c>
      <c r="B116">
        <v>2020</v>
      </c>
      <c r="C116" s="1">
        <v>402426.65100000001</v>
      </c>
      <c r="D116" s="1">
        <v>197511.399</v>
      </c>
      <c r="E116" s="1">
        <v>177522.14300000001</v>
      </c>
      <c r="F116" s="1">
        <v>0</v>
      </c>
      <c r="G116" s="1">
        <v>1083855.28</v>
      </c>
      <c r="H116" s="1">
        <v>283943.33799999999</v>
      </c>
      <c r="I116" s="1">
        <v>7042.0519999999997</v>
      </c>
      <c r="J116" s="1">
        <v>362214.35800000001</v>
      </c>
      <c r="K116" s="1">
        <v>360656.54</v>
      </c>
      <c r="L116" s="1">
        <v>33110.266000000003</v>
      </c>
      <c r="M116" s="1">
        <v>4004.3359999999998</v>
      </c>
      <c r="N116" s="1">
        <v>721640.92299999995</v>
      </c>
      <c r="O116" s="1">
        <v>721640.92299999995</v>
      </c>
      <c r="P116" s="1">
        <v>653721.34100000001</v>
      </c>
      <c r="Q116" s="1">
        <v>-2534.357</v>
      </c>
      <c r="R116" s="1">
        <v>292.5</v>
      </c>
      <c r="T116">
        <f>E116/G116</f>
        <v>0.16378768113765152</v>
      </c>
      <c r="U116">
        <f>D116/C116</f>
        <v>0.49080099071271499</v>
      </c>
      <c r="V116">
        <f>(E116-F116)/O116</f>
        <v>0.24599788806600151</v>
      </c>
      <c r="W116">
        <f>H116/K116</f>
        <v>0.787295685806779</v>
      </c>
      <c r="X116">
        <f>(H116-I116)/K116</f>
        <v>0.76777003960610279</v>
      </c>
      <c r="Y116">
        <f>(H116-K116)/G116</f>
        <v>-7.0778085797579895E-2</v>
      </c>
      <c r="Z116">
        <f>J116/N116</f>
        <v>0.50193156520864324</v>
      </c>
      <c r="AA116">
        <f>J116/G116</f>
        <v>0.33419070302448495</v>
      </c>
      <c r="AB116">
        <f>C116/G116</f>
        <v>0.37129186748991067</v>
      </c>
      <c r="AC116">
        <f>C116/(G116-K116)</f>
        <v>0.55645375018214216</v>
      </c>
      <c r="AD116">
        <f>Q116/E116</f>
        <v>-1.427628664892807E-2</v>
      </c>
      <c r="AE116">
        <f>Q116/J116</f>
        <v>-6.9968430130536129E-3</v>
      </c>
      <c r="AF116">
        <f>Q116/G116</f>
        <v>-2.3382798854843425E-3</v>
      </c>
      <c r="AG116">
        <f>Q116/K116</f>
        <v>-7.0270651407014556E-3</v>
      </c>
      <c r="AH116">
        <f>Q116/L116</f>
        <v>-7.6542936864354996E-2</v>
      </c>
      <c r="AI116" s="1">
        <f>R116</f>
        <v>292.5</v>
      </c>
      <c r="AJ116" s="1">
        <f>P116</f>
        <v>653721.34100000001</v>
      </c>
    </row>
    <row r="117" spans="1:36" x14ac:dyDescent="0.25">
      <c r="A117" t="s">
        <v>107</v>
      </c>
      <c r="B117">
        <v>2021</v>
      </c>
      <c r="C117" s="1">
        <v>35400</v>
      </c>
      <c r="D117" s="1">
        <v>215823.12599999999</v>
      </c>
      <c r="E117" s="1">
        <v>217832.283</v>
      </c>
      <c r="F117" s="1">
        <v>0</v>
      </c>
      <c r="G117" s="1">
        <v>1031179.365</v>
      </c>
      <c r="H117" s="1">
        <v>147968.897</v>
      </c>
      <c r="I117" s="1">
        <v>6092.6869999999999</v>
      </c>
      <c r="J117" s="1">
        <v>42778.332000000002</v>
      </c>
      <c r="K117" s="1">
        <v>39259.495000000003</v>
      </c>
      <c r="L117" s="1">
        <v>0</v>
      </c>
      <c r="M117" s="1">
        <v>0</v>
      </c>
      <c r="N117" s="1">
        <v>988401.03300000005</v>
      </c>
      <c r="O117" s="1">
        <v>988401.03300000005</v>
      </c>
      <c r="P117" s="1">
        <v>770505.00100000005</v>
      </c>
      <c r="Q117" s="1">
        <v>-35454.529000000002</v>
      </c>
      <c r="R117" s="1">
        <v>0.4</v>
      </c>
      <c r="T117">
        <f>E117/G117</f>
        <v>0.21124577391053592</v>
      </c>
      <c r="U117">
        <f>D117/C117</f>
        <v>6.0966984745762707</v>
      </c>
      <c r="V117">
        <f>(E117-F117)/O117</f>
        <v>0.22038856266553494</v>
      </c>
      <c r="W117">
        <f>H117/K117</f>
        <v>3.76899644277136</v>
      </c>
      <c r="X117">
        <f>(H117-I117)/K117</f>
        <v>3.613806290682037</v>
      </c>
      <c r="Y117">
        <f>(H117-K117)/G117</f>
        <v>0.10542239855623954</v>
      </c>
      <c r="Z117">
        <f>J117/N117</f>
        <v>4.3280339226436239E-2</v>
      </c>
      <c r="AA117">
        <f>J117/G117</f>
        <v>4.1484860395746961E-2</v>
      </c>
      <c r="AB117">
        <f>C117/G117</f>
        <v>3.4329624119272401E-2</v>
      </c>
      <c r="AC117">
        <f>C117/(G117-K117)</f>
        <v>3.5688366641954655E-2</v>
      </c>
      <c r="AD117">
        <f>Q117/E117</f>
        <v>-0.1627606730816846</v>
      </c>
      <c r="AE117">
        <f>Q117/J117</f>
        <v>-0.82879643367113986</v>
      </c>
      <c r="AF117">
        <f>Q117/G117</f>
        <v>-3.4382504347340193E-2</v>
      </c>
      <c r="AG117">
        <f>Q117/K117</f>
        <v>-0.90308163668432306</v>
      </c>
      <c r="AH117" t="e">
        <f>Q117/L117</f>
        <v>#DIV/0!</v>
      </c>
      <c r="AI117" s="1">
        <f>R117</f>
        <v>0.4</v>
      </c>
      <c r="AJ117" s="1">
        <f>P117</f>
        <v>770505.00100000005</v>
      </c>
    </row>
    <row r="118" spans="1:36" x14ac:dyDescent="0.25">
      <c r="A118" t="s">
        <v>107</v>
      </c>
      <c r="B118">
        <v>2022</v>
      </c>
      <c r="C118" s="1">
        <v>35400</v>
      </c>
      <c r="D118" s="1">
        <v>222606.81599999999</v>
      </c>
      <c r="E118" s="1">
        <v>235356.77799999999</v>
      </c>
      <c r="F118" s="1">
        <v>0</v>
      </c>
      <c r="G118" s="1">
        <v>1256255.568</v>
      </c>
      <c r="H118" s="1">
        <v>171184.87100000001</v>
      </c>
      <c r="I118" s="1">
        <v>0</v>
      </c>
      <c r="J118" s="1">
        <v>38227.904999999999</v>
      </c>
      <c r="K118" s="1">
        <v>37885.078999999998</v>
      </c>
      <c r="L118" s="1">
        <v>0</v>
      </c>
      <c r="M118" s="1">
        <v>0</v>
      </c>
      <c r="N118" s="1">
        <v>1218027.6629999999</v>
      </c>
      <c r="O118" s="1">
        <v>1218027.6629999999</v>
      </c>
      <c r="P118" s="1">
        <v>1046244.294</v>
      </c>
      <c r="Q118" s="1">
        <v>28322.918000000001</v>
      </c>
      <c r="R118" s="1">
        <v>0.4</v>
      </c>
      <c r="T118">
        <f>E118/G118</f>
        <v>0.18734784863457019</v>
      </c>
      <c r="U118">
        <f>D118/C118</f>
        <v>6.2883281355932201</v>
      </c>
      <c r="V118">
        <f>(E118-F118)/O118</f>
        <v>0.19322777729063778</v>
      </c>
      <c r="W118">
        <f>H118/K118</f>
        <v>4.5185301316119739</v>
      </c>
      <c r="X118">
        <f>(H118-I118)/K118</f>
        <v>4.5185301316119739</v>
      </c>
      <c r="Y118">
        <f>(H118-K118)/G118</f>
        <v>0.10610881686456336</v>
      </c>
      <c r="Z118">
        <f>J118/N118</f>
        <v>3.1385087680065274E-2</v>
      </c>
      <c r="AA118">
        <f>J118/G118</f>
        <v>3.0430038261131911E-2</v>
      </c>
      <c r="AB118">
        <f>C118/G118</f>
        <v>2.8178979581645128E-2</v>
      </c>
      <c r="AC118">
        <f>C118/(G118-K118)</f>
        <v>2.9055201451124443E-2</v>
      </c>
      <c r="AD118">
        <f>Q118/E118</f>
        <v>0.12034035408149581</v>
      </c>
      <c r="AE118">
        <f>Q118/J118</f>
        <v>0.74089642108297593</v>
      </c>
      <c r="AF118">
        <f>Q118/G118</f>
        <v>2.2545506441090657E-2</v>
      </c>
      <c r="AG118">
        <f>Q118/K118</f>
        <v>0.7476008694610351</v>
      </c>
      <c r="AH118" t="e">
        <f>Q118/L118</f>
        <v>#DIV/0!</v>
      </c>
      <c r="AI118" s="1">
        <f>R118</f>
        <v>0.4</v>
      </c>
      <c r="AJ118" s="1">
        <f>P118</f>
        <v>1046244.294</v>
      </c>
    </row>
    <row r="119" spans="1:36" x14ac:dyDescent="0.25">
      <c r="A119" t="s">
        <v>107</v>
      </c>
      <c r="B119">
        <v>2023</v>
      </c>
      <c r="C119" s="1">
        <v>55031.025000000001</v>
      </c>
      <c r="D119" s="1">
        <v>213696.34299999999</v>
      </c>
      <c r="E119" s="1">
        <v>147787.82</v>
      </c>
      <c r="F119" s="1">
        <v>0</v>
      </c>
      <c r="G119" s="1">
        <v>1449968.257</v>
      </c>
      <c r="H119" s="1">
        <v>178419.48</v>
      </c>
      <c r="I119" s="1">
        <v>0</v>
      </c>
      <c r="J119" s="1">
        <v>84487.267000000007</v>
      </c>
      <c r="K119" s="1">
        <v>70522.388000000006</v>
      </c>
      <c r="L119" s="1">
        <v>0</v>
      </c>
      <c r="M119" s="1">
        <v>0</v>
      </c>
      <c r="N119" s="1">
        <v>1365480.99</v>
      </c>
      <c r="O119" s="1">
        <v>1365480.99</v>
      </c>
      <c r="P119" s="1">
        <v>1193697.621</v>
      </c>
      <c r="Q119" s="1">
        <v>62559.311999999998</v>
      </c>
      <c r="R119" s="1">
        <v>0.3</v>
      </c>
      <c r="T119">
        <f>E119/G119</f>
        <v>0.10192486579380337</v>
      </c>
      <c r="U119">
        <f>D119/C119</f>
        <v>3.8831975780934478</v>
      </c>
      <c r="V119">
        <f>(E119-F119)/O119</f>
        <v>0.10823132733616453</v>
      </c>
      <c r="W119">
        <f>H119/K119</f>
        <v>2.5299693481735188</v>
      </c>
      <c r="X119">
        <f>(H119-I119)/K119</f>
        <v>2.5299693481735188</v>
      </c>
      <c r="Y119">
        <f>(H119-K119)/G119</f>
        <v>7.4413416624195802E-2</v>
      </c>
      <c r="Z119">
        <f>J119/N119</f>
        <v>6.1873631063878824E-2</v>
      </c>
      <c r="AA119">
        <f>J119/G119</f>
        <v>5.8268356284436926E-2</v>
      </c>
      <c r="AB119">
        <f>C119/G119</f>
        <v>3.7953261896822341E-2</v>
      </c>
      <c r="AC119">
        <f>C119/(G119-K119)</f>
        <v>3.989357338095012E-2</v>
      </c>
      <c r="AD119">
        <f>Q119/E119</f>
        <v>0.42330492458715474</v>
      </c>
      <c r="AE119">
        <f>Q119/J119</f>
        <v>0.74045846458733233</v>
      </c>
      <c r="AF119">
        <f>Q119/G119</f>
        <v>4.3145297628401802E-2</v>
      </c>
      <c r="AG119">
        <f>Q119/K119</f>
        <v>0.88708442487795491</v>
      </c>
      <c r="AH119" t="e">
        <f>Q119/L119</f>
        <v>#DIV/0!</v>
      </c>
      <c r="AI119" s="1">
        <f>R119</f>
        <v>0.3</v>
      </c>
      <c r="AJ119" s="1">
        <f>P119</f>
        <v>1193697.621</v>
      </c>
    </row>
    <row r="120" spans="1:36" x14ac:dyDescent="0.25">
      <c r="A120" t="s">
        <v>107</v>
      </c>
      <c r="B120">
        <v>2024</v>
      </c>
      <c r="C120" s="1">
        <v>29255.062000000002</v>
      </c>
      <c r="D120" s="1">
        <v>11679.476000000001</v>
      </c>
      <c r="E120" s="1">
        <v>18862.010999999999</v>
      </c>
      <c r="F120" s="1">
        <v>0</v>
      </c>
      <c r="G120" s="1">
        <v>1558372.915</v>
      </c>
      <c r="H120" s="1">
        <v>256868.995</v>
      </c>
      <c r="I120" s="1">
        <v>0</v>
      </c>
      <c r="J120" s="1">
        <v>174288.24100000001</v>
      </c>
      <c r="K120" s="1">
        <v>150282.883</v>
      </c>
      <c r="L120" s="1">
        <v>0</v>
      </c>
      <c r="M120" s="1">
        <v>0</v>
      </c>
      <c r="N120" s="1">
        <v>1384084.673</v>
      </c>
      <c r="O120" s="1">
        <v>1384084.673</v>
      </c>
      <c r="P120" s="1">
        <v>1212301.304</v>
      </c>
      <c r="Q120" s="1">
        <v>-8415.6859999999997</v>
      </c>
      <c r="R120" s="1">
        <v>0.3</v>
      </c>
      <c r="T120">
        <f>E120/G120</f>
        <v>1.2103656845190998E-2</v>
      </c>
      <c r="U120">
        <f>D120/C120</f>
        <v>0.39922923424329093</v>
      </c>
      <c r="V120">
        <f>(E120-F120)/O120</f>
        <v>1.3627786917917845E-2</v>
      </c>
      <c r="W120">
        <f>H120/K120</f>
        <v>1.709236540265201</v>
      </c>
      <c r="X120">
        <f>(H120-I120)/K120</f>
        <v>1.709236540265201</v>
      </c>
      <c r="Y120">
        <f>(H120-K120)/G120</f>
        <v>6.8395767774236491E-2</v>
      </c>
      <c r="Z120">
        <f>J120/N120</f>
        <v>0.12592310600639101</v>
      </c>
      <c r="AA120">
        <f>J120/G120</f>
        <v>0.11183988076435479</v>
      </c>
      <c r="AB120">
        <f>C120/G120</f>
        <v>1.8772824988427111E-2</v>
      </c>
      <c r="AC120">
        <f>C120/(G120-K120)</f>
        <v>2.0776414387684551E-2</v>
      </c>
      <c r="AD120">
        <f>Q120/E120</f>
        <v>-0.4461711956376232</v>
      </c>
      <c r="AE120">
        <f>Q120/J120</f>
        <v>-4.8286022922223421E-2</v>
      </c>
      <c r="AF120">
        <f>Q120/G120</f>
        <v>-5.400303046206369E-3</v>
      </c>
      <c r="AG120">
        <f>Q120/K120</f>
        <v>-5.5998965630703265E-2</v>
      </c>
      <c r="AH120" t="e">
        <f>Q120/L120</f>
        <v>#DIV/0!</v>
      </c>
      <c r="AI120" s="1">
        <f>R120</f>
        <v>0.3</v>
      </c>
      <c r="AJ120" s="1">
        <f>P120</f>
        <v>1212301.304</v>
      </c>
    </row>
    <row r="121" spans="1:36" s="2" customFormat="1" x14ac:dyDescent="0.25">
      <c r="A121" s="2" t="s">
        <v>202</v>
      </c>
      <c r="B121" s="2">
        <v>2018</v>
      </c>
      <c r="C121" s="3">
        <v>567392</v>
      </c>
      <c r="D121" s="3">
        <v>34384</v>
      </c>
      <c r="E121" s="3">
        <v>24775</v>
      </c>
      <c r="F121" s="3"/>
      <c r="G121" s="3">
        <v>1884079</v>
      </c>
      <c r="H121" s="3">
        <v>251341</v>
      </c>
      <c r="I121" s="3">
        <v>89062</v>
      </c>
      <c r="J121" s="3">
        <v>514087</v>
      </c>
      <c r="K121" s="3">
        <v>107292</v>
      </c>
      <c r="L121" s="3">
        <v>0</v>
      </c>
      <c r="M121" s="3">
        <v>0</v>
      </c>
      <c r="N121" s="3">
        <v>1369992</v>
      </c>
      <c r="O121" s="3">
        <v>1369992</v>
      </c>
      <c r="P121" s="3">
        <v>415211</v>
      </c>
      <c r="Q121" s="3">
        <v>64504</v>
      </c>
      <c r="R121" s="3">
        <v>85</v>
      </c>
      <c r="T121" s="2">
        <f>E121/G121</f>
        <v>1.3149660921861556E-2</v>
      </c>
      <c r="U121" s="2">
        <f>D121/C121</f>
        <v>6.0600078957757597E-2</v>
      </c>
      <c r="V121" s="2">
        <f>(E121-F121)/O121</f>
        <v>1.8084047206115072E-2</v>
      </c>
      <c r="W121" s="2">
        <f>H121/K121</f>
        <v>2.34258845021064</v>
      </c>
      <c r="X121" s="2">
        <f>(H121-I121)/K121</f>
        <v>1.5124986019460911</v>
      </c>
      <c r="Y121" s="2">
        <f>(H121-K121)/G121</f>
        <v>7.6455923557345526E-2</v>
      </c>
      <c r="Z121" s="2">
        <f>J121/N121</f>
        <v>0.37524817663168836</v>
      </c>
      <c r="AA121" s="2">
        <f>J121/G121</f>
        <v>0.27285851601764044</v>
      </c>
      <c r="AB121" s="2">
        <f>C121/G121</f>
        <v>0.30115085407777487</v>
      </c>
      <c r="AC121" s="2">
        <f>C121/(G121-K121)</f>
        <v>0.31933596992774033</v>
      </c>
      <c r="AD121" s="2">
        <f>Q121/E121</f>
        <v>2.6035923309788092</v>
      </c>
      <c r="AE121" s="2">
        <f>Q121/J121</f>
        <v>0.12547292578882563</v>
      </c>
      <c r="AF121" s="2">
        <f>Q121/G121</f>
        <v>3.4236356331130487E-2</v>
      </c>
      <c r="AG121" s="2">
        <f>Q121/K121</f>
        <v>0.60120046228982593</v>
      </c>
      <c r="AH121" s="2" t="e">
        <f>Q121/L121</f>
        <v>#DIV/0!</v>
      </c>
      <c r="AI121" s="3">
        <f>R121</f>
        <v>85</v>
      </c>
      <c r="AJ121" s="3">
        <f>P121</f>
        <v>415211</v>
      </c>
    </row>
    <row r="122" spans="1:36" x14ac:dyDescent="0.25">
      <c r="A122" t="s">
        <v>202</v>
      </c>
      <c r="B122">
        <v>2019</v>
      </c>
      <c r="C122" s="1">
        <v>478738</v>
      </c>
      <c r="D122" s="1">
        <v>5976</v>
      </c>
      <c r="E122" s="1">
        <v>557</v>
      </c>
      <c r="G122" s="1">
        <v>1910611</v>
      </c>
      <c r="H122" s="1">
        <v>229150</v>
      </c>
      <c r="I122" s="1">
        <v>96138</v>
      </c>
      <c r="J122" s="1">
        <v>545530</v>
      </c>
      <c r="K122" s="1">
        <v>146061</v>
      </c>
      <c r="L122" s="1">
        <v>0</v>
      </c>
      <c r="M122" s="1">
        <v>0</v>
      </c>
      <c r="N122" s="1">
        <v>1365081</v>
      </c>
      <c r="O122" s="1">
        <v>1365081</v>
      </c>
      <c r="P122" s="1">
        <v>409569</v>
      </c>
      <c r="Q122" s="1">
        <v>-12850</v>
      </c>
      <c r="R122" s="1">
        <v>84.9</v>
      </c>
      <c r="T122">
        <f>E122/G122</f>
        <v>2.9152977764704589E-4</v>
      </c>
      <c r="U122">
        <f>D122/C122</f>
        <v>1.2482819412705907E-2</v>
      </c>
      <c r="V122">
        <f>(E122-F122)/O122</f>
        <v>4.0803439502857337E-4</v>
      </c>
      <c r="W122">
        <f>H122/K122</f>
        <v>1.5688650632270078</v>
      </c>
      <c r="X122">
        <f>(H122-I122)/K122</f>
        <v>0.91066061440083257</v>
      </c>
      <c r="Y122">
        <f>(H122-K122)/G122</f>
        <v>4.3488182576149725E-2</v>
      </c>
      <c r="Z122">
        <f>J122/N122</f>
        <v>0.39963196323148592</v>
      </c>
      <c r="AA122">
        <f>J122/G122</f>
        <v>0.2855264624771866</v>
      </c>
      <c r="AB122">
        <f>C122/G122</f>
        <v>0.25056801201291107</v>
      </c>
      <c r="AC122">
        <f>C122/(G122-K122)</f>
        <v>0.27130883228018476</v>
      </c>
      <c r="AD122">
        <f>Q122/E122</f>
        <v>-23.070017953321365</v>
      </c>
      <c r="AE122">
        <f>Q122/J122</f>
        <v>-2.3555074881308084E-2</v>
      </c>
      <c r="AF122">
        <f>Q122/G122</f>
        <v>-6.7255972042451345E-3</v>
      </c>
      <c r="AG122">
        <f>Q122/K122</f>
        <v>-8.7976941141030121E-2</v>
      </c>
      <c r="AH122" t="e">
        <f>Q122/L122</f>
        <v>#DIV/0!</v>
      </c>
      <c r="AI122" s="1">
        <f>R122</f>
        <v>84.9</v>
      </c>
      <c r="AJ122" s="1">
        <f>P122</f>
        <v>409569</v>
      </c>
    </row>
    <row r="123" spans="1:36" x14ac:dyDescent="0.25">
      <c r="A123" t="s">
        <v>202</v>
      </c>
      <c r="B123">
        <v>2020</v>
      </c>
      <c r="C123" s="1">
        <v>555489</v>
      </c>
      <c r="D123" s="1">
        <v>32961</v>
      </c>
      <c r="E123" s="1">
        <v>13696</v>
      </c>
      <c r="G123" s="1">
        <v>2333040</v>
      </c>
      <c r="H123" s="1">
        <v>384358</v>
      </c>
      <c r="I123" s="1">
        <v>153287</v>
      </c>
      <c r="J123" s="1">
        <v>687335</v>
      </c>
      <c r="K123" s="1">
        <v>186576</v>
      </c>
      <c r="L123" s="1">
        <v>0</v>
      </c>
      <c r="M123" s="1">
        <v>0</v>
      </c>
      <c r="N123" s="1">
        <v>1645705</v>
      </c>
      <c r="O123" s="1">
        <v>1645705</v>
      </c>
      <c r="P123" s="1">
        <v>430520</v>
      </c>
      <c r="Q123" s="1">
        <v>57739</v>
      </c>
      <c r="R123" s="1">
        <v>58</v>
      </c>
      <c r="T123">
        <f>E123/G123</f>
        <v>5.8704522854301682E-3</v>
      </c>
      <c r="U123">
        <f>D123/C123</f>
        <v>5.9336908561645682E-2</v>
      </c>
      <c r="V123">
        <f>(E123-F123)/O123</f>
        <v>8.3222691794701958E-3</v>
      </c>
      <c r="W123">
        <f>H123/K123</f>
        <v>2.0600613154960983</v>
      </c>
      <c r="X123">
        <f>(H123-I123)/K123</f>
        <v>1.2384819054969556</v>
      </c>
      <c r="Y123">
        <f>(H123-K123)/G123</f>
        <v>8.4774371635291293E-2</v>
      </c>
      <c r="Z123">
        <f>J123/N123</f>
        <v>0.41765383224818542</v>
      </c>
      <c r="AA123">
        <f>J123/G123</f>
        <v>0.294609179439701</v>
      </c>
      <c r="AB123">
        <f>C123/G123</f>
        <v>0.2380966464355519</v>
      </c>
      <c r="AC123">
        <f>C123/(G123-K123)</f>
        <v>0.25879260029518314</v>
      </c>
      <c r="AD123">
        <f>Q123/E123</f>
        <v>4.2157564252336446</v>
      </c>
      <c r="AE123">
        <f>Q123/J123</f>
        <v>8.4004160998639679E-2</v>
      </c>
      <c r="AF123">
        <f>Q123/G123</f>
        <v>2.4748396941329767E-2</v>
      </c>
      <c r="AG123">
        <f>Q123/K123</f>
        <v>0.3094663836720693</v>
      </c>
      <c r="AH123" t="e">
        <f>Q123/L123</f>
        <v>#DIV/0!</v>
      </c>
      <c r="AI123" s="1">
        <f>R123</f>
        <v>58</v>
      </c>
      <c r="AJ123" s="1">
        <f>P123</f>
        <v>430520</v>
      </c>
    </row>
    <row r="124" spans="1:36" x14ac:dyDescent="0.25">
      <c r="A124" t="s">
        <v>202</v>
      </c>
      <c r="B124">
        <v>2021</v>
      </c>
      <c r="C124" s="1">
        <v>509364</v>
      </c>
      <c r="D124" s="1">
        <v>96149</v>
      </c>
      <c r="E124" s="1">
        <v>61671</v>
      </c>
      <c r="G124" s="1">
        <v>2415291</v>
      </c>
      <c r="H124" s="1">
        <v>488180</v>
      </c>
      <c r="I124" s="1">
        <v>147899</v>
      </c>
      <c r="J124" s="1">
        <v>645315</v>
      </c>
      <c r="K124" s="1">
        <v>200445</v>
      </c>
      <c r="L124" s="1">
        <v>0</v>
      </c>
      <c r="M124" s="1">
        <v>0</v>
      </c>
      <c r="N124" s="1">
        <v>1769976</v>
      </c>
      <c r="O124" s="1">
        <v>1769976</v>
      </c>
      <c r="P124" s="1">
        <v>490846</v>
      </c>
      <c r="Q124" s="1">
        <v>128003</v>
      </c>
      <c r="R124" s="1">
        <v>70.099999999999994</v>
      </c>
      <c r="T124">
        <f>E124/G124</f>
        <v>2.5533569246935464E-2</v>
      </c>
      <c r="U124">
        <f>D124/C124</f>
        <v>0.18876284935723767</v>
      </c>
      <c r="V124">
        <f>(E124-F124)/O124</f>
        <v>3.4842845326716297E-2</v>
      </c>
      <c r="W124">
        <f>H124/K124</f>
        <v>2.4354810546533963</v>
      </c>
      <c r="X124">
        <f>(H124-I124)/K124</f>
        <v>1.6976277781935194</v>
      </c>
      <c r="Y124">
        <f>(H124-K124)/G124</f>
        <v>0.11913057267219561</v>
      </c>
      <c r="Z124">
        <f>J124/N124</f>
        <v>0.36458968935172004</v>
      </c>
      <c r="AA124">
        <f>J124/G124</f>
        <v>0.26717898588617273</v>
      </c>
      <c r="AB124">
        <f>C124/G124</f>
        <v>0.21089135843258638</v>
      </c>
      <c r="AC124">
        <f>C124/(G124-K124)</f>
        <v>0.22997716319780245</v>
      </c>
      <c r="AD124">
        <f>Q124/E124</f>
        <v>2.0755784728640689</v>
      </c>
      <c r="AE124">
        <f>Q124/J124</f>
        <v>0.19835739135151051</v>
      </c>
      <c r="AF124">
        <f>Q124/G124</f>
        <v>5.2996926664323263E-2</v>
      </c>
      <c r="AG124">
        <f>Q124/K124</f>
        <v>0.63859412806505522</v>
      </c>
      <c r="AH124" t="e">
        <f>Q124/L124</f>
        <v>#DIV/0!</v>
      </c>
      <c r="AI124" s="1">
        <f>R124</f>
        <v>70.099999999999994</v>
      </c>
      <c r="AJ124" s="1">
        <f>P124</f>
        <v>490846</v>
      </c>
    </row>
    <row r="125" spans="1:36" x14ac:dyDescent="0.25">
      <c r="A125" t="s">
        <v>202</v>
      </c>
      <c r="B125">
        <v>2022</v>
      </c>
      <c r="C125" s="1">
        <v>652237</v>
      </c>
      <c r="D125" s="1">
        <v>110160</v>
      </c>
      <c r="E125" s="1">
        <v>49888</v>
      </c>
      <c r="G125" s="1">
        <v>2650898</v>
      </c>
      <c r="H125" s="1">
        <v>528253</v>
      </c>
      <c r="I125" s="1">
        <v>65702</v>
      </c>
      <c r="J125" s="1">
        <v>667625</v>
      </c>
      <c r="K125" s="1">
        <v>178070</v>
      </c>
      <c r="L125" s="1">
        <v>0</v>
      </c>
      <c r="M125" s="1">
        <v>0</v>
      </c>
      <c r="N125" s="1">
        <v>1983273</v>
      </c>
      <c r="O125" s="1">
        <v>1983273</v>
      </c>
      <c r="P125" s="1">
        <v>540019</v>
      </c>
      <c r="Q125" s="1">
        <v>135637</v>
      </c>
      <c r="R125" s="1">
        <v>115</v>
      </c>
      <c r="T125">
        <f>E125/G125</f>
        <v>1.881928312594449E-2</v>
      </c>
      <c r="U125">
        <f>D125/C125</f>
        <v>0.16889566215961377</v>
      </c>
      <c r="V125">
        <f>(E125-F125)/O125</f>
        <v>2.5154378645804183E-2</v>
      </c>
      <c r="W125">
        <f>H125/K125</f>
        <v>2.9665468635929693</v>
      </c>
      <c r="X125">
        <f>(H125-I125)/K125</f>
        <v>2.5975796035267029</v>
      </c>
      <c r="Y125">
        <f>(H125-K125)/G125</f>
        <v>0.13209976392905348</v>
      </c>
      <c r="Z125">
        <f>J125/N125</f>
        <v>0.3366278873357324</v>
      </c>
      <c r="AA125">
        <f>J125/G125</f>
        <v>0.25184861884538751</v>
      </c>
      <c r="AB125">
        <f>C125/G125</f>
        <v>0.24604379346168731</v>
      </c>
      <c r="AC125">
        <f>C125/(G125-K125)</f>
        <v>0.26376157177126758</v>
      </c>
      <c r="AD125">
        <f>Q125/E125</f>
        <v>2.7188301796023091</v>
      </c>
      <c r="AE125">
        <f>Q125/J125</f>
        <v>0.2031634525369781</v>
      </c>
      <c r="AF125">
        <f>Q125/G125</f>
        <v>5.1166434921298368E-2</v>
      </c>
      <c r="AG125">
        <f>Q125/K125</f>
        <v>0.76170607064637497</v>
      </c>
      <c r="AH125" t="e">
        <f>Q125/L125</f>
        <v>#DIV/0!</v>
      </c>
      <c r="AI125" s="1">
        <f>R125</f>
        <v>115</v>
      </c>
      <c r="AJ125" s="1">
        <f>P125</f>
        <v>540019</v>
      </c>
    </row>
    <row r="126" spans="1:36" x14ac:dyDescent="0.25">
      <c r="A126" t="s">
        <v>202</v>
      </c>
      <c r="B126">
        <v>2023</v>
      </c>
      <c r="C126" s="1">
        <v>232282</v>
      </c>
      <c r="D126" s="1">
        <v>78388</v>
      </c>
      <c r="E126" s="1">
        <v>31006</v>
      </c>
      <c r="G126" s="1">
        <v>2555180</v>
      </c>
      <c r="H126" s="1">
        <v>409441</v>
      </c>
      <c r="I126" s="1">
        <v>44421</v>
      </c>
      <c r="J126" s="1">
        <v>655443</v>
      </c>
      <c r="K126" s="1">
        <v>51527</v>
      </c>
      <c r="L126" s="1">
        <v>0</v>
      </c>
      <c r="M126" s="1">
        <v>0</v>
      </c>
      <c r="N126" s="1">
        <v>1899737</v>
      </c>
      <c r="O126" s="1">
        <v>1899737</v>
      </c>
      <c r="P126" s="1">
        <v>575482</v>
      </c>
      <c r="Q126" s="1">
        <v>-162235</v>
      </c>
      <c r="R126" s="1">
        <v>98.2</v>
      </c>
      <c r="T126">
        <f>E126/G126</f>
        <v>1.2134565862287588E-2</v>
      </c>
      <c r="U126">
        <f>D126/C126</f>
        <v>0.33746911082219028</v>
      </c>
      <c r="V126">
        <f>(E126-F126)/O126</f>
        <v>1.6321206567014277E-2</v>
      </c>
      <c r="W126">
        <f>H126/K126</f>
        <v>7.9461447396510572</v>
      </c>
      <c r="X126">
        <f>(H126-I126)/K126</f>
        <v>7.0840530207464045</v>
      </c>
      <c r="Y126">
        <f>(H126-K126)/G126</f>
        <v>0.14007388911935753</v>
      </c>
      <c r="Z126">
        <f>J126/N126</f>
        <v>0.34501775772120036</v>
      </c>
      <c r="AA126">
        <f>J126/G126</f>
        <v>0.25651539226199327</v>
      </c>
      <c r="AB126">
        <f>C126/G126</f>
        <v>9.0906315797712883E-2</v>
      </c>
      <c r="AC126">
        <f>C126/(G126-K126)</f>
        <v>9.2777233905816825E-2</v>
      </c>
      <c r="AD126">
        <f>Q126/E126</f>
        <v>-5.2323743791524224</v>
      </c>
      <c r="AE126">
        <f>Q126/J126</f>
        <v>-0.24751961650364715</v>
      </c>
      <c r="AF126">
        <f>Q126/G126</f>
        <v>-6.3492591519971192E-2</v>
      </c>
      <c r="AG126">
        <f>Q126/K126</f>
        <v>-3.1485434820579501</v>
      </c>
      <c r="AH126" t="e">
        <f>Q126/L126</f>
        <v>#DIV/0!</v>
      </c>
      <c r="AI126" s="1">
        <f>R126</f>
        <v>98.2</v>
      </c>
      <c r="AJ126" s="1">
        <f>P126</f>
        <v>575482</v>
      </c>
    </row>
    <row r="127" spans="1:36" x14ac:dyDescent="0.25">
      <c r="A127" t="s">
        <v>202</v>
      </c>
      <c r="B127">
        <v>2024</v>
      </c>
      <c r="C127" s="1">
        <v>172743</v>
      </c>
      <c r="D127" s="1">
        <v>33254</v>
      </c>
      <c r="E127" s="1">
        <v>5164</v>
      </c>
      <c r="G127" s="1">
        <v>2681708</v>
      </c>
      <c r="H127" s="1">
        <v>478588</v>
      </c>
      <c r="I127" s="1">
        <v>47258</v>
      </c>
      <c r="J127" s="1">
        <v>724193</v>
      </c>
      <c r="K127" s="1">
        <v>73058</v>
      </c>
      <c r="L127" s="1">
        <v>0</v>
      </c>
      <c r="M127" s="1">
        <v>0</v>
      </c>
      <c r="N127" s="1">
        <v>1957515</v>
      </c>
      <c r="O127" s="1">
        <v>1957515</v>
      </c>
      <c r="P127" s="1">
        <v>583246</v>
      </c>
      <c r="Q127" s="1">
        <v>-21705</v>
      </c>
      <c r="R127" s="1">
        <v>98.2</v>
      </c>
      <c r="T127">
        <f>E127/G127</f>
        <v>1.9256384363994887E-3</v>
      </c>
      <c r="U127">
        <f>D127/C127</f>
        <v>0.1925056297505543</v>
      </c>
      <c r="V127">
        <f>(E127-F127)/O127</f>
        <v>2.6380385335489126E-3</v>
      </c>
      <c r="W127">
        <f>H127/K127</f>
        <v>6.5507952585616911</v>
      </c>
      <c r="X127">
        <f>(H127-I127)/K127</f>
        <v>5.9039393358701302</v>
      </c>
      <c r="Y127">
        <f>(H127-K127)/G127</f>
        <v>0.15122078913886225</v>
      </c>
      <c r="Z127">
        <f>J127/N127</f>
        <v>0.36995527492765062</v>
      </c>
      <c r="AA127">
        <f>J127/G127</f>
        <v>0.27004916269780305</v>
      </c>
      <c r="AB127">
        <f>C127/G127</f>
        <v>6.4415290553632237E-2</v>
      </c>
      <c r="AC127">
        <f>C127/(G127-K127)</f>
        <v>6.6219308837904667E-2</v>
      </c>
      <c r="AD127">
        <f>Q127/E127</f>
        <v>-4.2031371030209144</v>
      </c>
      <c r="AE127">
        <f>Q127/J127</f>
        <v>-2.9971292183161118E-2</v>
      </c>
      <c r="AF127">
        <f>Q127/G127</f>
        <v>-8.0937223590338697E-3</v>
      </c>
      <c r="AG127">
        <f>Q127/K127</f>
        <v>-0.29709272085192584</v>
      </c>
      <c r="AH127" t="e">
        <f>Q127/L127</f>
        <v>#DIV/0!</v>
      </c>
      <c r="AI127" s="1">
        <f>R127</f>
        <v>98.2</v>
      </c>
      <c r="AJ127" s="1">
        <f>P127</f>
        <v>583246</v>
      </c>
    </row>
    <row r="128" spans="1:36" s="2" customFormat="1" x14ac:dyDescent="0.25">
      <c r="A128" s="2" t="s">
        <v>36</v>
      </c>
      <c r="B128" s="2">
        <v>2018</v>
      </c>
      <c r="C128" s="3">
        <v>2358251</v>
      </c>
      <c r="D128" s="3">
        <f>-456798+251503</f>
        <v>-205295</v>
      </c>
      <c r="E128" s="3">
        <v>-719248</v>
      </c>
      <c r="F128" s="3"/>
      <c r="G128" s="3">
        <v>5784278</v>
      </c>
      <c r="H128" s="3">
        <v>469312</v>
      </c>
      <c r="I128" s="3">
        <v>309620</v>
      </c>
      <c r="J128" s="3">
        <v>4498905</v>
      </c>
      <c r="K128" s="3">
        <v>1341383</v>
      </c>
      <c r="L128" s="3">
        <f>208870+M128</f>
        <v>1959047</v>
      </c>
      <c r="M128" s="3">
        <v>1750177</v>
      </c>
      <c r="N128" s="3">
        <v>1285372</v>
      </c>
      <c r="O128" s="3">
        <v>1285372</v>
      </c>
      <c r="P128" s="3">
        <v>-747665</v>
      </c>
      <c r="Q128" s="3">
        <v>-242542</v>
      </c>
      <c r="R128" s="3">
        <v>12.7</v>
      </c>
      <c r="T128" s="2">
        <f>E128/G128</f>
        <v>-0.12434533748205048</v>
      </c>
      <c r="U128" s="2">
        <f>D128/C128</f>
        <v>-8.7053922589240926E-2</v>
      </c>
      <c r="V128" s="2">
        <f>(E128-F128)/O128</f>
        <v>-0.55956407950383236</v>
      </c>
      <c r="W128" s="2">
        <f>H128/K128</f>
        <v>0.34987173685666212</v>
      </c>
      <c r="X128" s="2">
        <f>(H128-I128)/K128</f>
        <v>0.11905026379490422</v>
      </c>
      <c r="Y128" s="2">
        <f>(H128-K128)/G128</f>
        <v>-0.15076574811929855</v>
      </c>
      <c r="Z128" s="2">
        <f>J128/N128</f>
        <v>3.5000801324441486</v>
      </c>
      <c r="AA128" s="2">
        <f>J128/G128</f>
        <v>0.77778160040025734</v>
      </c>
      <c r="AB128" s="2">
        <f>C128/G128</f>
        <v>0.40770014857515491</v>
      </c>
      <c r="AC128" s="2">
        <f>C128/(G128-K128)</f>
        <v>0.53079152219442505</v>
      </c>
      <c r="AD128" s="2">
        <f>Q128/E128</f>
        <v>0.33721609236313482</v>
      </c>
      <c r="AE128" s="2">
        <f>Q128/J128</f>
        <v>-5.391134064844668E-2</v>
      </c>
      <c r="AF128" s="2">
        <f>Q128/G128</f>
        <v>-4.1931248809272306E-2</v>
      </c>
      <c r="AG128" s="2">
        <f>Q128/K128</f>
        <v>-0.18081487539353042</v>
      </c>
      <c r="AH128" s="2">
        <f>Q128/L128</f>
        <v>-0.12380611593290003</v>
      </c>
      <c r="AI128" s="3">
        <f>R128</f>
        <v>12.7</v>
      </c>
      <c r="AJ128" s="3">
        <f>P128</f>
        <v>-747665</v>
      </c>
    </row>
    <row r="129" spans="1:36" x14ac:dyDescent="0.25">
      <c r="A129" t="s">
        <v>36</v>
      </c>
      <c r="B129">
        <v>2019</v>
      </c>
      <c r="C129" s="1">
        <v>2606317</v>
      </c>
      <c r="D129" s="1">
        <v>-485916</v>
      </c>
      <c r="E129" s="1">
        <v>-1031050</v>
      </c>
      <c r="G129" s="1">
        <v>5424487</v>
      </c>
      <c r="H129" s="1">
        <v>476444</v>
      </c>
      <c r="I129" s="1">
        <v>265945</v>
      </c>
      <c r="J129" s="1">
        <v>5665411</v>
      </c>
      <c r="K129" s="1">
        <v>1173371</v>
      </c>
      <c r="L129" s="1">
        <f>187747+M129</f>
        <v>3067864</v>
      </c>
      <c r="M129" s="1">
        <v>2880117</v>
      </c>
      <c r="N129" s="1">
        <v>-240924</v>
      </c>
      <c r="O129" s="1">
        <v>-240924</v>
      </c>
      <c r="P129" s="1">
        <v>-2376154</v>
      </c>
      <c r="Q129" s="1">
        <v>-527286</v>
      </c>
      <c r="R129" s="1">
        <v>12</v>
      </c>
      <c r="S129" s="13"/>
      <c r="T129">
        <f>E129/G129</f>
        <v>-0.19007327328833123</v>
      </c>
      <c r="U129">
        <f>D129/C129</f>
        <v>-0.18643779709068389</v>
      </c>
      <c r="V129">
        <f>(E129-F129)/O129</f>
        <v>4.2795653401072533</v>
      </c>
      <c r="W129">
        <f>H129/K129</f>
        <v>0.406047192235022</v>
      </c>
      <c r="X129">
        <f>(H129-I129)/K129</f>
        <v>0.17939679777325329</v>
      </c>
      <c r="Y129">
        <f>(H129-K129)/G129</f>
        <v>-0.12847795561128639</v>
      </c>
      <c r="Z129">
        <f>J129/N129</f>
        <v>-23.515345088077567</v>
      </c>
      <c r="AA129">
        <f>J129/G129</f>
        <v>1.044414153817679</v>
      </c>
      <c r="AB129">
        <f>C129/G129</f>
        <v>0.48047253131955153</v>
      </c>
      <c r="AC129">
        <f>C129/(G129-K129)</f>
        <v>0.61309006858434345</v>
      </c>
      <c r="AD129">
        <f>Q129/E129</f>
        <v>0.51140681829203238</v>
      </c>
      <c r="AE129">
        <f>Q129/J129</f>
        <v>-9.3071094047722222E-2</v>
      </c>
      <c r="AF129">
        <f>Q129/G129</f>
        <v>-9.7204767934737424E-2</v>
      </c>
      <c r="AG129">
        <f>Q129/K129</f>
        <v>-0.4493770512480707</v>
      </c>
      <c r="AH129">
        <f>Q129/L129</f>
        <v>-0.17187398137596713</v>
      </c>
      <c r="AI129" s="1">
        <f>R129</f>
        <v>12</v>
      </c>
      <c r="AJ129" s="1">
        <f>P129</f>
        <v>-2376154</v>
      </c>
    </row>
    <row r="130" spans="1:36" x14ac:dyDescent="0.25">
      <c r="A130" t="s">
        <v>36</v>
      </c>
      <c r="B130">
        <v>2020</v>
      </c>
      <c r="C130" s="1">
        <v>3573075</v>
      </c>
      <c r="D130" s="1">
        <v>514358</v>
      </c>
      <c r="E130" s="1">
        <v>116399</v>
      </c>
      <c r="G130" s="1">
        <v>6845190</v>
      </c>
      <c r="H130" s="1">
        <v>561072</v>
      </c>
      <c r="I130" s="1">
        <v>417528</v>
      </c>
      <c r="J130" s="1">
        <v>6041815</v>
      </c>
      <c r="K130" s="1">
        <v>2686744</v>
      </c>
      <c r="L130" s="1">
        <f>104210+M130</f>
        <v>3460965</v>
      </c>
      <c r="M130" s="1">
        <v>3356755</v>
      </c>
      <c r="N130" s="1">
        <v>803375</v>
      </c>
      <c r="O130" s="1">
        <v>803375</v>
      </c>
      <c r="P130" s="1">
        <v>-2386945</v>
      </c>
      <c r="Q130" s="1">
        <v>110348</v>
      </c>
      <c r="R130" s="1">
        <v>16.100000000000001</v>
      </c>
      <c r="T130">
        <f>E130/G130</f>
        <v>1.7004495127235328E-2</v>
      </c>
      <c r="U130">
        <f>D130/C130</f>
        <v>0.14395387726258194</v>
      </c>
      <c r="V130">
        <f>(E130-F130)/O130</f>
        <v>0.14488750583475959</v>
      </c>
      <c r="W130">
        <f>H130/K130</f>
        <v>0.2088297210303624</v>
      </c>
      <c r="X130">
        <f>(H130-I130)/K130</f>
        <v>5.3426749999255604E-2</v>
      </c>
      <c r="Y130">
        <f>(H130-K130)/G130</f>
        <v>-0.31053513489033907</v>
      </c>
      <c r="Z130">
        <f>J130/N130</f>
        <v>7.5205414656916139</v>
      </c>
      <c r="AA130">
        <f>J130/G130</f>
        <v>0.88263656669865997</v>
      </c>
      <c r="AB130">
        <f>C130/G130</f>
        <v>0.52198331967410694</v>
      </c>
      <c r="AC130">
        <f>C130/(G130-K130)</f>
        <v>0.85923323279898312</v>
      </c>
      <c r="AD130">
        <f>Q130/E130</f>
        <v>0.94801501731114524</v>
      </c>
      <c r="AE130">
        <f>Q130/J130</f>
        <v>1.8264048137852616E-2</v>
      </c>
      <c r="AF130">
        <f>Q130/G130</f>
        <v>1.6120516742413285E-2</v>
      </c>
      <c r="AG130">
        <f>Q130/K130</f>
        <v>4.1071274375228901E-2</v>
      </c>
      <c r="AH130">
        <f>Q130/L130</f>
        <v>3.1883593159711239E-2</v>
      </c>
      <c r="AI130" s="1">
        <f>R130</f>
        <v>16.100000000000001</v>
      </c>
      <c r="AJ130" s="1">
        <f>P130</f>
        <v>-2386945</v>
      </c>
    </row>
    <row r="131" spans="1:36" x14ac:dyDescent="0.25">
      <c r="A131" t="s">
        <v>36</v>
      </c>
      <c r="B131">
        <v>2021</v>
      </c>
      <c r="C131" s="1">
        <v>4002689</v>
      </c>
      <c r="D131" s="1">
        <v>263211</v>
      </c>
      <c r="E131" s="1">
        <v>-1720</v>
      </c>
      <c r="G131" s="1">
        <v>6979425</v>
      </c>
      <c r="H131" s="1">
        <v>577101</v>
      </c>
      <c r="I131" s="1">
        <v>435677</v>
      </c>
      <c r="J131" s="1">
        <v>6269910</v>
      </c>
      <c r="K131" s="1">
        <v>1155334</v>
      </c>
      <c r="L131" s="1">
        <f>191667+M131</f>
        <v>3494399</v>
      </c>
      <c r="M131" s="1">
        <v>3302732</v>
      </c>
      <c r="N131" s="1">
        <v>709515</v>
      </c>
      <c r="O131" s="1">
        <v>709515</v>
      </c>
      <c r="P131" s="1">
        <v>-2739820</v>
      </c>
      <c r="Q131" s="1">
        <v>239449</v>
      </c>
      <c r="R131" s="1">
        <v>30.3</v>
      </c>
      <c r="T131">
        <f>E131/G131</f>
        <v>-2.464386392861876E-4</v>
      </c>
      <c r="U131">
        <f>D131/C131</f>
        <v>6.5758543818917728E-2</v>
      </c>
      <c r="V131">
        <f>(E131-F131)/O131</f>
        <v>-2.424191172843421E-3</v>
      </c>
      <c r="W131">
        <f>H131/K131</f>
        <v>0.49951009837847754</v>
      </c>
      <c r="X131">
        <f>(H131-I131)/K131</f>
        <v>0.12240962353743592</v>
      </c>
      <c r="Y131">
        <f>(H131-K131)/G131</f>
        <v>-8.2848228901377982E-2</v>
      </c>
      <c r="Z131">
        <f>J131/N131</f>
        <v>8.8368956258852887</v>
      </c>
      <c r="AA131">
        <f>J131/G131</f>
        <v>0.89834191212026782</v>
      </c>
      <c r="AB131">
        <f>C131/G131</f>
        <v>0.57349838991034363</v>
      </c>
      <c r="AC131">
        <f>C131/(G131-K131)</f>
        <v>0.68726415847554578</v>
      </c>
      <c r="AD131">
        <f>Q131/E131</f>
        <v>-139.21453488372094</v>
      </c>
      <c r="AE131">
        <f>Q131/J131</f>
        <v>3.8190181358265109E-2</v>
      </c>
      <c r="AF131">
        <f>Q131/G131</f>
        <v>3.4307840545603686E-2</v>
      </c>
      <c r="AG131">
        <f>Q131/K131</f>
        <v>0.20725521797159954</v>
      </c>
      <c r="AH131">
        <f>Q131/L131</f>
        <v>6.8523657430075963E-2</v>
      </c>
      <c r="AI131" s="1">
        <f>R131</f>
        <v>30.3</v>
      </c>
      <c r="AJ131" s="1">
        <f>P131</f>
        <v>-2739820</v>
      </c>
    </row>
    <row r="132" spans="1:36" x14ac:dyDescent="0.25">
      <c r="A132" t="s">
        <v>36</v>
      </c>
      <c r="B132">
        <v>2022</v>
      </c>
      <c r="C132" s="1">
        <v>6070594</v>
      </c>
      <c r="D132" s="1">
        <v>1804817</v>
      </c>
      <c r="E132" s="1">
        <v>556927</v>
      </c>
      <c r="G132" s="1">
        <v>9566233</v>
      </c>
      <c r="H132" s="1">
        <v>3005831</v>
      </c>
      <c r="I132" s="1">
        <v>675599</v>
      </c>
      <c r="J132" s="1">
        <v>6285899</v>
      </c>
      <c r="K132" s="1">
        <v>1065871</v>
      </c>
      <c r="L132" s="1">
        <f>575000+M132</f>
        <v>3328826</v>
      </c>
      <c r="M132" s="1">
        <v>2753826</v>
      </c>
      <c r="N132" s="1">
        <v>3280334</v>
      </c>
      <c r="O132" s="1">
        <v>3280334</v>
      </c>
      <c r="P132" s="1">
        <v>-2344665</v>
      </c>
      <c r="Q132" s="1">
        <v>1456163</v>
      </c>
      <c r="R132" s="1">
        <v>82</v>
      </c>
      <c r="T132">
        <f>E132/G132</f>
        <v>5.8218004934648779E-2</v>
      </c>
      <c r="U132">
        <f>D132/C132</f>
        <v>0.29730484364462523</v>
      </c>
      <c r="V132">
        <f>(E132-F132)/O132</f>
        <v>0.16977752875164542</v>
      </c>
      <c r="W132">
        <f>H132/K132</f>
        <v>2.8200701585839187</v>
      </c>
      <c r="X132">
        <f>(H132-I132)/K132</f>
        <v>2.1862232859323503</v>
      </c>
      <c r="Y132">
        <f>(H132-K132)/G132</f>
        <v>0.20279246804881296</v>
      </c>
      <c r="Z132">
        <f>J132/N132</f>
        <v>1.9162374928894437</v>
      </c>
      <c r="AA132">
        <f>J132/G132</f>
        <v>0.65709239990286672</v>
      </c>
      <c r="AB132">
        <f>C132/G132</f>
        <v>0.63458563051934858</v>
      </c>
      <c r="AC132">
        <f>C132/(G132-K132)</f>
        <v>0.71415711472052601</v>
      </c>
      <c r="AD132">
        <f>Q132/E132</f>
        <v>2.6146389024055217</v>
      </c>
      <c r="AE132">
        <f>Q132/J132</f>
        <v>0.23165548794213842</v>
      </c>
      <c r="AF132">
        <f>Q132/G132</f>
        <v>0.15221906052256934</v>
      </c>
      <c r="AG132">
        <f>Q132/K132</f>
        <v>1.3661718913452003</v>
      </c>
      <c r="AH132">
        <f>Q132/L132</f>
        <v>0.43744040691823483</v>
      </c>
      <c r="AI132" s="1">
        <f>R132</f>
        <v>82</v>
      </c>
      <c r="AJ132" s="1">
        <f>P132</f>
        <v>-2344665</v>
      </c>
    </row>
    <row r="133" spans="1:36" x14ac:dyDescent="0.25">
      <c r="A133" t="s">
        <v>36</v>
      </c>
      <c r="B133">
        <v>2023</v>
      </c>
      <c r="C133" s="1">
        <v>4129862</v>
      </c>
      <c r="D133" s="1">
        <v>677891</v>
      </c>
      <c r="E133" s="1">
        <v>69069</v>
      </c>
      <c r="G133" s="1">
        <v>7751832</v>
      </c>
      <c r="H133" s="1">
        <v>737350</v>
      </c>
      <c r="I133" s="1">
        <v>549719</v>
      </c>
      <c r="J133" s="1">
        <v>4613872</v>
      </c>
      <c r="K133" s="1">
        <v>1294098</v>
      </c>
      <c r="L133" s="1">
        <f>575000+M133</f>
        <v>990034</v>
      </c>
      <c r="M133" s="1">
        <v>415034</v>
      </c>
      <c r="N133" s="1">
        <v>3137961</v>
      </c>
      <c r="O133" s="1">
        <v>3137961</v>
      </c>
      <c r="P133" s="1">
        <v>-2750711</v>
      </c>
      <c r="Q133" s="1">
        <v>581461</v>
      </c>
      <c r="R133" s="1">
        <v>50.8</v>
      </c>
      <c r="T133">
        <f>E133/G133</f>
        <v>8.9100228178319654E-3</v>
      </c>
      <c r="U133">
        <f>D133/C133</f>
        <v>0.16414374136472357</v>
      </c>
      <c r="V133">
        <f>(E133-F133)/O133</f>
        <v>2.2010789809051166E-2</v>
      </c>
      <c r="W133">
        <f>H133/K133</f>
        <v>0.5697791048282278</v>
      </c>
      <c r="X133">
        <f>(H133-I133)/K133</f>
        <v>0.14498979211775306</v>
      </c>
      <c r="Y133">
        <f>(H133-K133)/G133</f>
        <v>-7.1821473943191758E-2</v>
      </c>
      <c r="Z133">
        <f>J133/N133</f>
        <v>1.4703407722403179</v>
      </c>
      <c r="AA133">
        <f>J133/G133</f>
        <v>0.59519762554193645</v>
      </c>
      <c r="AB133">
        <f>C133/G133</f>
        <v>0.53275948188763633</v>
      </c>
      <c r="AC133">
        <f>C133/(G133-K133)</f>
        <v>0.63952185085356561</v>
      </c>
      <c r="AD133">
        <f>Q133/E133</f>
        <v>8.418552462030723</v>
      </c>
      <c r="AE133">
        <f>Q133/J133</f>
        <v>0.12602451910239382</v>
      </c>
      <c r="AF133">
        <f>Q133/G133</f>
        <v>7.5009494529809206E-2</v>
      </c>
      <c r="AG133">
        <f>Q133/K133</f>
        <v>0.44931759418529355</v>
      </c>
      <c r="AH133">
        <f>Q133/L133</f>
        <v>0.58731417304860234</v>
      </c>
      <c r="AI133" s="1">
        <f>R133</f>
        <v>50.8</v>
      </c>
      <c r="AJ133" s="1">
        <f>P133</f>
        <v>-2750711</v>
      </c>
    </row>
    <row r="134" spans="1:36" x14ac:dyDescent="0.25">
      <c r="A134" s="15" t="s">
        <v>36</v>
      </c>
      <c r="B134" s="15">
        <v>2024</v>
      </c>
      <c r="C134" s="6">
        <v>4841854</v>
      </c>
      <c r="D134" s="6">
        <v>1113313</v>
      </c>
      <c r="E134" s="6">
        <v>741216</v>
      </c>
      <c r="F134" s="6"/>
      <c r="G134" s="6">
        <v>8059127</v>
      </c>
      <c r="H134" s="6">
        <v>764573</v>
      </c>
      <c r="I134" s="6">
        <v>563351</v>
      </c>
      <c r="J134" s="6">
        <v>4342106</v>
      </c>
      <c r="K134" s="6">
        <v>1054030</v>
      </c>
      <c r="L134" s="6">
        <v>132609</v>
      </c>
      <c r="M134" s="6">
        <v>0</v>
      </c>
      <c r="N134" s="6">
        <v>3717021</v>
      </c>
      <c r="O134" s="6">
        <v>3717021</v>
      </c>
      <c r="P134" s="6">
        <v>-2542327</v>
      </c>
      <c r="Q134" s="6">
        <v>1110383</v>
      </c>
      <c r="R134" s="6">
        <v>72</v>
      </c>
      <c r="S134" s="15"/>
      <c r="T134" s="15">
        <f>E134/G134</f>
        <v>9.1972244636422784E-2</v>
      </c>
      <c r="U134" s="15">
        <f>D134/C134</f>
        <v>0.22993526859752483</v>
      </c>
      <c r="V134" s="15">
        <f>(E134-F134)/O134</f>
        <v>0.19941130276100136</v>
      </c>
      <c r="W134" s="15">
        <f>H134/K134</f>
        <v>0.72538068176427617</v>
      </c>
      <c r="X134" s="15">
        <f>(H134-I134)/K134</f>
        <v>0.19090727967894652</v>
      </c>
      <c r="Y134" s="15">
        <f>(H134-K134)/G134</f>
        <v>-3.5916669386150631E-2</v>
      </c>
      <c r="Z134" s="15">
        <f>J134/N134</f>
        <v>1.1681682723880225</v>
      </c>
      <c r="AA134" s="15">
        <f>J134/G134</f>
        <v>0.53878118560484278</v>
      </c>
      <c r="AB134" s="15">
        <f>C134/G134</f>
        <v>0.60079137603862054</v>
      </c>
      <c r="AC134" s="15">
        <f>C134/(G134-K134)</f>
        <v>0.69119014340558027</v>
      </c>
      <c r="AD134" s="15">
        <f>Q134/E134</f>
        <v>1.498055897336269</v>
      </c>
      <c r="AE134" s="15">
        <f>Q134/J134</f>
        <v>0.2557245263012925</v>
      </c>
      <c r="AF134" s="15">
        <f>Q134/G134</f>
        <v>0.13777956346884718</v>
      </c>
      <c r="AG134" s="15">
        <f>Q134/K134</f>
        <v>1.053464322647363</v>
      </c>
      <c r="AH134" s="15">
        <f>Q134/L134</f>
        <v>8.3733607824506624</v>
      </c>
      <c r="AI134" s="6">
        <f>R134</f>
        <v>72</v>
      </c>
      <c r="AJ134" s="6">
        <f>P134</f>
        <v>-2542327</v>
      </c>
    </row>
    <row r="135" spans="1:36" s="2" customFormat="1" x14ac:dyDescent="0.25">
      <c r="A135" s="2" t="s">
        <v>43</v>
      </c>
      <c r="B135" s="2">
        <v>2018</v>
      </c>
      <c r="C135" s="3">
        <v>939230</v>
      </c>
      <c r="D135" s="4">
        <v>43223</v>
      </c>
      <c r="E135" s="3">
        <v>-319093</v>
      </c>
      <c r="F135" s="3"/>
      <c r="G135" s="3">
        <v>6036189</v>
      </c>
      <c r="H135" s="3">
        <v>273794</v>
      </c>
      <c r="I135" s="3">
        <v>30180</v>
      </c>
      <c r="J135" s="3">
        <v>3251885</v>
      </c>
      <c r="K135" s="3">
        <v>381301</v>
      </c>
      <c r="L135" s="3">
        <f>62880+M135</f>
        <v>2929200</v>
      </c>
      <c r="M135" s="3">
        <v>2866320</v>
      </c>
      <c r="N135" s="3">
        <v>2784304</v>
      </c>
      <c r="O135" s="3">
        <v>2784304</v>
      </c>
      <c r="P135" s="3">
        <v>-593452</v>
      </c>
      <c r="Q135" s="3">
        <v>-139786</v>
      </c>
      <c r="R135" s="3">
        <v>14.6</v>
      </c>
      <c r="T135" s="2">
        <f>E135/G135</f>
        <v>-5.286332154278138E-2</v>
      </c>
      <c r="U135" s="2">
        <f>D135/C135</f>
        <v>4.6019611809673878E-2</v>
      </c>
      <c r="V135" s="2">
        <f>(E135-F135)/O135</f>
        <v>-0.11460422425137486</v>
      </c>
      <c r="W135" s="2">
        <f>H135/K135</f>
        <v>0.71805214253306437</v>
      </c>
      <c r="X135" s="2">
        <f>(H135-I135)/K135</f>
        <v>0.63890207473885463</v>
      </c>
      <c r="Y135" s="2">
        <f>(H135-K135)/G135</f>
        <v>-1.7810409846345104E-2</v>
      </c>
      <c r="Z135" s="2">
        <f>J135/N135</f>
        <v>1.1679346077152495</v>
      </c>
      <c r="AA135" s="2">
        <f>J135/G135</f>
        <v>0.53873147444521696</v>
      </c>
      <c r="AB135" s="2">
        <f>C135/G135</f>
        <v>0.15559983294095001</v>
      </c>
      <c r="AC135" s="2">
        <f>C135/(G135-K135)</f>
        <v>0.16609170685608626</v>
      </c>
      <c r="AD135" s="2">
        <f>Q135/E135</f>
        <v>0.43807291291253647</v>
      </c>
      <c r="AE135" s="2">
        <f>Q135/J135</f>
        <v>-4.2986144959000702E-2</v>
      </c>
      <c r="AF135" s="2">
        <f>Q135/G135</f>
        <v>-2.3157989254478283E-2</v>
      </c>
      <c r="AG135" s="2">
        <f>Q135/K135</f>
        <v>-0.36660276264683284</v>
      </c>
      <c r="AH135" s="2">
        <f>Q135/L135</f>
        <v>-4.7721562201283624E-2</v>
      </c>
      <c r="AI135" s="3">
        <f>R135</f>
        <v>14.6</v>
      </c>
      <c r="AJ135" s="3">
        <f>P135</f>
        <v>-593452</v>
      </c>
    </row>
    <row r="136" spans="1:36" x14ac:dyDescent="0.25">
      <c r="A136" t="s">
        <v>43</v>
      </c>
      <c r="B136">
        <v>2019</v>
      </c>
      <c r="C136" s="1">
        <v>1072890</v>
      </c>
      <c r="D136" s="5">
        <v>128330</v>
      </c>
      <c r="E136" s="1">
        <v>-251833</v>
      </c>
      <c r="G136" s="1">
        <v>5839567</v>
      </c>
      <c r="H136" s="1">
        <v>299328</v>
      </c>
      <c r="I136" s="1">
        <v>24523</v>
      </c>
      <c r="J136" s="1">
        <v>3306682</v>
      </c>
      <c r="K136" s="1">
        <v>498104</v>
      </c>
      <c r="L136" s="1">
        <f>62880+114110+M136</f>
        <v>2980430</v>
      </c>
      <c r="M136" s="1">
        <v>2803440</v>
      </c>
      <c r="N136" s="1">
        <v>2532885</v>
      </c>
      <c r="O136" s="1">
        <v>2532885</v>
      </c>
      <c r="P136" s="1">
        <v>-844871</v>
      </c>
      <c r="Q136" s="1">
        <v>22675</v>
      </c>
      <c r="R136" s="1">
        <v>11.6</v>
      </c>
      <c r="T136">
        <f>E136/G136</f>
        <v>-4.3125286515250189E-2</v>
      </c>
      <c r="U136">
        <f>D136/C136</f>
        <v>0.11961151655808144</v>
      </c>
      <c r="V136">
        <f>(E136-F136)/O136</f>
        <v>-9.9425358829950822E-2</v>
      </c>
      <c r="W136">
        <f>H136/K136</f>
        <v>0.60093474455133866</v>
      </c>
      <c r="X136">
        <f>(H136-I136)/K136</f>
        <v>0.55170205418948648</v>
      </c>
      <c r="Y136">
        <f>(H136-K136)/G136</f>
        <v>-3.4039510121212757E-2</v>
      </c>
      <c r="Z136">
        <f>J136/N136</f>
        <v>1.3055002497152457</v>
      </c>
      <c r="AA136">
        <f>J136/G136</f>
        <v>0.56625465552497301</v>
      </c>
      <c r="AB136">
        <f>C136/G136</f>
        <v>0.18372766336956148</v>
      </c>
      <c r="AC136">
        <f>C136/(G136-K136)</f>
        <v>0.20086070052343338</v>
      </c>
      <c r="AD136">
        <f>Q136/E136</f>
        <v>-9.0039827981241535E-2</v>
      </c>
      <c r="AE136">
        <f>Q136/J136</f>
        <v>6.857327072878493E-3</v>
      </c>
      <c r="AF136">
        <f>Q136/G136</f>
        <v>3.8829933794748825E-3</v>
      </c>
      <c r="AG136">
        <f>Q136/K136</f>
        <v>4.5522621781796571E-2</v>
      </c>
      <c r="AH136">
        <f>Q136/L136</f>
        <v>7.6079626094221302E-3</v>
      </c>
      <c r="AI136" s="1">
        <f>R136</f>
        <v>11.6</v>
      </c>
      <c r="AJ136" s="1">
        <f>P136</f>
        <v>-844871</v>
      </c>
    </row>
    <row r="137" spans="1:36" x14ac:dyDescent="0.25">
      <c r="A137" t="s">
        <v>43</v>
      </c>
      <c r="B137">
        <v>2020</v>
      </c>
      <c r="C137" s="1">
        <v>689070</v>
      </c>
      <c r="D137" s="5">
        <v>-117092</v>
      </c>
      <c r="E137" s="1">
        <v>-653588</v>
      </c>
      <c r="G137" s="1">
        <v>5745988</v>
      </c>
      <c r="H137" s="1">
        <v>400511</v>
      </c>
      <c r="I137" s="1">
        <v>22156</v>
      </c>
      <c r="J137" s="1">
        <v>3883431</v>
      </c>
      <c r="K137" s="1">
        <v>757906</v>
      </c>
      <c r="L137" s="1">
        <f>291540+86472+M137</f>
        <v>3302305</v>
      </c>
      <c r="M137" s="1">
        <v>2924293</v>
      </c>
      <c r="N137" s="1">
        <v>1862557</v>
      </c>
      <c r="O137" s="1">
        <v>1862557</v>
      </c>
      <c r="P137" s="1">
        <v>-1515199</v>
      </c>
      <c r="Q137" s="1">
        <v>-155668</v>
      </c>
      <c r="R137" s="1">
        <v>7.6</v>
      </c>
      <c r="T137">
        <f>E137/G137</f>
        <v>-0.11374684388481146</v>
      </c>
      <c r="U137">
        <f>D137/C137</f>
        <v>-0.16992758355464613</v>
      </c>
      <c r="V137">
        <f>(E137-F137)/O137</f>
        <v>-0.35090899231540296</v>
      </c>
      <c r="W137">
        <f>H137/K137</f>
        <v>0.5284441606215019</v>
      </c>
      <c r="X137">
        <f>(H137-I137)/K137</f>
        <v>0.49921098394787744</v>
      </c>
      <c r="Y137">
        <f>(H137-K137)/G137</f>
        <v>-6.2199050885591828E-2</v>
      </c>
      <c r="Z137">
        <f>J137/N137</f>
        <v>2.0849998147707693</v>
      </c>
      <c r="AA137">
        <f>J137/G137</f>
        <v>0.67585087194752236</v>
      </c>
      <c r="AB137">
        <f>C137/G137</f>
        <v>0.11992193509627935</v>
      </c>
      <c r="AC137">
        <f>C137/(G137-K137)</f>
        <v>0.13814327831819925</v>
      </c>
      <c r="AD137">
        <f>Q137/E137</f>
        <v>0.23817450748789756</v>
      </c>
      <c r="AE137">
        <f>Q137/J137</f>
        <v>-4.0085172106830276E-2</v>
      </c>
      <c r="AF137">
        <f>Q137/G137</f>
        <v>-2.7091598520567743E-2</v>
      </c>
      <c r="AG137">
        <f>Q137/K137</f>
        <v>-0.20539222542109445</v>
      </c>
      <c r="AH137">
        <f>Q137/L137</f>
        <v>-4.7139195198505283E-2</v>
      </c>
      <c r="AI137" s="1">
        <f>R137</f>
        <v>7.6</v>
      </c>
      <c r="AJ137" s="1">
        <f>P137</f>
        <v>-1515199</v>
      </c>
    </row>
    <row r="138" spans="1:36" x14ac:dyDescent="0.25">
      <c r="A138" t="s">
        <v>43</v>
      </c>
      <c r="B138">
        <v>2021</v>
      </c>
      <c r="C138" s="1">
        <v>88104</v>
      </c>
      <c r="D138" s="5">
        <v>-350654</v>
      </c>
      <c r="E138" s="1">
        <v>-657598</v>
      </c>
      <c r="G138" s="1">
        <v>5466232</v>
      </c>
      <c r="H138" s="1">
        <v>247907</v>
      </c>
      <c r="I138" s="1">
        <v>15323</v>
      </c>
      <c r="J138" s="1">
        <v>4172623</v>
      </c>
      <c r="K138" s="1">
        <v>694547</v>
      </c>
      <c r="L138" s="1">
        <f>351102+161347+M138</f>
        <v>3736722</v>
      </c>
      <c r="M138" s="1">
        <v>3224273</v>
      </c>
      <c r="N138" s="1">
        <v>1293609</v>
      </c>
      <c r="O138" s="1">
        <v>1293609</v>
      </c>
      <c r="P138" s="1">
        <v>-2174147</v>
      </c>
      <c r="Q138" s="1">
        <v>-180052</v>
      </c>
      <c r="R138" s="1">
        <v>10.199999999999999</v>
      </c>
      <c r="T138">
        <f>E138/G138</f>
        <v>-0.12030188253992878</v>
      </c>
      <c r="U138">
        <f>D138/C138</f>
        <v>-3.9800009080177969</v>
      </c>
      <c r="V138">
        <f>(E138-F138)/O138</f>
        <v>-0.50834371127597289</v>
      </c>
      <c r="W138">
        <f>H138/K138</f>
        <v>0.35693336808020193</v>
      </c>
      <c r="X138">
        <f>(H138-I138)/K138</f>
        <v>0.33487150617596795</v>
      </c>
      <c r="Y138">
        <f>(H138-K138)/G138</f>
        <v>-8.1708935881243241E-2</v>
      </c>
      <c r="Z138">
        <f>J138/N138</f>
        <v>3.2255673855082949</v>
      </c>
      <c r="AA138">
        <f>J138/G138</f>
        <v>0.76334539038957727</v>
      </c>
      <c r="AB138">
        <f>C138/G138</f>
        <v>1.6117866932834173E-2</v>
      </c>
      <c r="AC138">
        <f>C138/(G138-K138)</f>
        <v>1.8463917882257524E-2</v>
      </c>
      <c r="AD138">
        <f>Q138/E138</f>
        <v>0.27380253589579046</v>
      </c>
      <c r="AE138">
        <f>Q138/J138</f>
        <v>-4.3150795075423777E-2</v>
      </c>
      <c r="AF138">
        <f>Q138/G138</f>
        <v>-3.2938960512470014E-2</v>
      </c>
      <c r="AG138">
        <f>Q138/K138</f>
        <v>-0.25923659593951165</v>
      </c>
      <c r="AH138">
        <f>Q138/L138</f>
        <v>-4.8184478267315575E-2</v>
      </c>
      <c r="AI138" s="1">
        <f>R138</f>
        <v>10.199999999999999</v>
      </c>
      <c r="AJ138" s="1">
        <f>P138</f>
        <v>-2174147</v>
      </c>
    </row>
    <row r="139" spans="1:36" x14ac:dyDescent="0.25">
      <c r="A139" t="s">
        <v>43</v>
      </c>
      <c r="B139">
        <v>2022</v>
      </c>
      <c r="C139" s="1">
        <v>422126</v>
      </c>
      <c r="D139" s="5">
        <v>-153298</v>
      </c>
      <c r="E139" s="1">
        <v>-444443</v>
      </c>
      <c r="G139" s="1">
        <v>5402743</v>
      </c>
      <c r="H139" s="1">
        <v>397910</v>
      </c>
      <c r="I139" s="1">
        <v>23259</v>
      </c>
      <c r="J139" s="1">
        <v>4552017</v>
      </c>
      <c r="K139" s="1">
        <v>2502057</v>
      </c>
      <c r="L139" s="1">
        <f>2036200+253820+M139</f>
        <v>4053844</v>
      </c>
      <c r="M139" s="1">
        <v>1763824</v>
      </c>
      <c r="N139" s="1">
        <v>850726</v>
      </c>
      <c r="O139" s="1">
        <v>850726</v>
      </c>
      <c r="P139" s="1">
        <v>-2617030</v>
      </c>
      <c r="Q139" s="1">
        <v>11475</v>
      </c>
      <c r="R139" s="1">
        <v>9</v>
      </c>
      <c r="T139">
        <f>E139/G139</f>
        <v>-8.2262472969748882E-2</v>
      </c>
      <c r="U139">
        <f>D139/C139</f>
        <v>-0.36315697208890235</v>
      </c>
      <c r="V139">
        <f>(E139-F139)/O139</f>
        <v>-0.52242790275599904</v>
      </c>
      <c r="W139">
        <f>H139/K139</f>
        <v>0.15903314752621542</v>
      </c>
      <c r="X139">
        <f>(H139-I139)/K139</f>
        <v>0.14973719623493789</v>
      </c>
      <c r="Y139">
        <f>(H139-K139)/G139</f>
        <v>-0.38945902109354452</v>
      </c>
      <c r="Z139">
        <f>J139/N139</f>
        <v>5.3507439528120688</v>
      </c>
      <c r="AA139">
        <f>J139/G139</f>
        <v>0.84253813294469126</v>
      </c>
      <c r="AB139">
        <f>C139/G139</f>
        <v>7.8131793424192117E-2</v>
      </c>
      <c r="AC139">
        <f>C139/(G139-K139)</f>
        <v>0.14552626516623998</v>
      </c>
      <c r="AD139">
        <f>Q139/E139</f>
        <v>-2.5818833911210211E-2</v>
      </c>
      <c r="AE139">
        <f>Q139/J139</f>
        <v>2.5208605328143545E-3</v>
      </c>
      <c r="AF139">
        <f>Q139/G139</f>
        <v>2.1239211267313658E-3</v>
      </c>
      <c r="AG139">
        <f>Q139/K139</f>
        <v>4.5862264528745752E-3</v>
      </c>
      <c r="AH139">
        <f>Q139/L139</f>
        <v>2.8306466652392149E-3</v>
      </c>
      <c r="AI139" s="1">
        <f>R139</f>
        <v>9</v>
      </c>
      <c r="AJ139" s="1">
        <f>P139</f>
        <v>-2617030</v>
      </c>
    </row>
    <row r="140" spans="1:36" x14ac:dyDescent="0.25">
      <c r="A140" t="s">
        <v>43</v>
      </c>
      <c r="B140">
        <v>2023</v>
      </c>
      <c r="C140" s="1">
        <v>668440</v>
      </c>
      <c r="D140" s="5">
        <v>-92102</v>
      </c>
      <c r="E140" s="1">
        <v>-1017004</v>
      </c>
      <c r="G140" s="1">
        <v>5283868</v>
      </c>
      <c r="H140" s="1">
        <v>492004</v>
      </c>
      <c r="I140" s="1">
        <v>34055</v>
      </c>
      <c r="J140" s="1">
        <v>5472565</v>
      </c>
      <c r="K140" s="1">
        <v>1171843</v>
      </c>
      <c r="L140" s="1">
        <f>362326+M140</f>
        <v>3984681</v>
      </c>
      <c r="M140" s="1">
        <v>3622355</v>
      </c>
      <c r="N140" s="1">
        <v>-188697</v>
      </c>
      <c r="O140" s="1">
        <v>-188697</v>
      </c>
      <c r="P140" s="1">
        <v>-3636453</v>
      </c>
      <c r="Q140" s="1">
        <v>-240497</v>
      </c>
      <c r="R140" s="1">
        <v>12.1</v>
      </c>
      <c r="S140" s="14"/>
      <c r="T140">
        <f>E140/G140</f>
        <v>-0.19247339259799828</v>
      </c>
      <c r="U140">
        <f>D140/C140</f>
        <v>-0.13778648794207407</v>
      </c>
      <c r="V140">
        <f>(E140-F140)/O140</f>
        <v>5.3896140373190882</v>
      </c>
      <c r="W140">
        <f>H140/K140</f>
        <v>0.4198548781705399</v>
      </c>
      <c r="X140">
        <f>(H140-I140)/K140</f>
        <v>0.39079381794318863</v>
      </c>
      <c r="Y140">
        <f>(H140-K140)/G140</f>
        <v>-0.12866313087306497</v>
      </c>
      <c r="Z140">
        <f>J140/N140</f>
        <v>-29.001865424463556</v>
      </c>
      <c r="AA140">
        <f>J140/G140</f>
        <v>1.0357119065048559</v>
      </c>
      <c r="AB140">
        <f>C140/G140</f>
        <v>0.12650580975906286</v>
      </c>
      <c r="AC140">
        <f>C140/(G140-K140)</f>
        <v>0.16255737744785112</v>
      </c>
      <c r="AD140">
        <f>Q140/E140</f>
        <v>0.23647596272974344</v>
      </c>
      <c r="AE140">
        <f>Q140/J140</f>
        <v>-4.3945937599644776E-2</v>
      </c>
      <c r="AF140">
        <f>Q140/G140</f>
        <v>-4.5515330814471518E-2</v>
      </c>
      <c r="AG140">
        <f>Q140/K140</f>
        <v>-0.20522971080596975</v>
      </c>
      <c r="AH140">
        <f>Q140/L140</f>
        <v>-6.0355396078130216E-2</v>
      </c>
      <c r="AI140" s="1">
        <f>R140</f>
        <v>12.1</v>
      </c>
      <c r="AJ140" s="1">
        <f>P140</f>
        <v>-3636453</v>
      </c>
    </row>
    <row r="141" spans="1:36" x14ac:dyDescent="0.25">
      <c r="A141" s="15" t="s">
        <v>43</v>
      </c>
      <c r="B141" s="15">
        <v>2024</v>
      </c>
      <c r="C141" s="6">
        <v>1317468</v>
      </c>
      <c r="D141" s="11">
        <v>48301</v>
      </c>
      <c r="E141" s="6">
        <v>-466967</v>
      </c>
      <c r="F141" s="6"/>
      <c r="G141" s="6">
        <v>5302077</v>
      </c>
      <c r="H141" s="6">
        <v>715040</v>
      </c>
      <c r="I141" s="6">
        <v>38064</v>
      </c>
      <c r="J141" s="6">
        <v>5958521</v>
      </c>
      <c r="K141" s="6">
        <v>1135024</v>
      </c>
      <c r="L141" s="6">
        <f>229840+M141</f>
        <v>4291411</v>
      </c>
      <c r="M141" s="6">
        <v>4061571</v>
      </c>
      <c r="N141" s="6">
        <v>-656444</v>
      </c>
      <c r="O141" s="6">
        <v>-656444</v>
      </c>
      <c r="P141" s="6">
        <v>-4104200</v>
      </c>
      <c r="Q141" s="6">
        <v>-216304</v>
      </c>
      <c r="R141" s="6">
        <v>13</v>
      </c>
      <c r="S141" s="15"/>
      <c r="T141" s="15">
        <f>E141/G141</f>
        <v>-8.807246669559872E-2</v>
      </c>
      <c r="U141" s="15">
        <f>D141/C141</f>
        <v>3.6661991031281219E-2</v>
      </c>
      <c r="V141" s="15">
        <f>(E141-F141)/O141</f>
        <v>0.71135847079111092</v>
      </c>
      <c r="W141" s="15">
        <f>H141/K141</f>
        <v>0.62997786830939262</v>
      </c>
      <c r="X141" s="15">
        <f>(H141-I141)/K141</f>
        <v>0.59644201356094673</v>
      </c>
      <c r="Y141" s="15">
        <f>(H141-K141)/G141</f>
        <v>-7.9211222319102492E-2</v>
      </c>
      <c r="Z141" s="15">
        <f>J141/N141</f>
        <v>-9.0769677230654864</v>
      </c>
      <c r="AA141" s="15">
        <f>J141/G141</f>
        <v>1.1238088394415999</v>
      </c>
      <c r="AB141" s="15">
        <f>C141/G141</f>
        <v>0.24848149130991495</v>
      </c>
      <c r="AC141" s="15">
        <f>C141/(G141-K141)</f>
        <v>0.31616300536614245</v>
      </c>
      <c r="AD141" s="15">
        <f>Q141/E141</f>
        <v>0.46321046240954927</v>
      </c>
      <c r="AE141" s="15">
        <f>Q141/J141</f>
        <v>-3.6301625856483513E-2</v>
      </c>
      <c r="AF141" s="15">
        <f>Q141/G141</f>
        <v>-4.0796088023617914E-2</v>
      </c>
      <c r="AG141" s="15">
        <f>Q141/K141</f>
        <v>-0.1905721817336021</v>
      </c>
      <c r="AH141" s="15">
        <f>Q141/L141</f>
        <v>-5.0403934743141594E-2</v>
      </c>
      <c r="AI141" s="6">
        <f>R141</f>
        <v>13</v>
      </c>
      <c r="AJ141" s="6">
        <f>P141</f>
        <v>-4104200</v>
      </c>
    </row>
    <row r="142" spans="1:36" s="2" customFormat="1" x14ac:dyDescent="0.25">
      <c r="A142" s="2" t="s">
        <v>38</v>
      </c>
      <c r="B142" s="2">
        <v>2018</v>
      </c>
      <c r="C142" s="3">
        <v>481855</v>
      </c>
      <c r="D142" s="3">
        <v>75757</v>
      </c>
      <c r="E142" s="3">
        <v>3164</v>
      </c>
      <c r="F142" s="3"/>
      <c r="G142" s="3">
        <v>1165278</v>
      </c>
      <c r="H142" s="3">
        <v>124117</v>
      </c>
      <c r="I142" s="3">
        <v>11225</v>
      </c>
      <c r="J142" s="3">
        <f>261221+K142</f>
        <v>557137</v>
      </c>
      <c r="K142" s="3">
        <v>295916</v>
      </c>
      <c r="L142" s="3">
        <f>28386+198087</f>
        <v>226473</v>
      </c>
      <c r="M142" s="3">
        <v>198087</v>
      </c>
      <c r="N142" s="3">
        <f>O142-152943</f>
        <v>302254</v>
      </c>
      <c r="O142" s="3">
        <v>455197</v>
      </c>
      <c r="P142" s="3">
        <v>120621</v>
      </c>
      <c r="Q142" s="3">
        <v>75111</v>
      </c>
      <c r="R142" s="3">
        <v>0.8</v>
      </c>
      <c r="T142" s="2">
        <f>E142/G142</f>
        <v>2.7152319017436184E-3</v>
      </c>
      <c r="U142" s="2">
        <f>D142/C142</f>
        <v>0.15721949549138226</v>
      </c>
      <c r="V142" s="2">
        <f>(E142-F142)/O142</f>
        <v>6.9508366707161954E-3</v>
      </c>
      <c r="W142" s="2">
        <f>H142/K142</f>
        <v>0.4194332175347058</v>
      </c>
      <c r="X142" s="2">
        <f>(H142-I142)/K142</f>
        <v>0.38150015544951948</v>
      </c>
      <c r="Y142" s="2">
        <f>(H142-K142)/G142</f>
        <v>-0.14743177164590768</v>
      </c>
      <c r="Z142" s="2">
        <f>J142/N142</f>
        <v>1.8432741998451634</v>
      </c>
      <c r="AA142" s="2">
        <f>J142/G142</f>
        <v>0.47811509356565557</v>
      </c>
      <c r="AB142" s="2">
        <f>C142/G142</f>
        <v>0.41351076738769632</v>
      </c>
      <c r="AC142" s="2">
        <f>C142/(G142-K142)</f>
        <v>0.55426278121196926</v>
      </c>
      <c r="AD142" s="2">
        <f>Q142/E142</f>
        <v>23.739254108723134</v>
      </c>
      <c r="AE142" s="2">
        <f>Q142/J142</f>
        <v>0.13481603268136921</v>
      </c>
      <c r="AF142" s="2">
        <f>Q142/G142</f>
        <v>6.4457580079603324E-2</v>
      </c>
      <c r="AG142" s="2">
        <f>Q142/K142</f>
        <v>0.25382540991362412</v>
      </c>
      <c r="AH142" s="2">
        <f>Q142/L142</f>
        <v>0.33165542912400153</v>
      </c>
      <c r="AI142" s="3">
        <f>R142</f>
        <v>0.8</v>
      </c>
      <c r="AJ142" s="3">
        <f>P142</f>
        <v>120621</v>
      </c>
    </row>
    <row r="143" spans="1:36" x14ac:dyDescent="0.25">
      <c r="A143" t="s">
        <v>38</v>
      </c>
      <c r="B143">
        <v>2019</v>
      </c>
      <c r="C143" s="1">
        <v>517008</v>
      </c>
      <c r="D143" s="1">
        <v>83021</v>
      </c>
      <c r="E143" s="1">
        <v>6</v>
      </c>
      <c r="G143" s="1">
        <v>1316495</v>
      </c>
      <c r="H143" s="1">
        <v>122337</v>
      </c>
      <c r="I143" s="1">
        <v>11227</v>
      </c>
      <c r="J143" s="1">
        <f>319593+K143</f>
        <v>599022</v>
      </c>
      <c r="K143" s="1">
        <v>279429</v>
      </c>
      <c r="L143" s="1">
        <f>29253+M143</f>
        <v>241371</v>
      </c>
      <c r="M143" s="1">
        <v>212118</v>
      </c>
      <c r="N143" s="1">
        <v>528061</v>
      </c>
      <c r="O143" s="1">
        <v>717472</v>
      </c>
      <c r="P143" s="1">
        <v>120166</v>
      </c>
      <c r="Q143" s="1">
        <v>80829</v>
      </c>
      <c r="R143" s="1">
        <v>0.6</v>
      </c>
      <c r="T143">
        <f>E143/G143</f>
        <v>4.5575562383449991E-6</v>
      </c>
      <c r="U143">
        <f>D143/C143</f>
        <v>0.16057972023643735</v>
      </c>
      <c r="V143">
        <f>(E143-F143)/O143</f>
        <v>8.3626956870790778E-6</v>
      </c>
      <c r="W143">
        <f>H143/K143</f>
        <v>0.43781067820448127</v>
      </c>
      <c r="X143">
        <f>(H143-I143)/K143</f>
        <v>0.39763231446986536</v>
      </c>
      <c r="Y143">
        <f>(H143-K143)/G143</f>
        <v>-0.11932593743234877</v>
      </c>
      <c r="Z143">
        <f>J143/N143</f>
        <v>1.1343803083355901</v>
      </c>
      <c r="AA143">
        <f>J143/G143</f>
        <v>0.4550127421676497</v>
      </c>
      <c r="AB143">
        <f>C143/G143</f>
        <v>0.39271550594571192</v>
      </c>
      <c r="AC143">
        <f>C143/(G143-K143)</f>
        <v>0.498529505354529</v>
      </c>
      <c r="AD143">
        <f>Q143/E143</f>
        <v>13471.5</v>
      </c>
      <c r="AE143">
        <f>Q143/J143</f>
        <v>0.1349349439586526</v>
      </c>
      <c r="AF143">
        <f>Q143/G143</f>
        <v>6.139711886486466E-2</v>
      </c>
      <c r="AG143">
        <f>Q143/K143</f>
        <v>0.28926489376550035</v>
      </c>
      <c r="AH143">
        <f>Q143/L143</f>
        <v>0.33487452925164995</v>
      </c>
      <c r="AI143" s="1">
        <f>R143</f>
        <v>0.6</v>
      </c>
      <c r="AJ143" s="1">
        <f>P143</f>
        <v>120166</v>
      </c>
    </row>
    <row r="144" spans="1:36" x14ac:dyDescent="0.25">
      <c r="A144" t="s">
        <v>38</v>
      </c>
      <c r="B144">
        <v>2020</v>
      </c>
      <c r="C144" s="1">
        <v>347169</v>
      </c>
      <c r="D144" s="1">
        <v>-8232</v>
      </c>
      <c r="E144" s="1">
        <v>-93907</v>
      </c>
      <c r="G144" s="1">
        <v>1313119</v>
      </c>
      <c r="H144" s="1">
        <v>157329</v>
      </c>
      <c r="I144" s="1">
        <v>9081</v>
      </c>
      <c r="J144" s="1">
        <f>355606+K144</f>
        <v>689102</v>
      </c>
      <c r="K144" s="1">
        <v>333496</v>
      </c>
      <c r="L144" s="1">
        <f>43209+M144</f>
        <v>250573</v>
      </c>
      <c r="M144" s="1">
        <v>207364</v>
      </c>
      <c r="N144" s="1">
        <v>448955</v>
      </c>
      <c r="O144" s="1">
        <v>624016</v>
      </c>
      <c r="P144" s="1">
        <v>41036</v>
      </c>
      <c r="Q144" s="1">
        <v>-29594</v>
      </c>
      <c r="R144" s="1">
        <v>0.6</v>
      </c>
      <c r="T144">
        <f>E144/G144</f>
        <v>-7.1514462893309746E-2</v>
      </c>
      <c r="U144">
        <f>D144/C144</f>
        <v>-2.3711794543867685E-2</v>
      </c>
      <c r="V144">
        <f>(E144-F144)/O144</f>
        <v>-0.15048812850952539</v>
      </c>
      <c r="W144">
        <f>H144/K144</f>
        <v>0.47175678269004728</v>
      </c>
      <c r="X144">
        <f>(H144-I144)/K144</f>
        <v>0.44452707078945475</v>
      </c>
      <c r="Y144">
        <f>(H144-K144)/G144</f>
        <v>-0.13415920415438357</v>
      </c>
      <c r="Z144">
        <f>J144/N144</f>
        <v>1.5349021616865832</v>
      </c>
      <c r="AA144">
        <f>J144/G144</f>
        <v>0.52478259776912828</v>
      </c>
      <c r="AB144">
        <f>C144/G144</f>
        <v>0.26438502527189084</v>
      </c>
      <c r="AC144">
        <f>C144/(G144-K144)</f>
        <v>0.35439041345497196</v>
      </c>
      <c r="AD144">
        <f>Q144/E144</f>
        <v>0.31514157624032285</v>
      </c>
      <c r="AE144">
        <f>Q144/J144</f>
        <v>-4.294574678349504E-2</v>
      </c>
      <c r="AF144">
        <f>Q144/G144</f>
        <v>-2.2537180560177714E-2</v>
      </c>
      <c r="AG144">
        <f>Q144/K144</f>
        <v>-8.8738695516587904E-2</v>
      </c>
      <c r="AH144">
        <f>Q144/L144</f>
        <v>-0.11810530264633461</v>
      </c>
      <c r="AI144" s="1">
        <f>R144</f>
        <v>0.6</v>
      </c>
      <c r="AJ144" s="1">
        <f>P144</f>
        <v>41036</v>
      </c>
    </row>
    <row r="145" spans="1:36" x14ac:dyDescent="0.25">
      <c r="A145" t="s">
        <v>38</v>
      </c>
      <c r="B145">
        <v>2021</v>
      </c>
      <c r="C145" s="1">
        <v>115956</v>
      </c>
      <c r="D145" s="1">
        <v>-95841</v>
      </c>
      <c r="E145" s="1">
        <v>-141169</v>
      </c>
      <c r="G145" s="1">
        <v>1216014</v>
      </c>
      <c r="H145" s="1">
        <v>89442</v>
      </c>
      <c r="I145" s="1">
        <v>6721</v>
      </c>
      <c r="J145" s="1">
        <f>373829+K145</f>
        <v>734148</v>
      </c>
      <c r="K145" s="1">
        <v>360319</v>
      </c>
      <c r="L145" s="1">
        <f>55889+M145</f>
        <v>283369</v>
      </c>
      <c r="M145" s="1">
        <v>227480</v>
      </c>
      <c r="N145" s="1">
        <v>311586</v>
      </c>
      <c r="O145" s="1">
        <v>481864</v>
      </c>
      <c r="P145" s="1">
        <v>-95278</v>
      </c>
      <c r="Q145" s="1">
        <v>14074</v>
      </c>
      <c r="R145" s="1">
        <v>0.8</v>
      </c>
      <c r="T145">
        <f>E145/G145</f>
        <v>-0.11609159105076093</v>
      </c>
      <c r="U145">
        <f>D145/C145</f>
        <v>-0.82652902825209562</v>
      </c>
      <c r="V145">
        <f>(E145-F145)/O145</f>
        <v>-0.29296440489432701</v>
      </c>
      <c r="W145">
        <f>H145/K145</f>
        <v>0.24823004060291021</v>
      </c>
      <c r="X145">
        <f>(H145-I145)/K145</f>
        <v>0.2295771247144891</v>
      </c>
      <c r="Y145">
        <f>(H145-K145)/G145</f>
        <v>-0.2227581261399951</v>
      </c>
      <c r="Z145">
        <f>J145/N145</f>
        <v>2.3561649111320793</v>
      </c>
      <c r="AA145">
        <f>J145/G145</f>
        <v>0.60373318070351167</v>
      </c>
      <c r="AB145">
        <f>C145/G145</f>
        <v>9.535745476614578E-2</v>
      </c>
      <c r="AC145">
        <f>C145/(G145-K145)</f>
        <v>0.13551090049608797</v>
      </c>
      <c r="AD145">
        <f>Q145/E145</f>
        <v>-9.9696108919096971E-2</v>
      </c>
      <c r="AE145">
        <f>Q145/J145</f>
        <v>1.9170521475233876E-2</v>
      </c>
      <c r="AF145">
        <f>Q145/G145</f>
        <v>1.1573879905987924E-2</v>
      </c>
      <c r="AG145">
        <f>Q145/K145</f>
        <v>3.9059833092343177E-2</v>
      </c>
      <c r="AH145">
        <f>Q145/L145</f>
        <v>4.9666689016794358E-2</v>
      </c>
      <c r="AI145" s="1">
        <f>R145</f>
        <v>0.8</v>
      </c>
      <c r="AJ145" s="1">
        <f>P145</f>
        <v>-95278</v>
      </c>
    </row>
    <row r="146" spans="1:36" x14ac:dyDescent="0.25">
      <c r="A146" t="s">
        <v>38</v>
      </c>
      <c r="B146">
        <v>2022</v>
      </c>
      <c r="C146" s="1">
        <v>242906</v>
      </c>
      <c r="D146" s="1">
        <v>-13859</v>
      </c>
      <c r="E146" s="1">
        <v>-144938</v>
      </c>
      <c r="G146" s="1">
        <v>1208422</v>
      </c>
      <c r="H146" s="1">
        <v>110997</v>
      </c>
      <c r="I146" s="1">
        <v>9513</v>
      </c>
      <c r="J146" s="1">
        <f>466186+K146</f>
        <v>871875</v>
      </c>
      <c r="K146" s="1">
        <v>405689</v>
      </c>
      <c r="L146" s="1">
        <f>60419+M146</f>
        <v>371365</v>
      </c>
      <c r="M146" s="1">
        <v>310946</v>
      </c>
      <c r="N146" s="1">
        <v>171219</v>
      </c>
      <c r="O146" s="1">
        <v>336545</v>
      </c>
      <c r="P146" s="1">
        <v>-234951</v>
      </c>
      <c r="Q146" s="1">
        <v>47199</v>
      </c>
      <c r="R146" s="1">
        <v>0.9</v>
      </c>
      <c r="T146">
        <f>E146/G146</f>
        <v>-0.11993988854886786</v>
      </c>
      <c r="U146">
        <f>D146/C146</f>
        <v>-5.7054992466221505E-2</v>
      </c>
      <c r="V146">
        <f>(E146-F146)/O146</f>
        <v>-0.43066454708879942</v>
      </c>
      <c r="W146">
        <f>H146/K146</f>
        <v>0.27360120683577815</v>
      </c>
      <c r="X146">
        <f>(H146-I146)/K146</f>
        <v>0.25015221019056472</v>
      </c>
      <c r="Y146">
        <f>(H146-K146)/G146</f>
        <v>-0.24386513982698096</v>
      </c>
      <c r="Z146">
        <f>J146/N146</f>
        <v>5.0921626688626844</v>
      </c>
      <c r="AA146">
        <f>J146/G146</f>
        <v>0.72149878105496257</v>
      </c>
      <c r="AB146">
        <f>C146/G146</f>
        <v>0.20101090513082351</v>
      </c>
      <c r="AC146">
        <f>C146/(G146-K146)</f>
        <v>0.30259874703045719</v>
      </c>
      <c r="AD146">
        <f>Q146/E146</f>
        <v>-0.32564958809973921</v>
      </c>
      <c r="AE146">
        <f>Q146/J146</f>
        <v>5.4135053763440862E-2</v>
      </c>
      <c r="AF146">
        <f>Q146/G146</f>
        <v>3.9058375302667446E-2</v>
      </c>
      <c r="AG146">
        <f>Q146/K146</f>
        <v>0.11634281432328705</v>
      </c>
      <c r="AH146">
        <f>Q146/L146</f>
        <v>0.12709598373567785</v>
      </c>
      <c r="AI146" s="1">
        <f>R146</f>
        <v>0.9</v>
      </c>
      <c r="AJ146" s="1">
        <f>P146</f>
        <v>-234951</v>
      </c>
    </row>
    <row r="147" spans="1:36" x14ac:dyDescent="0.25">
      <c r="A147" t="s">
        <v>38</v>
      </c>
      <c r="B147">
        <v>2023</v>
      </c>
      <c r="C147" s="1">
        <v>368580</v>
      </c>
      <c r="D147" s="1">
        <v>-41902</v>
      </c>
      <c r="E147" s="1">
        <v>-293323</v>
      </c>
      <c r="G147" s="1">
        <v>1217660</v>
      </c>
      <c r="H147" s="1">
        <v>140029</v>
      </c>
      <c r="I147" s="1">
        <v>12920</v>
      </c>
      <c r="J147" s="1">
        <f>676285+K147</f>
        <v>1241279</v>
      </c>
      <c r="K147" s="1">
        <v>564994</v>
      </c>
      <c r="L147" s="1">
        <f>63593+M147</f>
        <v>430692</v>
      </c>
      <c r="M147" s="1">
        <v>367099</v>
      </c>
      <c r="N147" s="1">
        <v>-156921</v>
      </c>
      <c r="O147" s="1">
        <v>-23620</v>
      </c>
      <c r="P147" s="1">
        <v>-519267</v>
      </c>
      <c r="Q147" s="1">
        <v>80382</v>
      </c>
      <c r="R147" s="1">
        <v>1.4</v>
      </c>
      <c r="S147" s="14"/>
      <c r="T147">
        <f>E147/G147</f>
        <v>-0.24089072483287619</v>
      </c>
      <c r="U147">
        <f>D147/C147</f>
        <v>-0.11368495306310705</v>
      </c>
      <c r="V147">
        <f>(E147-F147)/O147</f>
        <v>12.418416596104995</v>
      </c>
      <c r="W147">
        <f>H147/K147</f>
        <v>0.24784156999897344</v>
      </c>
      <c r="X147">
        <f>(H147-I147)/K147</f>
        <v>0.22497407052110288</v>
      </c>
      <c r="Y147">
        <f>(H147-K147)/G147</f>
        <v>-0.34900136327053527</v>
      </c>
      <c r="Z147">
        <f>J147/N147</f>
        <v>-7.9102159685446818</v>
      </c>
      <c r="AA147">
        <f>J147/G147</f>
        <v>1.0193970402246932</v>
      </c>
      <c r="AB147">
        <f>C147/G147</f>
        <v>0.30269533367278223</v>
      </c>
      <c r="AC147">
        <f>C147/(G147-K147)</f>
        <v>0.56472989247180028</v>
      </c>
      <c r="AD147">
        <f>Q147/E147</f>
        <v>-0.27403919910815039</v>
      </c>
      <c r="AE147">
        <f>Q147/J147</f>
        <v>6.4757399424303475E-2</v>
      </c>
      <c r="AF147">
        <f>Q147/G147</f>
        <v>6.601350130578322E-2</v>
      </c>
      <c r="AG147">
        <f>Q147/K147</f>
        <v>0.14227053738623774</v>
      </c>
      <c r="AH147">
        <f>Q147/L147</f>
        <v>0.18663453233401131</v>
      </c>
      <c r="AI147" s="1">
        <f>R147</f>
        <v>1.4</v>
      </c>
      <c r="AJ147" s="1">
        <f>P147</f>
        <v>-519267</v>
      </c>
    </row>
    <row r="148" spans="1:36" x14ac:dyDescent="0.25">
      <c r="A148" s="15" t="s">
        <v>38</v>
      </c>
      <c r="B148" s="15">
        <v>2024</v>
      </c>
      <c r="C148" s="6">
        <v>722507</v>
      </c>
      <c r="D148" s="6">
        <v>161756</v>
      </c>
      <c r="E148" s="6">
        <v>177225</v>
      </c>
      <c r="F148" s="6"/>
      <c r="G148" s="6">
        <v>1255001</v>
      </c>
      <c r="H148" s="6">
        <v>169552</v>
      </c>
      <c r="I148" s="6">
        <v>16974</v>
      </c>
      <c r="J148" s="6">
        <f>538120+K148</f>
        <v>987032</v>
      </c>
      <c r="K148" s="6">
        <v>448912</v>
      </c>
      <c r="L148" s="6">
        <f>98543+M148</f>
        <v>434926</v>
      </c>
      <c r="M148" s="6">
        <v>336383</v>
      </c>
      <c r="N148" s="6">
        <v>139769</v>
      </c>
      <c r="O148" s="6">
        <v>267968</v>
      </c>
      <c r="P148" s="6">
        <v>-336940</v>
      </c>
      <c r="Q148" s="6">
        <v>18914</v>
      </c>
      <c r="R148" s="6">
        <v>1.4</v>
      </c>
      <c r="S148" s="15"/>
      <c r="T148" s="15">
        <f>E148/G148</f>
        <v>0.14121502692029728</v>
      </c>
      <c r="U148" s="15">
        <f>D148/C148</f>
        <v>0.22388156792944566</v>
      </c>
      <c r="V148" s="15">
        <f>(E148-F148)/O148</f>
        <v>0.661366282541199</v>
      </c>
      <c r="W148" s="15">
        <f>H148/K148</f>
        <v>0.37769540578108851</v>
      </c>
      <c r="X148" s="15">
        <f>(H148-I148)/K148</f>
        <v>0.33988398617100901</v>
      </c>
      <c r="Y148" s="15">
        <f>(H148-K148)/G148</f>
        <v>-0.22259743219328113</v>
      </c>
      <c r="Z148" s="15">
        <f>J148/N148</f>
        <v>7.0618806745415652</v>
      </c>
      <c r="AA148" s="15">
        <f>J148/G148</f>
        <v>0.78647905459836287</v>
      </c>
      <c r="AB148" s="15">
        <f>C148/G148</f>
        <v>0.57570233011766525</v>
      </c>
      <c r="AC148" s="15">
        <f>C148/(G148-K148)</f>
        <v>0.89631169759170515</v>
      </c>
      <c r="AD148" s="15">
        <f>Q148/E148</f>
        <v>0.10672309211454366</v>
      </c>
      <c r="AE148" s="15">
        <f>Q148/J148</f>
        <v>1.9162499290803135E-2</v>
      </c>
      <c r="AF148" s="15">
        <f>Q148/G148</f>
        <v>1.5070904325972649E-2</v>
      </c>
      <c r="AG148" s="15">
        <f>Q148/K148</f>
        <v>4.2132979292155252E-2</v>
      </c>
      <c r="AH148" s="15">
        <f>Q148/L148</f>
        <v>4.3487857704529044E-2</v>
      </c>
      <c r="AI148" s="6">
        <f>R148</f>
        <v>1.4</v>
      </c>
      <c r="AJ148" s="6">
        <f>P148</f>
        <v>-336940</v>
      </c>
    </row>
    <row r="149" spans="1:36" s="2" customFormat="1" x14ac:dyDescent="0.25">
      <c r="A149" s="2" t="s">
        <v>35</v>
      </c>
      <c r="B149" s="2">
        <v>2018</v>
      </c>
      <c r="C149" s="3">
        <v>4215000</v>
      </c>
      <c r="D149" s="3">
        <v>552000</v>
      </c>
      <c r="E149" s="3">
        <v>404000</v>
      </c>
      <c r="F149" s="3"/>
      <c r="G149" s="3">
        <v>4629000</v>
      </c>
      <c r="H149" s="3">
        <v>1557000</v>
      </c>
      <c r="I149" s="3">
        <v>166000</v>
      </c>
      <c r="J149" s="3">
        <v>1069000</v>
      </c>
      <c r="K149" s="3">
        <v>440000</v>
      </c>
      <c r="L149" s="3">
        <v>546000</v>
      </c>
      <c r="M149" s="3">
        <v>393000</v>
      </c>
      <c r="N149" s="3">
        <v>3560000</v>
      </c>
      <c r="O149" s="3">
        <v>3560000</v>
      </c>
      <c r="P149" s="3">
        <v>2893000</v>
      </c>
      <c r="Q149" s="3">
        <v>1001503</v>
      </c>
      <c r="R149" s="3">
        <v>134.6</v>
      </c>
      <c r="T149" s="2">
        <f>E149/G149</f>
        <v>8.7275869518254487E-2</v>
      </c>
      <c r="U149" s="2">
        <f>D149/C149</f>
        <v>0.1309608540925267</v>
      </c>
      <c r="V149" s="2">
        <f>(E149-F149)/O149</f>
        <v>0.11348314606741573</v>
      </c>
      <c r="W149" s="2">
        <f>H149/K149</f>
        <v>3.5386363636363636</v>
      </c>
      <c r="X149" s="2">
        <f>(H149-I149)/K149</f>
        <v>3.1613636363636362</v>
      </c>
      <c r="Y149" s="2">
        <f>(H149-K149)/G149</f>
        <v>0.2413048174551739</v>
      </c>
      <c r="Z149" s="2">
        <f>J149/N149</f>
        <v>0.30028089887640447</v>
      </c>
      <c r="AA149" s="2">
        <f>J149/G149</f>
        <v>0.23093540721538131</v>
      </c>
      <c r="AB149" s="2">
        <f>C149/G149</f>
        <v>0.91056383668178875</v>
      </c>
      <c r="AC149" s="2">
        <f>C149/(G149-K149)</f>
        <v>1.0062067319169252</v>
      </c>
      <c r="AD149" s="2">
        <f>Q149/E149</f>
        <v>2.4789678217821782</v>
      </c>
      <c r="AE149" s="2">
        <f>Q149/J149</f>
        <v>0.93685968194574365</v>
      </c>
      <c r="AF149" s="2">
        <f>Q149/G149</f>
        <v>0.21635407215381292</v>
      </c>
      <c r="AG149" s="2">
        <f>Q149/K149</f>
        <v>2.2761431818181816</v>
      </c>
      <c r="AH149" s="2">
        <f>Q149/L149</f>
        <v>1.8342545787545788</v>
      </c>
      <c r="AI149" s="3">
        <f>R149</f>
        <v>134.6</v>
      </c>
      <c r="AJ149" s="3">
        <f>P149</f>
        <v>2893000</v>
      </c>
    </row>
    <row r="150" spans="1:36" x14ac:dyDescent="0.25">
      <c r="A150" t="s">
        <v>35</v>
      </c>
      <c r="B150">
        <v>2019</v>
      </c>
      <c r="C150" s="1">
        <v>4724000</v>
      </c>
      <c r="D150" s="1">
        <v>545000</v>
      </c>
      <c r="E150" s="1">
        <v>413000</v>
      </c>
      <c r="G150" s="1">
        <v>4960000</v>
      </c>
      <c r="H150" s="1">
        <v>1792000</v>
      </c>
      <c r="I150" s="1">
        <v>216000</v>
      </c>
      <c r="J150" s="1">
        <v>1094000</v>
      </c>
      <c r="K150" s="1">
        <v>553000</v>
      </c>
      <c r="L150" s="1">
        <v>485000</v>
      </c>
      <c r="M150" s="1">
        <v>298000</v>
      </c>
      <c r="N150" s="1">
        <v>3866000</v>
      </c>
      <c r="O150" s="1">
        <v>3866000</v>
      </c>
      <c r="P150" s="1">
        <v>3197000</v>
      </c>
      <c r="Q150" s="1">
        <v>476270</v>
      </c>
      <c r="R150" s="1">
        <v>114.8</v>
      </c>
      <c r="T150">
        <f>E150/G150</f>
        <v>8.3266129032258066E-2</v>
      </c>
      <c r="U150">
        <f>D150/C150</f>
        <v>0.11536833192209991</v>
      </c>
      <c r="V150">
        <f>(E150-F150)/O150</f>
        <v>0.10682876357992757</v>
      </c>
      <c r="W150">
        <f>H150/K150</f>
        <v>3.240506329113924</v>
      </c>
      <c r="X150">
        <f>(H150-I150)/K150</f>
        <v>2.8499095840867992</v>
      </c>
      <c r="Y150">
        <f>(H150-K150)/G150</f>
        <v>0.24979838709677418</v>
      </c>
      <c r="Z150">
        <f>J150/N150</f>
        <v>0.28297982410760475</v>
      </c>
      <c r="AA150">
        <f>J150/G150</f>
        <v>0.22056451612903225</v>
      </c>
      <c r="AB150">
        <f>C150/G150</f>
        <v>0.95241935483870965</v>
      </c>
      <c r="AC150">
        <f>C150/(G150-K150)</f>
        <v>1.0719310188336737</v>
      </c>
      <c r="AD150">
        <f>Q150/E150</f>
        <v>1.1531961259079904</v>
      </c>
      <c r="AE150">
        <f>Q150/J150</f>
        <v>0.43534734917733092</v>
      </c>
      <c r="AF150">
        <f>Q150/G150</f>
        <v>9.6022177419354843E-2</v>
      </c>
      <c r="AG150">
        <f>Q150/K150</f>
        <v>0.86124773960216994</v>
      </c>
      <c r="AH150">
        <f>Q150/L150</f>
        <v>0.98199999999999998</v>
      </c>
      <c r="AI150" s="1">
        <f>R150</f>
        <v>114.8</v>
      </c>
      <c r="AJ150" s="1">
        <f>P150</f>
        <v>3197000</v>
      </c>
    </row>
    <row r="151" spans="1:36" x14ac:dyDescent="0.25">
      <c r="A151" t="s">
        <v>35</v>
      </c>
      <c r="B151">
        <v>2020</v>
      </c>
      <c r="C151" s="1">
        <v>4361000</v>
      </c>
      <c r="D151" s="1">
        <v>-57000</v>
      </c>
      <c r="E151" s="1">
        <v>-196000</v>
      </c>
      <c r="G151" s="1">
        <v>5061000</v>
      </c>
      <c r="H151" s="1">
        <v>1669000</v>
      </c>
      <c r="I151" s="1">
        <v>374000</v>
      </c>
      <c r="J151" s="1">
        <v>1363000</v>
      </c>
      <c r="K151" s="1">
        <v>866000</v>
      </c>
      <c r="L151" s="1">
        <v>651000</v>
      </c>
      <c r="M151" s="1">
        <v>258000</v>
      </c>
      <c r="N151" s="1">
        <v>3698000</v>
      </c>
      <c r="O151" s="1">
        <v>3698000</v>
      </c>
      <c r="P151" s="1">
        <v>2937000</v>
      </c>
      <c r="Q151" s="1">
        <v>53466</v>
      </c>
      <c r="R151" s="1">
        <v>78.7</v>
      </c>
      <c r="T151">
        <f>E151/G151</f>
        <v>-3.8727524204702629E-2</v>
      </c>
      <c r="U151">
        <f>D151/C151</f>
        <v>-1.3070396698005044E-2</v>
      </c>
      <c r="V151">
        <f>(E151-F151)/O151</f>
        <v>-5.300162249864792E-2</v>
      </c>
      <c r="W151">
        <f>H151/K151</f>
        <v>1.9272517321016167</v>
      </c>
      <c r="X151">
        <f>(H151-I151)/K151</f>
        <v>1.4953810623556583</v>
      </c>
      <c r="Y151">
        <f>(H151-K151)/G151</f>
        <v>0.15866429559375617</v>
      </c>
      <c r="Z151">
        <f>J151/N151</f>
        <v>0.36857760951865876</v>
      </c>
      <c r="AA151">
        <f>J151/G151</f>
        <v>0.26931436475004938</v>
      </c>
      <c r="AB151">
        <f>C151/G151</f>
        <v>0.86168741355463352</v>
      </c>
      <c r="AC151">
        <f>C151/(G151-K151)</f>
        <v>1.0395709177592372</v>
      </c>
      <c r="AD151">
        <f>Q151/E151</f>
        <v>-0.2727857142857143</v>
      </c>
      <c r="AE151">
        <f>Q151/J151</f>
        <v>3.9226705796038153E-2</v>
      </c>
      <c r="AF151">
        <f>Q151/G151</f>
        <v>1.0564315352697095E-2</v>
      </c>
      <c r="AG151">
        <f>Q151/K151</f>
        <v>6.1739030023094686E-2</v>
      </c>
      <c r="AH151">
        <f>Q151/L151</f>
        <v>8.2129032258064519E-2</v>
      </c>
      <c r="AI151" s="1">
        <f>R151</f>
        <v>78.7</v>
      </c>
      <c r="AJ151" s="1">
        <f>P151</f>
        <v>2937000</v>
      </c>
    </row>
    <row r="152" spans="1:36" x14ac:dyDescent="0.25">
      <c r="A152" t="s">
        <v>35</v>
      </c>
      <c r="B152">
        <v>2021</v>
      </c>
      <c r="C152" s="1">
        <v>5057000</v>
      </c>
      <c r="D152" s="1">
        <v>256000</v>
      </c>
      <c r="E152" s="1">
        <v>347000</v>
      </c>
      <c r="G152" s="1">
        <v>5290000</v>
      </c>
      <c r="H152" s="1">
        <v>1750000</v>
      </c>
      <c r="I152" s="1">
        <v>245000</v>
      </c>
      <c r="J152" s="1">
        <v>1176000</v>
      </c>
      <c r="K152" s="1">
        <v>758000</v>
      </c>
      <c r="L152" s="1">
        <v>511000</v>
      </c>
      <c r="M152" s="1">
        <v>142000</v>
      </c>
      <c r="N152" s="1">
        <v>4114000</v>
      </c>
      <c r="O152" s="1">
        <v>4114000</v>
      </c>
      <c r="P152" s="1">
        <v>3284000</v>
      </c>
      <c r="Q152" s="1">
        <v>1058327</v>
      </c>
      <c r="R152" s="1">
        <v>137.80000000000001</v>
      </c>
      <c r="T152">
        <f>E152/G152</f>
        <v>6.5595463137996218E-2</v>
      </c>
      <c r="U152">
        <f>D152/C152</f>
        <v>5.0622898951947798E-2</v>
      </c>
      <c r="V152">
        <f>(E152-F152)/O152</f>
        <v>8.4346135148274187E-2</v>
      </c>
      <c r="W152">
        <f>H152/K152</f>
        <v>2.3087071240105539</v>
      </c>
      <c r="X152">
        <f>(H152-I152)/K152</f>
        <v>1.9854881266490765</v>
      </c>
      <c r="Y152">
        <f>(H152-K152)/G152</f>
        <v>0.18752362948960302</v>
      </c>
      <c r="Z152">
        <f>J152/N152</f>
        <v>0.28585318424890616</v>
      </c>
      <c r="AA152">
        <f>J152/G152</f>
        <v>0.22230623818525519</v>
      </c>
      <c r="AB152">
        <f>C152/G152</f>
        <v>0.95595463137996217</v>
      </c>
      <c r="AC152">
        <f>C152/(G152-K152)</f>
        <v>1.1158428949691086</v>
      </c>
      <c r="AD152">
        <f>Q152/E152</f>
        <v>3.0499337175792509</v>
      </c>
      <c r="AE152">
        <f>Q152/J152</f>
        <v>0.89993792517006799</v>
      </c>
      <c r="AF152">
        <f>Q152/G152</f>
        <v>0.2000618147448015</v>
      </c>
      <c r="AG152">
        <f>Q152/K152</f>
        <v>1.3962097625329815</v>
      </c>
      <c r="AH152">
        <f>Q152/L152</f>
        <v>2.0710900195694717</v>
      </c>
      <c r="AI152" s="1">
        <f>R152</f>
        <v>137.80000000000001</v>
      </c>
      <c r="AJ152" s="1">
        <f>P152</f>
        <v>3284000</v>
      </c>
    </row>
    <row r="153" spans="1:36" x14ac:dyDescent="0.25">
      <c r="A153" t="s">
        <v>35</v>
      </c>
      <c r="B153">
        <v>2022</v>
      </c>
      <c r="C153" s="1">
        <v>6742000</v>
      </c>
      <c r="D153" s="1">
        <v>663000</v>
      </c>
      <c r="E153" s="1">
        <v>765000</v>
      </c>
      <c r="G153" s="1">
        <v>6201000</v>
      </c>
      <c r="H153" s="1">
        <v>2369000</v>
      </c>
      <c r="I153" s="1">
        <v>362000</v>
      </c>
      <c r="J153" s="1">
        <v>1416000</v>
      </c>
      <c r="K153" s="1">
        <v>886000</v>
      </c>
      <c r="L153" s="1">
        <v>533000</v>
      </c>
      <c r="M153" s="1">
        <v>258000</v>
      </c>
      <c r="N153" s="1">
        <v>4785000</v>
      </c>
      <c r="O153" s="1">
        <v>4785000</v>
      </c>
      <c r="P153" s="1">
        <v>3961000</v>
      </c>
      <c r="Q153" s="1">
        <v>1227144</v>
      </c>
      <c r="R153" s="1">
        <v>151.30000000000001</v>
      </c>
      <c r="T153">
        <f>E153/G153</f>
        <v>0.12336719883889695</v>
      </c>
      <c r="U153">
        <f>D153/C153</f>
        <v>9.8338771877781075E-2</v>
      </c>
      <c r="V153">
        <f>(E153-F153)/O153</f>
        <v>0.15987460815047022</v>
      </c>
      <c r="W153">
        <f>H153/K153</f>
        <v>2.6738148984198644</v>
      </c>
      <c r="X153">
        <f>(H153-I153)/K153</f>
        <v>2.265237020316027</v>
      </c>
      <c r="Y153">
        <f>(H153-K153)/G153</f>
        <v>0.2391549750040316</v>
      </c>
      <c r="Z153">
        <f>J153/N153</f>
        <v>0.29592476489028213</v>
      </c>
      <c r="AA153">
        <f>J153/G153</f>
        <v>0.22835026608611514</v>
      </c>
      <c r="AB153">
        <f>C153/G153</f>
        <v>1.0872439929043702</v>
      </c>
      <c r="AC153">
        <f>C153/(G153-K153)</f>
        <v>1.2684854186265286</v>
      </c>
      <c r="AD153">
        <f>Q153/E153</f>
        <v>1.6041098039215687</v>
      </c>
      <c r="AE153">
        <f>Q153/J153</f>
        <v>0.86662711864406783</v>
      </c>
      <c r="AF153">
        <f>Q153/G153</f>
        <v>0.19789453313981617</v>
      </c>
      <c r="AG153">
        <f>Q153/K153</f>
        <v>1.385038374717833</v>
      </c>
      <c r="AH153">
        <f>Q153/L153</f>
        <v>2.3023339587242027</v>
      </c>
      <c r="AI153" s="1">
        <f>R153</f>
        <v>151.30000000000001</v>
      </c>
      <c r="AJ153" s="1">
        <f>P153</f>
        <v>3961000</v>
      </c>
    </row>
    <row r="154" spans="1:36" x14ac:dyDescent="0.25">
      <c r="A154" t="s">
        <v>35</v>
      </c>
      <c r="B154">
        <v>2023</v>
      </c>
      <c r="C154" s="1">
        <v>11868000</v>
      </c>
      <c r="D154" s="1">
        <v>367000</v>
      </c>
      <c r="E154" s="1">
        <v>283000</v>
      </c>
      <c r="G154" s="1">
        <v>8515000</v>
      </c>
      <c r="H154" s="1">
        <v>3534000</v>
      </c>
      <c r="I154" s="1">
        <v>986000</v>
      </c>
      <c r="J154" s="1">
        <v>3307000</v>
      </c>
      <c r="K154" s="1">
        <v>2332000</v>
      </c>
      <c r="L154" s="1">
        <v>1997000</v>
      </c>
      <c r="M154" s="1">
        <v>364000</v>
      </c>
      <c r="N154" s="1">
        <v>5208000</v>
      </c>
      <c r="O154" s="1">
        <v>5208000</v>
      </c>
      <c r="P154" s="1">
        <v>3868000</v>
      </c>
      <c r="Q154" s="1">
        <v>620553</v>
      </c>
      <c r="R154" s="1">
        <v>145</v>
      </c>
      <c r="T154">
        <f>E154/G154</f>
        <v>3.3235466823253082E-2</v>
      </c>
      <c r="U154">
        <f>D154/C154</f>
        <v>3.0923491742500843E-2</v>
      </c>
      <c r="V154">
        <f>(E154-F154)/O154</f>
        <v>5.4339477726574499E-2</v>
      </c>
      <c r="W154">
        <f>H154/K154</f>
        <v>1.5154373927958833</v>
      </c>
      <c r="X154">
        <f>(H154-I154)/K154</f>
        <v>1.0926243567753002</v>
      </c>
      <c r="Y154">
        <f>(H154-K154)/G154</f>
        <v>0.14116265413975337</v>
      </c>
      <c r="Z154">
        <f>J154/N154</f>
        <v>0.63498463901689706</v>
      </c>
      <c r="AA154">
        <f>J154/G154</f>
        <v>0.38837345860246625</v>
      </c>
      <c r="AB154">
        <f>C154/G154</f>
        <v>1.393775689958896</v>
      </c>
      <c r="AC154">
        <f>C154/(G154-K154)</f>
        <v>1.9194565744784085</v>
      </c>
      <c r="AD154">
        <f>Q154/E154</f>
        <v>2.1927667844522967</v>
      </c>
      <c r="AE154">
        <f>Q154/J154</f>
        <v>0.18764832174175991</v>
      </c>
      <c r="AF154">
        <f>Q154/G154</f>
        <v>7.2877627715795659E-2</v>
      </c>
      <c r="AG154">
        <f>Q154/K154</f>
        <v>0.26610334476843911</v>
      </c>
      <c r="AH154">
        <f>Q154/L154</f>
        <v>0.31074261392088132</v>
      </c>
      <c r="AI154" s="1">
        <f>R154</f>
        <v>145</v>
      </c>
      <c r="AJ154" s="1">
        <f>P154</f>
        <v>3868000</v>
      </c>
    </row>
    <row r="155" spans="1:36" x14ac:dyDescent="0.25">
      <c r="A155" s="15" t="s">
        <v>35</v>
      </c>
      <c r="B155" s="15">
        <v>2024</v>
      </c>
      <c r="C155" s="6">
        <v>13291000</v>
      </c>
      <c r="D155" s="6">
        <v>559000</v>
      </c>
      <c r="E155" s="6">
        <v>436000</v>
      </c>
      <c r="F155" s="6"/>
      <c r="G155" s="6">
        <v>9469000</v>
      </c>
      <c r="H155" s="6">
        <v>3623000</v>
      </c>
      <c r="I155" s="6">
        <v>607000</v>
      </c>
      <c r="J155" s="6">
        <v>3661000</v>
      </c>
      <c r="K155" s="6">
        <v>2695000</v>
      </c>
      <c r="L155" s="6">
        <v>2462000</v>
      </c>
      <c r="M155" s="6">
        <v>344000</v>
      </c>
      <c r="N155" s="6">
        <v>5808000</v>
      </c>
      <c r="O155" s="6">
        <v>5808000</v>
      </c>
      <c r="P155" s="6">
        <v>4175000</v>
      </c>
      <c r="Q155" s="6">
        <v>1931981</v>
      </c>
      <c r="R155" s="6">
        <v>173</v>
      </c>
      <c r="S155" s="15"/>
      <c r="T155" s="15">
        <f>E155/G155</f>
        <v>4.6044988911183866E-2</v>
      </c>
      <c r="U155" s="15">
        <f>D155/C155</f>
        <v>4.2058535851327968E-2</v>
      </c>
      <c r="V155" s="15">
        <f>(E155-F155)/O155</f>
        <v>7.5068870523415973E-2</v>
      </c>
      <c r="W155" s="15">
        <f>H155/K155</f>
        <v>1.3443413729128015</v>
      </c>
      <c r="X155" s="15">
        <f>(H155-I155)/K155</f>
        <v>1.1191094619666049</v>
      </c>
      <c r="Y155" s="15">
        <f>(H155-K155)/G155</f>
        <v>9.8004013095363815E-2</v>
      </c>
      <c r="Z155" s="15">
        <f>J155/N155</f>
        <v>0.63033746556473824</v>
      </c>
      <c r="AA155" s="15">
        <f>J155/G155</f>
        <v>0.38663005597211952</v>
      </c>
      <c r="AB155" s="15">
        <f>C155/G155</f>
        <v>1.4036329073819833</v>
      </c>
      <c r="AC155" s="15">
        <f>C155/(G155-K155)</f>
        <v>1.9620608207853558</v>
      </c>
      <c r="AD155" s="15">
        <f>Q155/E155</f>
        <v>4.4311490825688074</v>
      </c>
      <c r="AE155" s="15">
        <f>Q155/J155</f>
        <v>0.52771947555312759</v>
      </c>
      <c r="AF155" s="15">
        <f>Q155/G155</f>
        <v>0.20403221037068328</v>
      </c>
      <c r="AG155" s="15">
        <f>Q155/K155</f>
        <v>0.71687606679035254</v>
      </c>
      <c r="AH155" s="15">
        <f>Q155/L155</f>
        <v>0.78472014622258324</v>
      </c>
      <c r="AI155" s="6">
        <f>R155</f>
        <v>173</v>
      </c>
      <c r="AJ155" s="6">
        <f>P155</f>
        <v>4175000</v>
      </c>
    </row>
    <row r="156" spans="1:36" s="2" customFormat="1" x14ac:dyDescent="0.25">
      <c r="A156" s="2" t="s">
        <v>44</v>
      </c>
      <c r="B156" s="2">
        <v>2018</v>
      </c>
      <c r="C156" s="3">
        <v>5147888</v>
      </c>
      <c r="D156" s="3">
        <v>3991826</v>
      </c>
      <c r="E156" s="3">
        <v>1460136</v>
      </c>
      <c r="F156" s="3"/>
      <c r="G156" s="3">
        <v>50828930</v>
      </c>
      <c r="H156" s="3">
        <v>5671816</v>
      </c>
      <c r="I156" s="3">
        <v>445163</v>
      </c>
      <c r="J156" s="3">
        <f>7338056+K156</f>
        <v>26122294</v>
      </c>
      <c r="K156" s="3">
        <v>18784238</v>
      </c>
      <c r="L156" s="3">
        <f>1837536+52167+M156</f>
        <v>6696594</v>
      </c>
      <c r="M156" s="3">
        <v>4806891</v>
      </c>
      <c r="N156" s="3">
        <v>17367153</v>
      </c>
      <c r="O156" s="3">
        <v>24706636</v>
      </c>
      <c r="P156" s="3">
        <v>7143611</v>
      </c>
      <c r="Q156" s="3">
        <v>-3720925</v>
      </c>
      <c r="R156" s="3">
        <v>2.7</v>
      </c>
      <c r="T156" s="2">
        <f>E156/G156</f>
        <v>2.8726475257299336E-2</v>
      </c>
      <c r="U156" s="2">
        <f>D156/C156</f>
        <v>0.77542984618157973</v>
      </c>
      <c r="V156" s="2">
        <f>(E156-F156)/O156</f>
        <v>5.9098940058047562E-2</v>
      </c>
      <c r="W156" s="2">
        <f>H156/K156</f>
        <v>0.30194549281157956</v>
      </c>
      <c r="X156" s="2">
        <f>(H156-I156)/K156</f>
        <v>0.27824674069823857</v>
      </c>
      <c r="Y156" s="2">
        <f>(H156-K156)/G156</f>
        <v>-0.25797163150985081</v>
      </c>
      <c r="Z156" s="2">
        <f>J156/N156</f>
        <v>1.504120681150215</v>
      </c>
      <c r="AA156" s="2">
        <f>J156/G156</f>
        <v>0.51392571120422958</v>
      </c>
      <c r="AB156" s="2">
        <f>C156/G156</f>
        <v>0.10127870092878209</v>
      </c>
      <c r="AC156" s="2">
        <f>C156/(G156-K156)</f>
        <v>0.16064713619341386</v>
      </c>
      <c r="AD156" s="2">
        <f>Q156/E156</f>
        <v>-2.5483413873776142</v>
      </c>
      <c r="AE156" s="2">
        <f>Q156/J156</f>
        <v>-0.14244250524092564</v>
      </c>
      <c r="AF156" s="2">
        <f>Q156/G156</f>
        <v>-7.3204865811654904E-2</v>
      </c>
      <c r="AG156" s="2">
        <f>Q156/K156</f>
        <v>-0.19808762005677313</v>
      </c>
      <c r="AH156" s="2">
        <f>Q156/L156</f>
        <v>-0.55564440669391035</v>
      </c>
      <c r="AI156" s="3">
        <f>R156</f>
        <v>2.7</v>
      </c>
      <c r="AJ156" s="3">
        <f>P156</f>
        <v>7143611</v>
      </c>
    </row>
    <row r="157" spans="1:36" x14ac:dyDescent="0.25">
      <c r="A157" t="s">
        <v>44</v>
      </c>
      <c r="B157">
        <v>2019</v>
      </c>
      <c r="C157" s="1">
        <v>5123307</v>
      </c>
      <c r="D157" s="1">
        <v>1252172</v>
      </c>
      <c r="E157" s="1">
        <v>-2023689</v>
      </c>
      <c r="G157" s="1">
        <v>59682309</v>
      </c>
      <c r="H157" s="1">
        <v>6065711</v>
      </c>
      <c r="I157" s="1">
        <v>831162</v>
      </c>
      <c r="J157" s="1">
        <f>10916333+K157</f>
        <v>35339318</v>
      </c>
      <c r="K157" s="1">
        <v>24422985</v>
      </c>
      <c r="L157" s="1">
        <f>1937302+29900+M157</f>
        <v>7381288</v>
      </c>
      <c r="M157" s="1">
        <v>5414086</v>
      </c>
      <c r="N157" s="1">
        <v>21439131</v>
      </c>
      <c r="O157" s="1">
        <v>24342991</v>
      </c>
      <c r="P157" s="1">
        <v>6495389</v>
      </c>
      <c r="Q157" s="1">
        <v>-1795239</v>
      </c>
      <c r="R157" s="1">
        <v>1.5</v>
      </c>
      <c r="T157">
        <f>E157/G157</f>
        <v>-3.390768611180911E-2</v>
      </c>
      <c r="U157">
        <f>D157/C157</f>
        <v>0.24440698166243013</v>
      </c>
      <c r="V157">
        <f>(E157-F157)/O157</f>
        <v>-8.313230695439193E-2</v>
      </c>
      <c r="W157">
        <f>H157/K157</f>
        <v>0.24836075524756698</v>
      </c>
      <c r="X157">
        <f>(H157-I157)/K157</f>
        <v>0.21432879723752032</v>
      </c>
      <c r="Y157">
        <f>(H157-K157)/G157</f>
        <v>-0.30758317343251584</v>
      </c>
      <c r="Z157">
        <f>J157/N157</f>
        <v>1.6483558965146488</v>
      </c>
      <c r="AA157">
        <f>J157/G157</f>
        <v>0.5921238402488751</v>
      </c>
      <c r="AB157">
        <f>C157/G157</f>
        <v>8.5842975679778069E-2</v>
      </c>
      <c r="AC157">
        <f>C157/(G157-K157)</f>
        <v>0.14530360820303873</v>
      </c>
      <c r="AD157">
        <f>Q157/E157</f>
        <v>0.88711210072298663</v>
      </c>
      <c r="AE157">
        <f>Q157/J157</f>
        <v>-5.0800046565697733E-2</v>
      </c>
      <c r="AF157">
        <f>Q157/G157</f>
        <v>-3.0079918657302619E-2</v>
      </c>
      <c r="AG157">
        <f>Q157/K157</f>
        <v>-7.3506125479747872E-2</v>
      </c>
      <c r="AH157">
        <f>Q157/L157</f>
        <v>-0.24321486981675827</v>
      </c>
      <c r="AI157" s="1">
        <f>R157</f>
        <v>1.5</v>
      </c>
      <c r="AJ157" s="1">
        <f>P157</f>
        <v>6495389</v>
      </c>
    </row>
    <row r="158" spans="1:36" x14ac:dyDescent="0.25">
      <c r="A158" t="s">
        <v>44</v>
      </c>
      <c r="B158">
        <v>2020</v>
      </c>
      <c r="C158" s="1">
        <v>5556739</v>
      </c>
      <c r="D158" s="1">
        <v>12051308</v>
      </c>
      <c r="E158" s="1">
        <v>7185442</v>
      </c>
      <c r="G158" s="1">
        <v>116145866</v>
      </c>
      <c r="H158" s="1">
        <v>12377065</v>
      </c>
      <c r="I158" s="1">
        <v>3374905</v>
      </c>
      <c r="J158" s="1">
        <f>21532447+K158</f>
        <v>62086402</v>
      </c>
      <c r="K158" s="1">
        <v>40553955</v>
      </c>
      <c r="L158" s="1">
        <f>1690894+2739897+M158</f>
        <v>13740007</v>
      </c>
      <c r="M158" s="1">
        <v>9309216</v>
      </c>
      <c r="N158" s="1">
        <v>32619192</v>
      </c>
      <c r="O158" s="1">
        <v>54059465</v>
      </c>
      <c r="P158" s="1">
        <v>15896208</v>
      </c>
      <c r="Q158" s="1">
        <v>3824917</v>
      </c>
      <c r="R158" s="1">
        <v>1.9</v>
      </c>
      <c r="T158">
        <f>E158/G158</f>
        <v>6.1865671568542953E-2</v>
      </c>
      <c r="U158">
        <f>D158/C158</f>
        <v>2.1687734478801324</v>
      </c>
      <c r="V158">
        <f>(E158-F158)/O158</f>
        <v>0.13291737163880551</v>
      </c>
      <c r="W158">
        <f>H158/K158</f>
        <v>0.30519994905552367</v>
      </c>
      <c r="X158">
        <f>(H158-I158)/K158</f>
        <v>0.22197982909435096</v>
      </c>
      <c r="Y158">
        <f>(H158-K158)/G158</f>
        <v>-0.24259916405462076</v>
      </c>
      <c r="Z158">
        <f>J158/N158</f>
        <v>1.9033703226002656</v>
      </c>
      <c r="AA158">
        <f>J158/G158</f>
        <v>0.53455541844252985</v>
      </c>
      <c r="AB158">
        <f>C158/G158</f>
        <v>4.784276179059184E-2</v>
      </c>
      <c r="AC158">
        <f>C158/(G158-K158)</f>
        <v>7.3509703968193105E-2</v>
      </c>
      <c r="AD158">
        <f>Q158/E158</f>
        <v>0.53231478314068914</v>
      </c>
      <c r="AE158">
        <f>Q158/J158</f>
        <v>6.1606356251728035E-2</v>
      </c>
      <c r="AF158">
        <f>Q158/G158</f>
        <v>3.2932011544862042E-2</v>
      </c>
      <c r="AG158">
        <f>Q158/K158</f>
        <v>9.4316744199178598E-2</v>
      </c>
      <c r="AH158">
        <f>Q158/L158</f>
        <v>0.27837809689616605</v>
      </c>
      <c r="AI158" s="1">
        <f>R158</f>
        <v>1.9</v>
      </c>
      <c r="AJ158" s="1">
        <f>P158</f>
        <v>15896208</v>
      </c>
    </row>
    <row r="159" spans="1:36" x14ac:dyDescent="0.25">
      <c r="A159" t="s">
        <v>44</v>
      </c>
      <c r="B159">
        <v>2021</v>
      </c>
      <c r="C159" s="1">
        <v>8359852</v>
      </c>
      <c r="D159" s="1">
        <v>-412491</v>
      </c>
      <c r="E159" s="1">
        <v>-4785811</v>
      </c>
      <c r="G159" s="1">
        <v>163391827</v>
      </c>
      <c r="H159" s="1">
        <v>20489483</v>
      </c>
      <c r="I159" s="1">
        <v>5994542</v>
      </c>
      <c r="J159" s="1">
        <f>25681983+K159</f>
        <v>64356211</v>
      </c>
      <c r="K159" s="1">
        <v>38674228</v>
      </c>
      <c r="L159" s="1">
        <f>2325717+2439540+M159</f>
        <v>17823286</v>
      </c>
      <c r="M159" s="1">
        <v>13058029</v>
      </c>
      <c r="N159" s="1">
        <v>67799130</v>
      </c>
      <c r="O159" s="1">
        <v>99035616</v>
      </c>
      <c r="P159" s="1">
        <v>12746865</v>
      </c>
      <c r="Q159" s="1">
        <v>-12239344</v>
      </c>
      <c r="R159" s="1">
        <v>5.5</v>
      </c>
      <c r="T159">
        <f>E159/G159</f>
        <v>-2.9290394066038568E-2</v>
      </c>
      <c r="U159">
        <f>D159/C159</f>
        <v>-4.9341902225063315E-2</v>
      </c>
      <c r="V159">
        <f>(E159-F159)/O159</f>
        <v>-4.8324140276968644E-2</v>
      </c>
      <c r="W159">
        <f>H159/K159</f>
        <v>0.52979681973225168</v>
      </c>
      <c r="X159">
        <f>(H159-I159)/K159</f>
        <v>0.3747958718141704</v>
      </c>
      <c r="Y159">
        <f>(H159-K159)/G159</f>
        <v>-0.11129531589116755</v>
      </c>
      <c r="Z159">
        <f>J159/N159</f>
        <v>0.94921883215905578</v>
      </c>
      <c r="AA159">
        <f>J159/G159</f>
        <v>0.39387656152470835</v>
      </c>
      <c r="AB159">
        <f>C159/G159</f>
        <v>5.1164444106497446E-2</v>
      </c>
      <c r="AC159">
        <f>C159/(G159-K159)</f>
        <v>6.7030251279933631E-2</v>
      </c>
      <c r="AD159">
        <f>Q159/E159</f>
        <v>2.5574231828210516</v>
      </c>
      <c r="AE159">
        <f>Q159/J159</f>
        <v>-0.19018123984956167</v>
      </c>
      <c r="AF159">
        <f>Q159/G159</f>
        <v>-7.4907932818451192E-2</v>
      </c>
      <c r="AG159">
        <f>Q159/K159</f>
        <v>-0.31647287180496531</v>
      </c>
      <c r="AH159">
        <f>Q159/L159</f>
        <v>-0.6867052461594344</v>
      </c>
      <c r="AI159" s="1">
        <f>R159</f>
        <v>5.5</v>
      </c>
      <c r="AJ159" s="1">
        <f>P159</f>
        <v>12746865</v>
      </c>
    </row>
    <row r="160" spans="1:36" x14ac:dyDescent="0.25">
      <c r="A160" t="s">
        <v>44</v>
      </c>
      <c r="B160">
        <v>2022</v>
      </c>
      <c r="C160" s="1">
        <v>22329590</v>
      </c>
      <c r="D160" s="1">
        <v>41174013</v>
      </c>
      <c r="E160" s="1">
        <v>31598389</v>
      </c>
      <c r="G160" s="1">
        <v>372781268</v>
      </c>
      <c r="H160" s="1">
        <v>63344513</v>
      </c>
      <c r="I160" s="1">
        <v>13437900</v>
      </c>
      <c r="J160" s="1">
        <f>47925512+K160</f>
        <v>190195335</v>
      </c>
      <c r="K160" s="1">
        <v>142269823</v>
      </c>
      <c r="L160" s="1">
        <f>9172222+13013697+M160</f>
        <v>42505742</v>
      </c>
      <c r="M160" s="1">
        <v>20319823</v>
      </c>
      <c r="N160" s="1">
        <v>123130717</v>
      </c>
      <c r="O160" s="1">
        <v>182585933</v>
      </c>
      <c r="P160" s="1">
        <v>46039453</v>
      </c>
      <c r="Q160" s="1">
        <v>30864314</v>
      </c>
      <c r="R160" s="1">
        <v>7.5</v>
      </c>
      <c r="T160">
        <f>E160/G160</f>
        <v>8.4763886258362106E-2</v>
      </c>
      <c r="U160">
        <f>D160/C160</f>
        <v>1.8439215856627909</v>
      </c>
      <c r="V160">
        <f>(E160-F160)/O160</f>
        <v>0.1730603693330526</v>
      </c>
      <c r="W160">
        <f>H160/K160</f>
        <v>0.44524208763512696</v>
      </c>
      <c r="X160">
        <f>(H160-I160)/K160</f>
        <v>0.35078846622308651</v>
      </c>
      <c r="Y160">
        <f>(H160-K160)/G160</f>
        <v>-0.21172016078876582</v>
      </c>
      <c r="Z160">
        <f>J160/N160</f>
        <v>1.5446619627822031</v>
      </c>
      <c r="AA160">
        <f>J160/G160</f>
        <v>0.5102062558572551</v>
      </c>
      <c r="AB160">
        <f>C160/G160</f>
        <v>5.9899978665237011E-2</v>
      </c>
      <c r="AC160">
        <f>C160/(G160-K160)</f>
        <v>9.6869767138894128E-2</v>
      </c>
      <c r="AD160">
        <f>Q160/E160</f>
        <v>0.97676859412041539</v>
      </c>
      <c r="AE160">
        <f>Q160/J160</f>
        <v>0.16227692440511224</v>
      </c>
      <c r="AF160">
        <f>Q160/G160</f>
        <v>8.2794702012763149E-2</v>
      </c>
      <c r="AG160">
        <f>Q160/K160</f>
        <v>0.21694209881739995</v>
      </c>
      <c r="AH160">
        <f>Q160/L160</f>
        <v>0.72612104971605951</v>
      </c>
      <c r="AI160" s="1">
        <f>R160</f>
        <v>7.5</v>
      </c>
      <c r="AJ160" s="1">
        <f>P160</f>
        <v>46039453</v>
      </c>
    </row>
    <row r="161" spans="1:36" x14ac:dyDescent="0.25">
      <c r="A161" t="s">
        <v>44</v>
      </c>
      <c r="B161">
        <v>2023</v>
      </c>
      <c r="C161" s="1">
        <v>42015935</v>
      </c>
      <c r="D161" s="1">
        <v>26027862</v>
      </c>
      <c r="E161" s="1">
        <v>-12234293</v>
      </c>
      <c r="G161" s="1">
        <v>414809376</v>
      </c>
      <c r="H161" s="1">
        <v>70256583</v>
      </c>
      <c r="I161" s="1">
        <v>16415475</v>
      </c>
      <c r="J161" s="1">
        <f>54624038+K161</f>
        <v>242898663</v>
      </c>
      <c r="K161" s="1">
        <v>188274625</v>
      </c>
      <c r="L161" s="1">
        <f>8101713+14086534+M161</f>
        <v>43674505</v>
      </c>
      <c r="M161" s="1">
        <v>21486258</v>
      </c>
      <c r="N161" s="1">
        <v>113613215</v>
      </c>
      <c r="O161" s="1">
        <v>171910713</v>
      </c>
      <c r="P161" s="1">
        <v>36394949</v>
      </c>
      <c r="Q161" s="1">
        <v>26042870</v>
      </c>
      <c r="R161" s="1">
        <v>6</v>
      </c>
      <c r="T161">
        <f>E161/G161</f>
        <v>-2.9493771616194132E-2</v>
      </c>
      <c r="U161">
        <f>D161/C161</f>
        <v>0.61947596786790537</v>
      </c>
      <c r="V161">
        <f>(E161-F161)/O161</f>
        <v>-7.116655376794348E-2</v>
      </c>
      <c r="W161">
        <f>H161/K161</f>
        <v>0.37316012712812469</v>
      </c>
      <c r="X161">
        <f>(H161-I161)/K161</f>
        <v>0.2859711339220567</v>
      </c>
      <c r="Y161">
        <f>(H161-K161)/G161</f>
        <v>-0.28451151017377196</v>
      </c>
      <c r="Z161">
        <f>J161/N161</f>
        <v>2.1379437506455563</v>
      </c>
      <c r="AA161">
        <f>J161/G161</f>
        <v>0.58556695449429763</v>
      </c>
      <c r="AB161">
        <f>C161/G161</f>
        <v>0.10128974278537041</v>
      </c>
      <c r="AC161">
        <f>C161/(G161-K161)</f>
        <v>0.18547236048565457</v>
      </c>
      <c r="AD161">
        <f>Q161/E161</f>
        <v>-2.1286779710114838</v>
      </c>
      <c r="AE161">
        <f>Q161/J161</f>
        <v>0.10721701667003412</v>
      </c>
      <c r="AF161">
        <f>Q161/G161</f>
        <v>6.2782741921436222E-2</v>
      </c>
      <c r="AG161">
        <f>Q161/K161</f>
        <v>0.13832384475603124</v>
      </c>
      <c r="AH161">
        <f>Q161/L161</f>
        <v>0.59629456590292207</v>
      </c>
      <c r="AI161" s="1">
        <f>R161</f>
        <v>6</v>
      </c>
      <c r="AJ161" s="1">
        <f>P161</f>
        <v>36394949</v>
      </c>
    </row>
    <row r="162" spans="1:36" x14ac:dyDescent="0.25">
      <c r="A162" s="15" t="s">
        <v>44</v>
      </c>
      <c r="B162" s="15">
        <v>2024</v>
      </c>
      <c r="C162" s="6">
        <v>47429333</v>
      </c>
      <c r="D162" s="6">
        <v>54454239</v>
      </c>
      <c r="E162" s="6">
        <v>5783364</v>
      </c>
      <c r="F162" s="6"/>
      <c r="G162" s="6">
        <v>497332424</v>
      </c>
      <c r="H162" s="6">
        <v>74726265</v>
      </c>
      <c r="I162" s="6">
        <v>13960687</v>
      </c>
      <c r="J162" s="6">
        <f>75372666+K162</f>
        <v>313653742</v>
      </c>
      <c r="K162" s="6">
        <v>238281076</v>
      </c>
      <c r="L162" s="6">
        <f>7436270+13907173+M162</f>
        <v>43742663</v>
      </c>
      <c r="M162" s="6">
        <v>22399220</v>
      </c>
      <c r="N162" s="6">
        <v>129601555</v>
      </c>
      <c r="O162" s="6">
        <v>183678682</v>
      </c>
      <c r="P162" s="6">
        <v>48142254</v>
      </c>
      <c r="Q162" s="6">
        <v>11906826</v>
      </c>
      <c r="R162" s="6">
        <v>5.4</v>
      </c>
      <c r="S162" s="15"/>
      <c r="T162" s="15">
        <f>E162/G162</f>
        <v>1.1628769251529837E-2</v>
      </c>
      <c r="U162" s="15">
        <f>D162/C162</f>
        <v>1.1481131096657</v>
      </c>
      <c r="V162" s="15">
        <f>(E162-F162)/O162</f>
        <v>3.1486310425507084E-2</v>
      </c>
      <c r="W162" s="15">
        <f>H162/K162</f>
        <v>0.31360553785647671</v>
      </c>
      <c r="X162" s="15">
        <f>(H162-I162)/K162</f>
        <v>0.25501638241720881</v>
      </c>
      <c r="Y162" s="15">
        <f>(H162-K162)/G162</f>
        <v>-0.32886416229318682</v>
      </c>
      <c r="Z162" s="15">
        <f>J162/N162</f>
        <v>2.4201387244157679</v>
      </c>
      <c r="AA162" s="15">
        <f>J162/G162</f>
        <v>0.63067221613525848</v>
      </c>
      <c r="AB162" s="15">
        <f>C162/G162</f>
        <v>9.5367465926573095E-2</v>
      </c>
      <c r="AC162" s="15">
        <f>C162/(G162-K162)</f>
        <v>0.18308853965122004</v>
      </c>
      <c r="AD162" s="15">
        <f>Q162/E162</f>
        <v>2.0588062587794922</v>
      </c>
      <c r="AE162" s="15">
        <f>Q162/J162</f>
        <v>3.7961689613765233E-2</v>
      </c>
      <c r="AF162" s="15">
        <f>Q162/G162</f>
        <v>2.3941382916952143E-2</v>
      </c>
      <c r="AG162" s="15">
        <f>Q162/K162</f>
        <v>4.9969666915554802E-2</v>
      </c>
      <c r="AH162" s="15">
        <f>Q162/L162</f>
        <v>0.27220167185523203</v>
      </c>
      <c r="AI162" s="6">
        <f>R162</f>
        <v>5.4</v>
      </c>
      <c r="AJ162" s="6">
        <f>P162</f>
        <v>48142254</v>
      </c>
    </row>
    <row r="163" spans="1:36" s="2" customFormat="1" x14ac:dyDescent="0.25">
      <c r="A163" s="2" t="s">
        <v>39</v>
      </c>
      <c r="B163" s="2">
        <v>2018</v>
      </c>
      <c r="C163" s="3">
        <v>40293</v>
      </c>
      <c r="D163" s="3">
        <f>E163+5386-6672</f>
        <v>-33004</v>
      </c>
      <c r="E163" s="3">
        <v>-31718</v>
      </c>
      <c r="F163" s="3"/>
      <c r="G163" s="3">
        <v>281277</v>
      </c>
      <c r="H163" s="3">
        <v>167227</v>
      </c>
      <c r="I163" s="3">
        <v>153236</v>
      </c>
      <c r="J163" s="3">
        <f>19058+K163</f>
        <v>67057</v>
      </c>
      <c r="K163" s="3">
        <v>47999</v>
      </c>
      <c r="L163" s="3">
        <f>24269+M163</f>
        <v>39608</v>
      </c>
      <c r="M163" s="3">
        <v>15339</v>
      </c>
      <c r="N163" s="3">
        <v>214220</v>
      </c>
      <c r="O163" s="3">
        <v>214220</v>
      </c>
      <c r="P163" s="3">
        <v>-330271</v>
      </c>
      <c r="Q163" s="3">
        <v>-22745</v>
      </c>
      <c r="R163" s="3">
        <v>0.8</v>
      </c>
      <c r="T163" s="2">
        <f>E163/G163</f>
        <v>-0.1127642857396801</v>
      </c>
      <c r="U163" s="2">
        <f>D163/C163</f>
        <v>-0.81910009182736454</v>
      </c>
      <c r="V163" s="2">
        <f>(E163-F163)/O163</f>
        <v>-0.1480627392400336</v>
      </c>
      <c r="W163" s="2">
        <f>H163/K163</f>
        <v>3.483968416008667</v>
      </c>
      <c r="X163" s="2">
        <f>(H163-I163)/K163</f>
        <v>0.29148523927581826</v>
      </c>
      <c r="Y163" s="2">
        <f>(H163-K163)/G163</f>
        <v>0.42388108519359918</v>
      </c>
      <c r="Z163" s="2">
        <f>J163/N163</f>
        <v>0.31302866212305108</v>
      </c>
      <c r="AA163" s="2">
        <f>J163/G163</f>
        <v>0.23840200229666841</v>
      </c>
      <c r="AB163" s="2">
        <f>C163/G163</f>
        <v>0.14325024797619429</v>
      </c>
      <c r="AC163" s="2">
        <f>C163/(G163-K163)</f>
        <v>0.17272524627268751</v>
      </c>
      <c r="AD163" s="2">
        <f>Q163/E163</f>
        <v>0.71710069991802761</v>
      </c>
      <c r="AE163" s="2">
        <f>Q163/J163</f>
        <v>-0.33918904812323841</v>
      </c>
      <c r="AF163" s="2">
        <f>Q163/G163</f>
        <v>-8.0863348229681067E-2</v>
      </c>
      <c r="AG163" s="2">
        <f>Q163/K163</f>
        <v>-0.47386403883414235</v>
      </c>
      <c r="AH163" s="2">
        <f>Q163/L163</f>
        <v>-0.57425267622702481</v>
      </c>
      <c r="AI163" s="3">
        <f>R163</f>
        <v>0.8</v>
      </c>
      <c r="AJ163" s="3">
        <f>P163</f>
        <v>-330271</v>
      </c>
    </row>
    <row r="164" spans="1:36" x14ac:dyDescent="0.25">
      <c r="A164" t="s">
        <v>39</v>
      </c>
      <c r="B164">
        <v>2019</v>
      </c>
      <c r="C164" s="1">
        <v>44232</v>
      </c>
      <c r="D164" s="1">
        <f>E164+11081-6317</f>
        <v>-40284</v>
      </c>
      <c r="E164" s="1">
        <v>-45048</v>
      </c>
      <c r="G164" s="1">
        <v>274568</v>
      </c>
      <c r="H164" s="1">
        <v>161819</v>
      </c>
      <c r="I164" s="1">
        <v>132793</v>
      </c>
      <c r="J164" s="1">
        <f>42339+K164</f>
        <v>103770</v>
      </c>
      <c r="K164" s="1">
        <v>61431</v>
      </c>
      <c r="L164" s="1">
        <f>35279+M164</f>
        <v>74991</v>
      </c>
      <c r="M164" s="1">
        <v>39712</v>
      </c>
      <c r="N164" s="1">
        <v>170798</v>
      </c>
      <c r="O164" s="1">
        <v>170798</v>
      </c>
      <c r="P164" s="1">
        <v>-373522</v>
      </c>
      <c r="Q164" s="1">
        <v>-19388</v>
      </c>
      <c r="R164" s="1">
        <v>0.5</v>
      </c>
      <c r="T164">
        <f>E164/G164</f>
        <v>-0.16406864601847265</v>
      </c>
      <c r="U164">
        <f>D164/C164</f>
        <v>-0.91074335322843192</v>
      </c>
      <c r="V164">
        <f>(E164-F164)/O164</f>
        <v>-0.26375016100891113</v>
      </c>
      <c r="W164">
        <f>H164/K164</f>
        <v>2.6341586495417624</v>
      </c>
      <c r="X164">
        <f>(H164-I164)/K164</f>
        <v>0.47249759893213522</v>
      </c>
      <c r="Y164">
        <f>(H164-K164)/G164</f>
        <v>0.36562163107135576</v>
      </c>
      <c r="Z164">
        <f>J164/N164</f>
        <v>0.60755980749189098</v>
      </c>
      <c r="AA164">
        <f>J164/G164</f>
        <v>0.37793916261181199</v>
      </c>
      <c r="AB164">
        <f>C164/G164</f>
        <v>0.16109670464147316</v>
      </c>
      <c r="AC164">
        <f>C164/(G164-K164)</f>
        <v>0.20752849106443275</v>
      </c>
      <c r="AD164">
        <f>Q164/E164</f>
        <v>0.43038536671994315</v>
      </c>
      <c r="AE164">
        <f>Q164/J164</f>
        <v>-0.18683627252577817</v>
      </c>
      <c r="AF164">
        <f>Q164/G164</f>
        <v>-7.0612744383904899E-2</v>
      </c>
      <c r="AG164">
        <f>Q164/K164</f>
        <v>-0.31560612719962233</v>
      </c>
      <c r="AH164">
        <f>Q164/L164</f>
        <v>-0.2585376911896094</v>
      </c>
      <c r="AI164" s="1">
        <f>R164</f>
        <v>0.5</v>
      </c>
      <c r="AJ164" s="1">
        <f>P164</f>
        <v>-373522</v>
      </c>
    </row>
    <row r="165" spans="1:36" x14ac:dyDescent="0.25">
      <c r="A165" t="s">
        <v>39</v>
      </c>
      <c r="B165">
        <v>2020</v>
      </c>
      <c r="C165" s="1">
        <v>38110</v>
      </c>
      <c r="D165" s="1">
        <f>E165+10092-2876</f>
        <v>-19224</v>
      </c>
      <c r="E165" s="1">
        <v>-26440</v>
      </c>
      <c r="G165" s="1">
        <v>208054</v>
      </c>
      <c r="H165" s="1">
        <v>148643</v>
      </c>
      <c r="I165" s="1">
        <v>124685</v>
      </c>
      <c r="J165" s="1">
        <v>65415</v>
      </c>
      <c r="K165" s="1">
        <v>36717</v>
      </c>
      <c r="L165" s="1">
        <f>8652+M165</f>
        <v>34887</v>
      </c>
      <c r="M165" s="1">
        <v>26235</v>
      </c>
      <c r="N165" s="1">
        <v>142638</v>
      </c>
      <c r="O165" s="1">
        <v>142638</v>
      </c>
      <c r="P165" s="1">
        <v>-272380</v>
      </c>
      <c r="Q165" s="1">
        <v>-13285</v>
      </c>
      <c r="R165" s="1">
        <v>0.5</v>
      </c>
      <c r="T165">
        <f>E165/G165</f>
        <v>-0.12708239207128919</v>
      </c>
      <c r="U165">
        <f>D165/C165</f>
        <v>-0.50443453161899765</v>
      </c>
      <c r="V165">
        <f>(E165-F165)/O165</f>
        <v>-0.18536434891122983</v>
      </c>
      <c r="W165">
        <f>H165/K165</f>
        <v>4.0483427295258325</v>
      </c>
      <c r="X165">
        <f>(H165-I165)/K165</f>
        <v>0.65250428956614104</v>
      </c>
      <c r="Y165">
        <f>(H165-K165)/G165</f>
        <v>0.53796610495352171</v>
      </c>
      <c r="Z165">
        <f>J165/N165</f>
        <v>0.45860850544735626</v>
      </c>
      <c r="AA165">
        <f>J165/G165</f>
        <v>0.3144135657089025</v>
      </c>
      <c r="AB165">
        <f>C165/G165</f>
        <v>0.18317359916175607</v>
      </c>
      <c r="AC165">
        <f>C165/(G165-K165)</f>
        <v>0.22242714650075582</v>
      </c>
      <c r="AD165">
        <f>Q165/E165</f>
        <v>0.50245839636913769</v>
      </c>
      <c r="AE165">
        <f>Q165/J165</f>
        <v>-0.20308797676373921</v>
      </c>
      <c r="AF165">
        <f>Q165/G165</f>
        <v>-6.3853614926893981E-2</v>
      </c>
      <c r="AG165">
        <f>Q165/K165</f>
        <v>-0.3618214995778522</v>
      </c>
      <c r="AH165">
        <f>Q165/L165</f>
        <v>-0.38080087138475649</v>
      </c>
      <c r="AI165" s="1">
        <f>R165</f>
        <v>0.5</v>
      </c>
      <c r="AJ165" s="1">
        <f>P165</f>
        <v>-272380</v>
      </c>
    </row>
    <row r="166" spans="1:36" x14ac:dyDescent="0.25">
      <c r="A166" t="s">
        <v>39</v>
      </c>
      <c r="B166">
        <v>2021</v>
      </c>
      <c r="C166" s="1">
        <v>148441</v>
      </c>
      <c r="D166" s="1">
        <f>E166+2023-15</f>
        <v>213</v>
      </c>
      <c r="E166" s="1">
        <v>-1795</v>
      </c>
      <c r="G166" s="1">
        <v>207159</v>
      </c>
      <c r="H166" s="1">
        <v>149834</v>
      </c>
      <c r="I166" s="1">
        <v>112835</v>
      </c>
      <c r="J166" s="1">
        <v>68823</v>
      </c>
      <c r="K166" s="1">
        <v>42626</v>
      </c>
      <c r="L166" s="1">
        <f>10261+M166</f>
        <v>30286</v>
      </c>
      <c r="M166" s="1">
        <v>20025</v>
      </c>
      <c r="N166" s="1">
        <v>138336</v>
      </c>
      <c r="O166" s="1">
        <v>138336</v>
      </c>
      <c r="P166" s="1">
        <v>-276682</v>
      </c>
      <c r="Q166" s="1">
        <v>18609</v>
      </c>
      <c r="R166" s="1">
        <v>0.9</v>
      </c>
      <c r="T166">
        <f>E166/G166</f>
        <v>-8.6648419812800793E-3</v>
      </c>
      <c r="U166">
        <f>D166/C166</f>
        <v>1.4349135346703405E-3</v>
      </c>
      <c r="V166">
        <f>(E166-F166)/O166</f>
        <v>-1.2975653481378671E-2</v>
      </c>
      <c r="W166">
        <f>H166/K166</f>
        <v>3.515084690095247</v>
      </c>
      <c r="X166">
        <f>(H166-I166)/K166</f>
        <v>0.86799136677145405</v>
      </c>
      <c r="Y166">
        <f>(H166-K166)/G166</f>
        <v>0.51751553154823104</v>
      </c>
      <c r="Z166">
        <f>J166/N166</f>
        <v>0.49750607217210269</v>
      </c>
      <c r="AA166">
        <f>J166/G166</f>
        <v>0.3322230750293253</v>
      </c>
      <c r="AB166">
        <f>C166/G166</f>
        <v>0.71655588219676669</v>
      </c>
      <c r="AC166">
        <f>C166/(G166-K166)</f>
        <v>0.90219591206627237</v>
      </c>
      <c r="AD166">
        <f>Q166/E166</f>
        <v>-10.367130919220056</v>
      </c>
      <c r="AE166">
        <f>Q166/J166</f>
        <v>0.27038925940455955</v>
      </c>
      <c r="AF166">
        <f>Q166/G166</f>
        <v>8.9829551214284681E-2</v>
      </c>
      <c r="AG166">
        <f>Q166/K166</f>
        <v>0.43656453807535306</v>
      </c>
      <c r="AH166">
        <f>Q166/L166</f>
        <v>0.61444231658191906</v>
      </c>
      <c r="AI166" s="1">
        <f>R166</f>
        <v>0.9</v>
      </c>
      <c r="AJ166" s="1">
        <f>P166</f>
        <v>-276682</v>
      </c>
    </row>
    <row r="167" spans="1:36" x14ac:dyDescent="0.25">
      <c r="A167" t="s">
        <v>39</v>
      </c>
      <c r="B167">
        <v>2022</v>
      </c>
      <c r="C167" s="1">
        <v>28118</v>
      </c>
      <c r="D167" s="1">
        <f>E167+1829</f>
        <v>-39697</v>
      </c>
      <c r="E167" s="1">
        <v>-41526</v>
      </c>
      <c r="G167" s="1">
        <v>211190</v>
      </c>
      <c r="H167" s="1">
        <v>123518</v>
      </c>
      <c r="I167" s="1">
        <v>99929</v>
      </c>
      <c r="J167" s="1">
        <v>84805</v>
      </c>
      <c r="K167" s="1">
        <v>44895</v>
      </c>
      <c r="L167" s="1">
        <f>8966+M167</f>
        <v>43619</v>
      </c>
      <c r="M167" s="1">
        <v>34653</v>
      </c>
      <c r="N167" s="1">
        <v>126385</v>
      </c>
      <c r="O167" s="1">
        <v>126385</v>
      </c>
      <c r="P167" s="1">
        <v>-44172</v>
      </c>
      <c r="Q167" s="1">
        <v>-14565</v>
      </c>
      <c r="R167" s="1">
        <v>0.5</v>
      </c>
      <c r="T167">
        <f>E167/G167</f>
        <v>-0.19662862824944363</v>
      </c>
      <c r="U167">
        <f>D167/C167</f>
        <v>-1.4118002702894943</v>
      </c>
      <c r="V167">
        <f>(E167-F167)/O167</f>
        <v>-0.32856747240574435</v>
      </c>
      <c r="W167">
        <f>H167/K167</f>
        <v>2.7512640605858114</v>
      </c>
      <c r="X167">
        <f>(H167-I167)/K167</f>
        <v>0.52542599398596723</v>
      </c>
      <c r="Y167">
        <f>(H167-K167)/G167</f>
        <v>0.3722856195842606</v>
      </c>
      <c r="Z167">
        <f>J167/N167</f>
        <v>0.67100526170036001</v>
      </c>
      <c r="AA167">
        <f>J167/G167</f>
        <v>0.40155783891282731</v>
      </c>
      <c r="AB167">
        <f>C167/G167</f>
        <v>0.13314077371087646</v>
      </c>
      <c r="AC167">
        <f>C167/(G167-K167)</f>
        <v>0.16908505968309329</v>
      </c>
      <c r="AD167">
        <f>Q167/E167</f>
        <v>0.35074411212252565</v>
      </c>
      <c r="AE167">
        <f>Q167/J167</f>
        <v>-0.17174694888273098</v>
      </c>
      <c r="AF167">
        <f>Q167/G167</f>
        <v>-6.8966333633221272E-2</v>
      </c>
      <c r="AG167">
        <f>Q167/K167</f>
        <v>-0.32442365519545607</v>
      </c>
      <c r="AH167">
        <f>Q167/L167</f>
        <v>-0.33391411999358078</v>
      </c>
      <c r="AI167" s="1">
        <f>R167</f>
        <v>0.5</v>
      </c>
      <c r="AJ167" s="1">
        <f>P167</f>
        <v>-44172</v>
      </c>
    </row>
    <row r="168" spans="1:36" x14ac:dyDescent="0.25">
      <c r="A168" t="s">
        <v>39</v>
      </c>
      <c r="B168">
        <v>2023</v>
      </c>
      <c r="C168" s="1">
        <v>43255</v>
      </c>
      <c r="D168" s="1">
        <f>E168+4396</f>
        <v>-13358</v>
      </c>
      <c r="E168" s="1">
        <v>-17754</v>
      </c>
      <c r="G168" s="1">
        <v>215967</v>
      </c>
      <c r="H168" s="1">
        <v>130912</v>
      </c>
      <c r="I168" s="1">
        <v>91741</v>
      </c>
      <c r="J168" s="1">
        <v>93612</v>
      </c>
      <c r="K168" s="1">
        <v>67448</v>
      </c>
      <c r="L168" s="1">
        <f>25705+M168</f>
        <v>46783</v>
      </c>
      <c r="M168" s="1">
        <v>21078</v>
      </c>
      <c r="N168" s="1">
        <v>122355</v>
      </c>
      <c r="O168" s="1">
        <v>122355</v>
      </c>
      <c r="P168" s="1">
        <v>-61462</v>
      </c>
      <c r="Q168" s="1">
        <v>-19866</v>
      </c>
      <c r="R168" s="1">
        <v>0.9</v>
      </c>
      <c r="T168">
        <f>E168/G168</f>
        <v>-8.2207003847810087E-2</v>
      </c>
      <c r="U168">
        <f>D168/C168</f>
        <v>-0.30881978961969714</v>
      </c>
      <c r="V168">
        <f>(E168-F168)/O168</f>
        <v>-0.14510236606595561</v>
      </c>
      <c r="W168">
        <f>H168/K168</f>
        <v>1.9409322737516308</v>
      </c>
      <c r="X168">
        <f>(H168-I168)/K168</f>
        <v>0.58075851025975567</v>
      </c>
      <c r="Y168">
        <f>(H168-K168)/G168</f>
        <v>0.29385971004829442</v>
      </c>
      <c r="Z168">
        <f>J168/N168</f>
        <v>0.76508520289322057</v>
      </c>
      <c r="AA168">
        <f>J168/G168</f>
        <v>0.4334551111975441</v>
      </c>
      <c r="AB168">
        <f>C168/G168</f>
        <v>0.20028522876180158</v>
      </c>
      <c r="AC168">
        <f>C168/(G168-K168)</f>
        <v>0.29124219796793677</v>
      </c>
      <c r="AD168">
        <f>Q168/E168</f>
        <v>1.1189591078066914</v>
      </c>
      <c r="AE168">
        <f>Q168/J168</f>
        <v>-0.21221638251506217</v>
      </c>
      <c r="AF168">
        <f>Q168/G168</f>
        <v>-9.1986275681006827E-2</v>
      </c>
      <c r="AG168">
        <f>Q168/K168</f>
        <v>-0.29453801447040684</v>
      </c>
      <c r="AH168">
        <f>Q168/L168</f>
        <v>-0.4246414295791206</v>
      </c>
      <c r="AI168" s="1">
        <f>R168</f>
        <v>0.9</v>
      </c>
      <c r="AJ168" s="1">
        <f>P168</f>
        <v>-61462</v>
      </c>
    </row>
    <row r="169" spans="1:36" x14ac:dyDescent="0.25">
      <c r="A169" s="15" t="s">
        <v>39</v>
      </c>
      <c r="B169" s="15">
        <v>2024</v>
      </c>
      <c r="C169" s="6">
        <v>21468</v>
      </c>
      <c r="D169" s="6">
        <f>E169-4058+21371</f>
        <v>-121368</v>
      </c>
      <c r="E169" s="6">
        <v>-138681</v>
      </c>
      <c r="F169" s="6"/>
      <c r="G169" s="6">
        <v>218645</v>
      </c>
      <c r="H169" s="6">
        <v>107221</v>
      </c>
      <c r="I169" s="6">
        <v>78219</v>
      </c>
      <c r="J169" s="6">
        <v>104086</v>
      </c>
      <c r="K169" s="6">
        <v>100815</v>
      </c>
      <c r="L169" s="6">
        <v>43853</v>
      </c>
      <c r="M169" s="6">
        <v>0</v>
      </c>
      <c r="N169" s="6">
        <v>114560</v>
      </c>
      <c r="O169" s="6">
        <v>114560</v>
      </c>
      <c r="P169" s="6">
        <v>-197857</v>
      </c>
      <c r="Q169" s="6">
        <v>-119159</v>
      </c>
      <c r="R169" s="6">
        <v>0.4</v>
      </c>
      <c r="S169" s="15"/>
      <c r="T169" s="15">
        <f>E169/G169</f>
        <v>-0.63427473758832809</v>
      </c>
      <c r="U169" s="15">
        <f>D169/C169</f>
        <v>-5.6534376746785915</v>
      </c>
      <c r="V169" s="15">
        <f>(E169-F169)/O169</f>
        <v>-1.2105534217877094</v>
      </c>
      <c r="W169" s="15">
        <f>H169/K169</f>
        <v>1.063542131627238</v>
      </c>
      <c r="X169" s="15">
        <f>(H169-I169)/K169</f>
        <v>0.28767544512225363</v>
      </c>
      <c r="Y169" s="15">
        <f>(H169-K169)/G169</f>
        <v>2.9298634773262593E-2</v>
      </c>
      <c r="Z169" s="15">
        <f>J169/N169</f>
        <v>0.9085719273743017</v>
      </c>
      <c r="AA169" s="15">
        <f>J169/G169</f>
        <v>0.47605021839054174</v>
      </c>
      <c r="AB169" s="15">
        <f>C169/G169</f>
        <v>9.8186558119325848E-2</v>
      </c>
      <c r="AC169" s="15">
        <f>C169/(G169-K169)</f>
        <v>0.18219468726130866</v>
      </c>
      <c r="AD169" s="15">
        <f>Q169/E169</f>
        <v>0.85923089680633968</v>
      </c>
      <c r="AE169" s="15">
        <f>Q169/J169</f>
        <v>-1.1448129431431702</v>
      </c>
      <c r="AF169" s="15">
        <f>Q169/G169</f>
        <v>-0.54498845159962495</v>
      </c>
      <c r="AG169" s="15">
        <f>Q169/K169</f>
        <v>-1.1819570500421563</v>
      </c>
      <c r="AH169" s="15">
        <f>Q169/L169</f>
        <v>-2.7172371331493856</v>
      </c>
      <c r="AI169" s="6">
        <f>R169</f>
        <v>0.4</v>
      </c>
      <c r="AJ169" s="6">
        <f>P169</f>
        <v>-197857</v>
      </c>
    </row>
    <row r="170" spans="1:36" s="2" customFormat="1" x14ac:dyDescent="0.25">
      <c r="A170" s="2" t="s">
        <v>40</v>
      </c>
      <c r="B170" s="2">
        <v>2018</v>
      </c>
      <c r="C170" s="3">
        <v>877761</v>
      </c>
      <c r="D170" s="3">
        <v>178391</v>
      </c>
      <c r="E170" s="3">
        <v>152222</v>
      </c>
      <c r="F170" s="3"/>
      <c r="G170" s="3">
        <v>724883</v>
      </c>
      <c r="H170" s="3">
        <v>386574</v>
      </c>
      <c r="I170" s="3">
        <v>115531</v>
      </c>
      <c r="J170" s="3">
        <v>244248</v>
      </c>
      <c r="K170" s="3">
        <v>105473</v>
      </c>
      <c r="L170" s="3">
        <f>8869+M170</f>
        <v>74265</v>
      </c>
      <c r="M170" s="3">
        <v>65396</v>
      </c>
      <c r="N170" s="3">
        <v>480635</v>
      </c>
      <c r="O170" s="3">
        <v>480635</v>
      </c>
      <c r="P170" s="3">
        <v>368330</v>
      </c>
      <c r="Q170" s="3">
        <v>151928</v>
      </c>
      <c r="R170" s="3">
        <v>13.3</v>
      </c>
      <c r="T170" s="2">
        <f>E170/G170</f>
        <v>0.20999526820190292</v>
      </c>
      <c r="U170" s="2">
        <f>D170/C170</f>
        <v>0.20323413776643073</v>
      </c>
      <c r="V170" s="2">
        <f>(E170-F170)/O170</f>
        <v>0.3167101854837871</v>
      </c>
      <c r="W170" s="2">
        <f>H170/K170</f>
        <v>3.6651465303916644</v>
      </c>
      <c r="X170" s="2">
        <f>(H170-I170)/K170</f>
        <v>2.5697856323419264</v>
      </c>
      <c r="Y170" s="2">
        <f>(H170-K170)/G170</f>
        <v>0.38778809821722954</v>
      </c>
      <c r="Z170" s="2">
        <f>J170/N170</f>
        <v>0.50817772322032306</v>
      </c>
      <c r="AA170" s="2">
        <f>J170/G170</f>
        <v>0.33694816956667489</v>
      </c>
      <c r="AB170" s="2">
        <f>C170/G170</f>
        <v>1.2109002418321302</v>
      </c>
      <c r="AC170" s="2">
        <f>C170/(G170-K170)</f>
        <v>1.4170920714873831</v>
      </c>
      <c r="AD170" s="2">
        <f>Q170/E170</f>
        <v>0.99806861031913918</v>
      </c>
      <c r="AE170" s="2">
        <f>Q170/J170</f>
        <v>0.62202351708099968</v>
      </c>
      <c r="AF170" s="2">
        <f>Q170/G170</f>
        <v>0.20958968550786816</v>
      </c>
      <c r="AG170" s="2">
        <f>Q170/K170</f>
        <v>1.4404444739411981</v>
      </c>
      <c r="AH170" s="2">
        <f>Q170/L170</f>
        <v>2.0457550663165689</v>
      </c>
      <c r="AI170" s="3">
        <f>R170</f>
        <v>13.3</v>
      </c>
      <c r="AJ170" s="3">
        <f>P170</f>
        <v>368330</v>
      </c>
    </row>
    <row r="171" spans="1:36" x14ac:dyDescent="0.25">
      <c r="A171" t="s">
        <v>40</v>
      </c>
      <c r="B171">
        <v>2019</v>
      </c>
      <c r="C171" s="1">
        <v>815576</v>
      </c>
      <c r="D171" s="1">
        <v>115573</v>
      </c>
      <c r="E171" s="1">
        <v>97414</v>
      </c>
      <c r="G171" s="1">
        <v>822276</v>
      </c>
      <c r="H171" s="1">
        <v>454067</v>
      </c>
      <c r="I171" s="1">
        <v>156267</v>
      </c>
      <c r="J171" s="1">
        <v>243895</v>
      </c>
      <c r="K171" s="1">
        <v>121588</v>
      </c>
      <c r="L171" s="1">
        <f>42986+M171</f>
        <v>88528</v>
      </c>
      <c r="M171" s="1">
        <v>45542</v>
      </c>
      <c r="N171" s="1">
        <v>578382</v>
      </c>
      <c r="O171" s="1">
        <v>578382</v>
      </c>
      <c r="P171" s="1">
        <v>466076</v>
      </c>
      <c r="Q171" s="1">
        <v>162308</v>
      </c>
      <c r="R171" s="1">
        <v>16</v>
      </c>
      <c r="T171">
        <f>E171/G171</f>
        <v>0.11846873799065034</v>
      </c>
      <c r="U171">
        <f>D171/C171</f>
        <v>0.14170721060943431</v>
      </c>
      <c r="V171">
        <f>(E171-F171)/O171</f>
        <v>0.16842502014239724</v>
      </c>
      <c r="W171">
        <f>H171/K171</f>
        <v>3.7344721518570911</v>
      </c>
      <c r="X171">
        <f>(H171-I171)/K171</f>
        <v>2.4492548606770406</v>
      </c>
      <c r="Y171">
        <f>(H171-K171)/G171</f>
        <v>0.40433990533592129</v>
      </c>
      <c r="Z171">
        <f>J171/N171</f>
        <v>0.42168497636510127</v>
      </c>
      <c r="AA171">
        <f>J171/G171</f>
        <v>0.29660965417937529</v>
      </c>
      <c r="AB171">
        <f>C171/G171</f>
        <v>0.9918518842821632</v>
      </c>
      <c r="AC171">
        <f>C171/(G171-K171)</f>
        <v>1.1639645605462061</v>
      </c>
      <c r="AD171">
        <f>Q171/E171</f>
        <v>1.6661670807070852</v>
      </c>
      <c r="AE171">
        <f>Q171/J171</f>
        <v>0.66548309723446564</v>
      </c>
      <c r="AF171">
        <f>Q171/G171</f>
        <v>0.19738871133293445</v>
      </c>
      <c r="AG171">
        <f>Q171/K171</f>
        <v>1.3349014705398559</v>
      </c>
      <c r="AH171">
        <f>Q171/L171</f>
        <v>1.8334086390746431</v>
      </c>
      <c r="AI171" s="1">
        <f>R171</f>
        <v>16</v>
      </c>
      <c r="AJ171" s="1">
        <f>P171</f>
        <v>466076</v>
      </c>
    </row>
    <row r="172" spans="1:36" x14ac:dyDescent="0.25">
      <c r="A172" t="s">
        <v>40</v>
      </c>
      <c r="B172">
        <v>2020</v>
      </c>
      <c r="C172" s="1">
        <v>669543</v>
      </c>
      <c r="D172" s="1">
        <v>57490</v>
      </c>
      <c r="E172" s="1">
        <v>47022</v>
      </c>
      <c r="G172" s="1">
        <v>816695</v>
      </c>
      <c r="H172" s="1">
        <v>430751</v>
      </c>
      <c r="I172" s="1">
        <v>105022</v>
      </c>
      <c r="J172" s="1">
        <v>191089</v>
      </c>
      <c r="K172" s="1">
        <v>96420</v>
      </c>
      <c r="L172" s="1">
        <f>37590+M172</f>
        <v>50132</v>
      </c>
      <c r="M172" s="1">
        <v>12542</v>
      </c>
      <c r="N172" s="1">
        <v>625606</v>
      </c>
      <c r="O172" s="1">
        <v>625606</v>
      </c>
      <c r="P172" s="1">
        <v>513300</v>
      </c>
      <c r="Q172" s="1">
        <v>123528</v>
      </c>
      <c r="R172" s="1">
        <v>27.4</v>
      </c>
      <c r="T172">
        <f>E172/G172</f>
        <v>5.7575961650310092E-2</v>
      </c>
      <c r="U172">
        <f>D172/C172</f>
        <v>8.5864537453158349E-2</v>
      </c>
      <c r="V172">
        <f>(E172-F172)/O172</f>
        <v>7.5162322611995402E-2</v>
      </c>
      <c r="W172">
        <f>H172/K172</f>
        <v>4.4674445135863925</v>
      </c>
      <c r="X172">
        <f>(H172-I172)/K172</f>
        <v>3.3782306575399295</v>
      </c>
      <c r="Y172">
        <f>(H172-K172)/G172</f>
        <v>0.40937069530240788</v>
      </c>
      <c r="Z172">
        <f>J172/N172</f>
        <v>0.30544623932634918</v>
      </c>
      <c r="AA172">
        <f>J172/G172</f>
        <v>0.2339784129938349</v>
      </c>
      <c r="AB172">
        <f>C172/G172</f>
        <v>0.81982012868941279</v>
      </c>
      <c r="AC172">
        <f>C172/(G172-K172)</f>
        <v>0.929565790843775</v>
      </c>
      <c r="AD172">
        <f>Q172/E172</f>
        <v>2.6270256475692229</v>
      </c>
      <c r="AE172">
        <f>Q172/J172</f>
        <v>0.64644223372355292</v>
      </c>
      <c r="AF172">
        <f>Q172/G172</f>
        <v>0.1512535279388266</v>
      </c>
      <c r="AG172">
        <f>Q172/K172</f>
        <v>1.281144990665837</v>
      </c>
      <c r="AH172">
        <f>Q172/L172</f>
        <v>2.4640548950769969</v>
      </c>
      <c r="AI172" s="1">
        <f>R172</f>
        <v>27.4</v>
      </c>
      <c r="AJ172" s="1">
        <f>P172</f>
        <v>513300</v>
      </c>
    </row>
    <row r="173" spans="1:36" x14ac:dyDescent="0.25">
      <c r="A173" t="s">
        <v>40</v>
      </c>
      <c r="B173">
        <v>2021</v>
      </c>
      <c r="C173" s="1">
        <v>1126263</v>
      </c>
      <c r="D173" s="1">
        <v>276116</v>
      </c>
      <c r="E173" s="1">
        <v>239396</v>
      </c>
      <c r="G173" s="1">
        <v>1072864</v>
      </c>
      <c r="H173" s="1">
        <v>684246</v>
      </c>
      <c r="I173" s="1">
        <v>117229</v>
      </c>
      <c r="J173" s="1">
        <v>210174</v>
      </c>
      <c r="K173" s="1">
        <v>122665</v>
      </c>
      <c r="L173" s="1">
        <v>8224</v>
      </c>
      <c r="M173" s="1">
        <v>4293</v>
      </c>
      <c r="N173" s="1">
        <v>862691</v>
      </c>
      <c r="O173" s="1">
        <v>862691</v>
      </c>
      <c r="P173" s="1">
        <v>750385</v>
      </c>
      <c r="Q173" s="1">
        <v>314278</v>
      </c>
      <c r="R173" s="1">
        <v>101.75</v>
      </c>
      <c r="T173">
        <f>E173/G173</f>
        <v>0.22313732215826051</v>
      </c>
      <c r="U173">
        <f>D173/C173</f>
        <v>0.24516121012587647</v>
      </c>
      <c r="V173">
        <f>(E173-F173)/O173</f>
        <v>0.27749912772939556</v>
      </c>
      <c r="W173">
        <f>H173/K173</f>
        <v>5.5781681816329023</v>
      </c>
      <c r="X173">
        <f>(H173-I173)/K173</f>
        <v>4.62248400114132</v>
      </c>
      <c r="Y173">
        <f>(H173-K173)/G173</f>
        <v>0.523440995317207</v>
      </c>
      <c r="Z173">
        <f>J173/N173</f>
        <v>0.24362604918794795</v>
      </c>
      <c r="AA173">
        <f>J173/G173</f>
        <v>0.1958999463119277</v>
      </c>
      <c r="AB173">
        <f>C173/G173</f>
        <v>1.0497723849434784</v>
      </c>
      <c r="AC173">
        <f>C173/(G173-K173)</f>
        <v>1.185291712578102</v>
      </c>
      <c r="AD173">
        <f>Q173/E173</f>
        <v>1.3127955354308343</v>
      </c>
      <c r="AE173">
        <f>Q173/J173</f>
        <v>1.4953229229114924</v>
      </c>
      <c r="AF173">
        <f>Q173/G173</f>
        <v>0.29293368031735617</v>
      </c>
      <c r="AG173">
        <f>Q173/K173</f>
        <v>2.5620837239636409</v>
      </c>
      <c r="AH173">
        <f>Q173/L173</f>
        <v>38.214737354085607</v>
      </c>
      <c r="AI173" s="1">
        <f>R173</f>
        <v>101.75</v>
      </c>
      <c r="AJ173" s="1">
        <f>P173</f>
        <v>750385</v>
      </c>
    </row>
    <row r="174" spans="1:36" x14ac:dyDescent="0.25">
      <c r="A174" t="s">
        <v>40</v>
      </c>
      <c r="B174">
        <v>2022</v>
      </c>
      <c r="C174" s="1">
        <v>1699944</v>
      </c>
      <c r="D174" s="1">
        <v>789299</v>
      </c>
      <c r="E174" s="1">
        <v>664335</v>
      </c>
      <c r="G174" s="1">
        <v>1853582</v>
      </c>
      <c r="H174" s="1">
        <v>1393425</v>
      </c>
      <c r="I174" s="1">
        <v>372191</v>
      </c>
      <c r="J174" s="1">
        <v>336075</v>
      </c>
      <c r="K174" s="1">
        <v>228042</v>
      </c>
      <c r="L174" s="1">
        <v>2284</v>
      </c>
      <c r="M174" s="1">
        <v>2008</v>
      </c>
      <c r="N174" s="1">
        <v>1517508</v>
      </c>
      <c r="O174" s="1">
        <v>1517508</v>
      </c>
      <c r="P174" s="1">
        <v>1407106</v>
      </c>
      <c r="Q174" s="1">
        <v>540935</v>
      </c>
      <c r="R174" s="1">
        <v>45.8</v>
      </c>
      <c r="T174">
        <f>E174/G174</f>
        <v>0.35840604839710355</v>
      </c>
      <c r="U174">
        <f>D174/C174</f>
        <v>0.46430882429068254</v>
      </c>
      <c r="V174">
        <f>(E174-F174)/O174</f>
        <v>0.437780229165184</v>
      </c>
      <c r="W174">
        <f>H174/K174</f>
        <v>6.1103875601862816</v>
      </c>
      <c r="X174">
        <f>(H174-I174)/K174</f>
        <v>4.47827154646951</v>
      </c>
      <c r="Y174">
        <f>(H174-K174)/G174</f>
        <v>0.62871942002026349</v>
      </c>
      <c r="Z174">
        <f>J174/N174</f>
        <v>0.2214650598217604</v>
      </c>
      <c r="AA174">
        <f>J174/G174</f>
        <v>0.1813111046611372</v>
      </c>
      <c r="AB174">
        <f>C174/G174</f>
        <v>0.91711291974134401</v>
      </c>
      <c r="AC174">
        <f>C174/(G174-K174)</f>
        <v>1.0457718665797211</v>
      </c>
      <c r="AD174">
        <f>Q174/E174</f>
        <v>0.81425034056612999</v>
      </c>
      <c r="AE174">
        <f>Q174/J174</f>
        <v>1.6095663170423269</v>
      </c>
      <c r="AF174">
        <f>Q174/G174</f>
        <v>0.29183224696830246</v>
      </c>
      <c r="AG174">
        <f>Q174/K174</f>
        <v>2.3720849668043607</v>
      </c>
      <c r="AH174">
        <f>Q174/L174</f>
        <v>236.83669001751312</v>
      </c>
      <c r="AI174" s="1">
        <f>R174</f>
        <v>45.8</v>
      </c>
      <c r="AJ174" s="1">
        <f>P174</f>
        <v>1407106</v>
      </c>
    </row>
    <row r="175" spans="1:36" x14ac:dyDescent="0.25">
      <c r="A175" t="s">
        <v>40</v>
      </c>
      <c r="B175">
        <v>2023</v>
      </c>
      <c r="C175" s="1">
        <v>1623085</v>
      </c>
      <c r="D175" s="1">
        <v>224703</v>
      </c>
      <c r="E175" s="1">
        <v>155316</v>
      </c>
      <c r="G175" s="1">
        <v>1976334</v>
      </c>
      <c r="H175" s="1">
        <v>1420174</v>
      </c>
      <c r="I175" s="1">
        <v>372078</v>
      </c>
      <c r="J175" s="1">
        <v>292273</v>
      </c>
      <c r="K175" s="1">
        <v>179806</v>
      </c>
      <c r="L175" s="1">
        <v>2008</v>
      </c>
      <c r="M175" s="1">
        <v>0</v>
      </c>
      <c r="N175" s="1">
        <v>1684062</v>
      </c>
      <c r="O175" s="1">
        <v>1684062</v>
      </c>
      <c r="P175" s="1">
        <v>1570100</v>
      </c>
      <c r="Q175" s="1">
        <v>116711</v>
      </c>
      <c r="R175" s="1">
        <v>50</v>
      </c>
      <c r="T175">
        <f>E175/G175</f>
        <v>7.8587930987373586E-2</v>
      </c>
      <c r="U175">
        <f>D175/C175</f>
        <v>0.13844191770609673</v>
      </c>
      <c r="V175">
        <f>(E175-F175)/O175</f>
        <v>9.2227008269291755E-2</v>
      </c>
      <c r="W175">
        <f>H175/K175</f>
        <v>7.8983682413267635</v>
      </c>
      <c r="X175">
        <f>(H175-I175)/K175</f>
        <v>5.8290379631380489</v>
      </c>
      <c r="Y175">
        <f>(H175-K175)/G175</f>
        <v>0.62761051522667732</v>
      </c>
      <c r="Z175">
        <f>J175/N175</f>
        <v>0.17355239890217819</v>
      </c>
      <c r="AA175">
        <f>J175/G175</f>
        <v>0.14788644024744804</v>
      </c>
      <c r="AB175">
        <f>C175/G175</f>
        <v>0.82126047520307799</v>
      </c>
      <c r="AC175">
        <f>C175/(G175-K175)</f>
        <v>0.90345655620174026</v>
      </c>
      <c r="AD175">
        <f>Q175/E175</f>
        <v>0.75144222102037139</v>
      </c>
      <c r="AE175">
        <f>Q175/J175</f>
        <v>0.39932186688472765</v>
      </c>
      <c r="AF175">
        <f>Q175/G175</f>
        <v>5.905428940654768E-2</v>
      </c>
      <c r="AG175">
        <f>Q175/K175</f>
        <v>0.64909402355872436</v>
      </c>
      <c r="AH175">
        <f>Q175/L175</f>
        <v>58.123007968127489</v>
      </c>
      <c r="AI175" s="1">
        <f>R175</f>
        <v>50</v>
      </c>
      <c r="AJ175" s="1">
        <f>P175</f>
        <v>1570100</v>
      </c>
    </row>
    <row r="176" spans="1:36" x14ac:dyDescent="0.25">
      <c r="A176" s="15" t="s">
        <v>40</v>
      </c>
      <c r="B176" s="15">
        <v>2024</v>
      </c>
      <c r="C176" s="6">
        <v>1765701</v>
      </c>
      <c r="D176" s="6">
        <v>209470</v>
      </c>
      <c r="E176" s="6">
        <v>161121</v>
      </c>
      <c r="F176" s="6"/>
      <c r="G176" s="6">
        <v>2137019</v>
      </c>
      <c r="H176" s="6">
        <v>1480874</v>
      </c>
      <c r="I176" s="6">
        <v>268149</v>
      </c>
      <c r="J176" s="6">
        <v>294431</v>
      </c>
      <c r="K176" s="6">
        <v>170140</v>
      </c>
      <c r="L176" s="6">
        <v>0</v>
      </c>
      <c r="M176" s="6">
        <v>0</v>
      </c>
      <c r="N176" s="6">
        <v>1842588</v>
      </c>
      <c r="O176" s="6">
        <v>1842588</v>
      </c>
      <c r="P176" s="6">
        <v>1728624</v>
      </c>
      <c r="Q176" s="6">
        <v>187932</v>
      </c>
      <c r="R176" s="6">
        <v>62</v>
      </c>
      <c r="S176" s="15"/>
      <c r="T176" s="15">
        <f>E176/G176</f>
        <v>7.5395211741215218E-2</v>
      </c>
      <c r="U176" s="15">
        <f>D176/C176</f>
        <v>0.11863276964786224</v>
      </c>
      <c r="V176" s="15">
        <f>(E176-F176)/O176</f>
        <v>8.7442770711629508E-2</v>
      </c>
      <c r="W176" s="15">
        <f>H176/K176</f>
        <v>8.7038556482896432</v>
      </c>
      <c r="X176" s="15">
        <f>(H176-I176)/K176</f>
        <v>7.1278065122840015</v>
      </c>
      <c r="Y176" s="15">
        <f>(H176-K176)/G176</f>
        <v>0.61334690987773155</v>
      </c>
      <c r="Z176" s="15">
        <f>J176/N176</f>
        <v>0.15979209676824119</v>
      </c>
      <c r="AA176" s="15">
        <f>J176/G176</f>
        <v>0.13777650081725992</v>
      </c>
      <c r="AB176" s="15">
        <f>C176/G176</f>
        <v>0.82624487662486856</v>
      </c>
      <c r="AC176" s="15">
        <f>C176/(G176-K176)</f>
        <v>0.89771714477606401</v>
      </c>
      <c r="AD176" s="15">
        <f>Q176/E176</f>
        <v>1.1664028897536634</v>
      </c>
      <c r="AE176" s="15">
        <f>Q176/J176</f>
        <v>0.63828876714748106</v>
      </c>
      <c r="AF176" s="15">
        <f>Q176/G176</f>
        <v>8.7941192848542765E-2</v>
      </c>
      <c r="AG176" s="15">
        <f>Q176/K176</f>
        <v>1.1045727048313154</v>
      </c>
      <c r="AH176" s="15" t="e">
        <f>Q176/L176</f>
        <v>#DIV/0!</v>
      </c>
      <c r="AI176" s="6">
        <f>R176</f>
        <v>62</v>
      </c>
      <c r="AJ176" s="6">
        <f>P176</f>
        <v>1728624</v>
      </c>
    </row>
    <row r="177" spans="1:36" s="2" customFormat="1" x14ac:dyDescent="0.25">
      <c r="A177" s="2" t="s">
        <v>41</v>
      </c>
      <c r="B177" s="2">
        <v>2018</v>
      </c>
      <c r="C177" s="3">
        <v>3436635</v>
      </c>
      <c r="D177" s="3">
        <v>484727</v>
      </c>
      <c r="E177" s="3">
        <v>163564</v>
      </c>
      <c r="F177" s="3"/>
      <c r="G177" s="3">
        <v>4565965</v>
      </c>
      <c r="H177" s="3">
        <v>709523</v>
      </c>
      <c r="I177" s="3">
        <v>722688</v>
      </c>
      <c r="J177" s="3">
        <v>2964367</v>
      </c>
      <c r="K177" s="3">
        <v>1980911</v>
      </c>
      <c r="L177" s="3">
        <f>580989+209683+M177</f>
        <v>1073606</v>
      </c>
      <c r="M177" s="3">
        <v>282934</v>
      </c>
      <c r="N177" s="3">
        <v>1601598</v>
      </c>
      <c r="O177" s="3">
        <v>1601598</v>
      </c>
      <c r="P177" s="3">
        <v>1015348</v>
      </c>
      <c r="Q177" s="3">
        <v>318311</v>
      </c>
      <c r="R177" s="3">
        <v>16</v>
      </c>
      <c r="T177" s="2">
        <f>E177/G177</f>
        <v>3.5822438411157335E-2</v>
      </c>
      <c r="U177" s="2">
        <f>D177/C177</f>
        <v>0.14104698345911043</v>
      </c>
      <c r="V177" s="2">
        <f>(E177-F177)/O177</f>
        <v>0.10212550215472296</v>
      </c>
      <c r="W177" s="2">
        <f>H177/K177</f>
        <v>0.35818015044593121</v>
      </c>
      <c r="X177" s="2">
        <f>(H177-I177)/K177</f>
        <v>-6.6459320989181239E-3</v>
      </c>
      <c r="Y177" s="2">
        <f>(H177-K177)/G177</f>
        <v>-0.27844891496102137</v>
      </c>
      <c r="Z177" s="2">
        <f>J177/N177</f>
        <v>1.8508808077932166</v>
      </c>
      <c r="AA177" s="2">
        <f>J177/G177</f>
        <v>0.64923121399309891</v>
      </c>
      <c r="AB177" s="2">
        <f>C177/G177</f>
        <v>0.75266345668440293</v>
      </c>
      <c r="AC177" s="2">
        <f>C177/(G177-K177)</f>
        <v>1.3294248398679487</v>
      </c>
      <c r="AD177" s="2">
        <f>Q177/E177</f>
        <v>1.9460944951211758</v>
      </c>
      <c r="AE177" s="2">
        <f>Q177/J177</f>
        <v>0.10737907958090209</v>
      </c>
      <c r="AF177" s="2">
        <f>Q177/G177</f>
        <v>6.9713850193770646E-2</v>
      </c>
      <c r="AG177" s="2">
        <f>Q177/K177</f>
        <v>0.16068919805079582</v>
      </c>
      <c r="AH177" s="2">
        <f>Q177/L177</f>
        <v>0.29648772454699396</v>
      </c>
      <c r="AI177" s="3">
        <f>R177</f>
        <v>16</v>
      </c>
      <c r="AJ177" s="3">
        <f>P177</f>
        <v>1015348</v>
      </c>
    </row>
    <row r="178" spans="1:36" x14ac:dyDescent="0.25">
      <c r="A178" t="s">
        <v>41</v>
      </c>
      <c r="B178">
        <v>2019</v>
      </c>
      <c r="C178" s="1">
        <v>3055841</v>
      </c>
      <c r="D178" s="1">
        <v>138237</v>
      </c>
      <c r="E178" s="1">
        <v>17364</v>
      </c>
      <c r="G178" s="1">
        <v>4982474</v>
      </c>
      <c r="H178" s="1">
        <v>782091</v>
      </c>
      <c r="I178" s="1">
        <v>731292</v>
      </c>
      <c r="J178" s="1">
        <v>3472341</v>
      </c>
      <c r="K178" s="1">
        <v>2276829</v>
      </c>
      <c r="L178" s="1">
        <f>531567+525490+M178</f>
        <v>1418951</v>
      </c>
      <c r="M178" s="1">
        <v>361894</v>
      </c>
      <c r="N178" s="1">
        <v>1510133</v>
      </c>
      <c r="O178" s="1">
        <v>1510133</v>
      </c>
      <c r="P178" s="1">
        <v>893396</v>
      </c>
      <c r="Q178" s="1">
        <v>-138113</v>
      </c>
      <c r="R178" s="1">
        <v>10.9</v>
      </c>
      <c r="T178">
        <f>E178/G178</f>
        <v>3.485015676950848E-3</v>
      </c>
      <c r="U178">
        <f>D178/C178</f>
        <v>4.5236974044133842E-2</v>
      </c>
      <c r="V178">
        <f>(E178-F178)/O178</f>
        <v>1.1498324981971786E-2</v>
      </c>
      <c r="W178">
        <f>H178/K178</f>
        <v>0.34350010475094966</v>
      </c>
      <c r="X178">
        <f>(H178-I178)/K178</f>
        <v>2.2311293469997089E-2</v>
      </c>
      <c r="Y178">
        <f>(H178-K178)/G178</f>
        <v>-0.29999915704527508</v>
      </c>
      <c r="Z178">
        <f>J178/N178</f>
        <v>2.2993610496558912</v>
      </c>
      <c r="AA178">
        <f>J178/G178</f>
        <v>0.69691101248094822</v>
      </c>
      <c r="AB178">
        <f>C178/G178</f>
        <v>0.61331800226152711</v>
      </c>
      <c r="AC178">
        <f>C178/(G178-K178)</f>
        <v>1.1294316142731216</v>
      </c>
      <c r="AD178">
        <f>Q178/E178</f>
        <v>-7.9539852568532599</v>
      </c>
      <c r="AE178">
        <f>Q178/J178</f>
        <v>-3.977518337052726E-2</v>
      </c>
      <c r="AF178">
        <f>Q178/G178</f>
        <v>-2.7719763314369528E-2</v>
      </c>
      <c r="AG178">
        <f>Q178/K178</f>
        <v>-6.0660242820167874E-2</v>
      </c>
      <c r="AH178">
        <f>Q178/L178</f>
        <v>-9.7334580263870984E-2</v>
      </c>
      <c r="AI178" s="1">
        <f>R178</f>
        <v>10.9</v>
      </c>
      <c r="AJ178" s="1">
        <f>P178</f>
        <v>893396</v>
      </c>
    </row>
    <row r="179" spans="1:36" x14ac:dyDescent="0.25">
      <c r="A179" t="s">
        <v>41</v>
      </c>
      <c r="B179">
        <v>2020</v>
      </c>
      <c r="C179" s="1">
        <v>2979757</v>
      </c>
      <c r="D179" s="1">
        <v>-170249</v>
      </c>
      <c r="E179" s="1">
        <v>-412668</v>
      </c>
      <c r="G179" s="1">
        <v>6823258</v>
      </c>
      <c r="H179" s="1">
        <v>1187759</v>
      </c>
      <c r="I179" s="1">
        <v>609915</v>
      </c>
      <c r="J179" s="1">
        <v>5540624</v>
      </c>
      <c r="K179" s="1">
        <v>2072201</v>
      </c>
      <c r="L179" s="1">
        <f>434639+487214+M179</f>
        <v>1321866</v>
      </c>
      <c r="M179" s="1">
        <v>400013</v>
      </c>
      <c r="N179" s="1">
        <v>1282634</v>
      </c>
      <c r="O179" s="1">
        <v>1282634</v>
      </c>
      <c r="P179" s="1">
        <v>658913</v>
      </c>
      <c r="Q179" s="1">
        <v>-284413</v>
      </c>
      <c r="R179" s="1">
        <v>8.9</v>
      </c>
      <c r="T179">
        <f>E179/G179</f>
        <v>-6.0479612525277511E-2</v>
      </c>
      <c r="U179">
        <f>D179/C179</f>
        <v>-5.7135195923694447E-2</v>
      </c>
      <c r="V179">
        <f>(E179-F179)/O179</f>
        <v>-0.32173480509638758</v>
      </c>
      <c r="W179">
        <f>H179/K179</f>
        <v>0.57318715703737233</v>
      </c>
      <c r="X179">
        <f>(H179-I179)/K179</f>
        <v>0.27885518827565475</v>
      </c>
      <c r="Y179">
        <f>(H179-K179)/G179</f>
        <v>-0.12962165581310278</v>
      </c>
      <c r="Z179">
        <f>J179/N179</f>
        <v>4.3197233193568856</v>
      </c>
      <c r="AA179">
        <f>J179/G179</f>
        <v>0.81202029880740256</v>
      </c>
      <c r="AB179">
        <f>C179/G179</f>
        <v>0.43670589621556155</v>
      </c>
      <c r="AC179">
        <f>C179/(G179-K179)</f>
        <v>0.6271776996150541</v>
      </c>
      <c r="AD179">
        <f>Q179/E179</f>
        <v>0.68920536605697558</v>
      </c>
      <c r="AE179">
        <f>Q179/J179</f>
        <v>-5.1332304808989024E-2</v>
      </c>
      <c r="AF179">
        <f>Q179/G179</f>
        <v>-4.1682873489467934E-2</v>
      </c>
      <c r="AG179">
        <f>Q179/K179</f>
        <v>-0.13725164692035183</v>
      </c>
      <c r="AH179">
        <f>Q179/L179</f>
        <v>-0.21516023560633227</v>
      </c>
      <c r="AI179" s="1">
        <f>R179</f>
        <v>8.9</v>
      </c>
      <c r="AJ179" s="1">
        <f>P179</f>
        <v>658913</v>
      </c>
    </row>
    <row r="180" spans="1:36" x14ac:dyDescent="0.25">
      <c r="A180" t="s">
        <v>41</v>
      </c>
      <c r="B180">
        <v>2021</v>
      </c>
      <c r="C180" s="1">
        <v>3525090</v>
      </c>
      <c r="D180" s="1">
        <v>501009</v>
      </c>
      <c r="E180" s="1">
        <v>124482</v>
      </c>
      <c r="G180" s="1">
        <v>6336379</v>
      </c>
      <c r="H180" s="1">
        <v>1153275</v>
      </c>
      <c r="I180" s="1">
        <v>373561</v>
      </c>
      <c r="J180" s="1">
        <v>4925931</v>
      </c>
      <c r="K180" s="1">
        <v>1349787</v>
      </c>
      <c r="L180" s="1">
        <f>417008+M180</f>
        <v>671203</v>
      </c>
      <c r="M180" s="1">
        <v>254195</v>
      </c>
      <c r="N180" s="1">
        <v>1410447</v>
      </c>
      <c r="O180" s="1">
        <v>1410447</v>
      </c>
      <c r="P180" s="1">
        <v>796256</v>
      </c>
      <c r="Q180" s="1">
        <v>469920</v>
      </c>
      <c r="R180" s="1">
        <v>11.8</v>
      </c>
      <c r="T180">
        <f>E180/G180</f>
        <v>1.9645605163453764E-2</v>
      </c>
      <c r="U180">
        <f>D180/C180</f>
        <v>0.14212658400211059</v>
      </c>
      <c r="V180">
        <f>(E180-F180)/O180</f>
        <v>8.8257126995909804E-2</v>
      </c>
      <c r="W180">
        <f>H180/K180</f>
        <v>0.85441258509675966</v>
      </c>
      <c r="X180">
        <f>(H180-I180)/K180</f>
        <v>0.57765706737433387</v>
      </c>
      <c r="Y180">
        <f>(H180-K180)/G180</f>
        <v>-3.1013296395307161E-2</v>
      </c>
      <c r="Z180">
        <f>J180/N180</f>
        <v>3.4924609006931844</v>
      </c>
      <c r="AA180">
        <f>J180/G180</f>
        <v>0.77740472910474578</v>
      </c>
      <c r="AB180">
        <f>C180/G180</f>
        <v>0.55632562383026651</v>
      </c>
      <c r="AC180">
        <f>C180/(G180-K180)</f>
        <v>0.70691365966977049</v>
      </c>
      <c r="AD180">
        <f>Q180/E180</f>
        <v>3.7750036149804793</v>
      </c>
      <c r="AE180">
        <f>Q180/J180</f>
        <v>9.5397194966799173E-2</v>
      </c>
      <c r="AF180">
        <f>Q180/G180</f>
        <v>7.4162230510517124E-2</v>
      </c>
      <c r="AG180">
        <f>Q180/K180</f>
        <v>0.34814381824687896</v>
      </c>
      <c r="AH180">
        <f>Q180/L180</f>
        <v>0.70011606026790707</v>
      </c>
      <c r="AI180" s="1">
        <f>R180</f>
        <v>11.8</v>
      </c>
      <c r="AJ180" s="1">
        <f>P180</f>
        <v>796256</v>
      </c>
    </row>
    <row r="181" spans="1:36" x14ac:dyDescent="0.25">
      <c r="A181" t="s">
        <v>41</v>
      </c>
      <c r="B181">
        <v>2022</v>
      </c>
      <c r="C181" s="1">
        <v>3377524</v>
      </c>
      <c r="D181" s="1">
        <v>304265</v>
      </c>
      <c r="E181" s="1">
        <v>99715</v>
      </c>
      <c r="G181" s="1">
        <v>6366566</v>
      </c>
      <c r="H181" s="1">
        <v>1059116</v>
      </c>
      <c r="I181" s="1">
        <v>353910</v>
      </c>
      <c r="J181" s="1">
        <v>4755818</v>
      </c>
      <c r="K181" s="1">
        <v>1153728</v>
      </c>
      <c r="L181" s="1">
        <f>352179+M181</f>
        <v>597728</v>
      </c>
      <c r="M181" s="1">
        <v>245549</v>
      </c>
      <c r="N181" s="1">
        <v>1610748</v>
      </c>
      <c r="O181" s="1">
        <v>1610748</v>
      </c>
      <c r="P181" s="1">
        <v>1001623</v>
      </c>
      <c r="Q181" s="1">
        <v>197547</v>
      </c>
      <c r="R181" s="1">
        <v>10</v>
      </c>
      <c r="T181">
        <f>E181/G181</f>
        <v>1.5662289529394652E-2</v>
      </c>
      <c r="U181">
        <f>D181/C181</f>
        <v>9.0085222192351558E-2</v>
      </c>
      <c r="V181">
        <f>(E181-F181)/O181</f>
        <v>6.1906021301904458E-2</v>
      </c>
      <c r="W181">
        <f>H181/K181</f>
        <v>0.91799453597381708</v>
      </c>
      <c r="X181">
        <f>(H181-I181)/K181</f>
        <v>0.61124112442447442</v>
      </c>
      <c r="Y181">
        <f>(H181-K181)/G181</f>
        <v>-1.4860758531365261E-2</v>
      </c>
      <c r="Z181">
        <f>J181/N181</f>
        <v>2.9525524787241704</v>
      </c>
      <c r="AA181">
        <f>J181/G181</f>
        <v>0.74699893160614372</v>
      </c>
      <c r="AB181">
        <f>C181/G181</f>
        <v>0.5305095399937737</v>
      </c>
      <c r="AC181">
        <f>C181/(G181-K181)</f>
        <v>0.64792422093301194</v>
      </c>
      <c r="AD181">
        <f>Q181/E181</f>
        <v>1.981116181116181</v>
      </c>
      <c r="AE181">
        <f>Q181/J181</f>
        <v>4.1537964657184102E-2</v>
      </c>
      <c r="AF181">
        <f>Q181/G181</f>
        <v>3.1028815220010286E-2</v>
      </c>
      <c r="AG181">
        <f>Q181/K181</f>
        <v>0.17122493343318357</v>
      </c>
      <c r="AH181">
        <f>Q181/L181</f>
        <v>0.33049648000428289</v>
      </c>
      <c r="AI181" s="1">
        <f>R181</f>
        <v>10</v>
      </c>
      <c r="AJ181" s="1">
        <f>P181</f>
        <v>1001623</v>
      </c>
    </row>
    <row r="182" spans="1:36" x14ac:dyDescent="0.25">
      <c r="A182" t="s">
        <v>41</v>
      </c>
      <c r="B182">
        <v>2023</v>
      </c>
      <c r="C182" s="1">
        <v>5427130</v>
      </c>
      <c r="D182" s="1">
        <v>1691582</v>
      </c>
      <c r="E182" s="1">
        <v>1227782</v>
      </c>
      <c r="G182" s="1">
        <v>7406741</v>
      </c>
      <c r="H182" s="1">
        <v>1921148</v>
      </c>
      <c r="I182" s="1">
        <v>600644</v>
      </c>
      <c r="J182" s="1">
        <v>4523413</v>
      </c>
      <c r="K182" s="1">
        <v>727550</v>
      </c>
      <c r="L182" s="1">
        <f>124101+M182</f>
        <v>254682</v>
      </c>
      <c r="M182" s="1">
        <v>130581</v>
      </c>
      <c r="N182" s="1">
        <v>2883327</v>
      </c>
      <c r="O182" s="1">
        <v>2883327</v>
      </c>
      <c r="P182" s="1">
        <v>2250980</v>
      </c>
      <c r="Q182" s="1">
        <v>1310773</v>
      </c>
      <c r="R182" s="1">
        <v>45</v>
      </c>
      <c r="T182">
        <f>E182/G182</f>
        <v>0.16576548309168634</v>
      </c>
      <c r="U182">
        <f>D182/C182</f>
        <v>0.31168997241636004</v>
      </c>
      <c r="V182">
        <f>(E182-F182)/O182</f>
        <v>0.42582128215079318</v>
      </c>
      <c r="W182">
        <f>H182/K182</f>
        <v>2.6405717820081094</v>
      </c>
      <c r="X182">
        <f>(H182-I182)/K182</f>
        <v>1.8150010308569857</v>
      </c>
      <c r="Y182">
        <f>(H182-K182)/G182</f>
        <v>0.16115022788025124</v>
      </c>
      <c r="Z182">
        <f>J182/N182</f>
        <v>1.568817203182296</v>
      </c>
      <c r="AA182">
        <f>J182/G182</f>
        <v>0.61071569803777392</v>
      </c>
      <c r="AB182">
        <f>C182/G182</f>
        <v>0.73272846991679608</v>
      </c>
      <c r="AC182">
        <f>C182/(G182-K182)</f>
        <v>0.81254301606287349</v>
      </c>
      <c r="AD182">
        <f>Q182/E182</f>
        <v>1.0675942471872042</v>
      </c>
      <c r="AE182">
        <f>Q182/J182</f>
        <v>0.2897752206132847</v>
      </c>
      <c r="AF182">
        <f>Q182/G182</f>
        <v>0.17697027613089211</v>
      </c>
      <c r="AG182">
        <f>Q182/K182</f>
        <v>1.801626005085561</v>
      </c>
      <c r="AH182">
        <f>Q182/L182</f>
        <v>5.1467045177908135</v>
      </c>
      <c r="AI182" s="1">
        <f>R182</f>
        <v>45</v>
      </c>
      <c r="AJ182" s="1">
        <f>P182</f>
        <v>2250980</v>
      </c>
    </row>
    <row r="183" spans="1:36" x14ac:dyDescent="0.25">
      <c r="A183" s="15" t="s">
        <v>41</v>
      </c>
      <c r="B183" s="15">
        <v>2024</v>
      </c>
      <c r="C183" s="6">
        <v>4970425</v>
      </c>
      <c r="D183" s="6">
        <v>600372</v>
      </c>
      <c r="E183" s="6">
        <v>580666</v>
      </c>
      <c r="F183" s="6"/>
      <c r="G183" s="6">
        <v>7893756</v>
      </c>
      <c r="H183" s="6">
        <v>1939737</v>
      </c>
      <c r="I183" s="6">
        <v>530972</v>
      </c>
      <c r="J183" s="6">
        <v>4579987</v>
      </c>
      <c r="K183" s="6">
        <v>836646</v>
      </c>
      <c r="L183" s="6">
        <f>81813+M183</f>
        <v>129602</v>
      </c>
      <c r="M183" s="6">
        <v>47789</v>
      </c>
      <c r="N183" s="6">
        <v>3313769</v>
      </c>
      <c r="O183" s="6">
        <v>3313769</v>
      </c>
      <c r="P183" s="6">
        <v>2677224</v>
      </c>
      <c r="Q183" s="6">
        <v>512814</v>
      </c>
      <c r="R183" s="6">
        <v>37</v>
      </c>
      <c r="S183" s="15"/>
      <c r="T183" s="15">
        <f>E183/G183</f>
        <v>7.3560165781663384E-2</v>
      </c>
      <c r="U183" s="15">
        <f>D183/C183</f>
        <v>0.12078886614323725</v>
      </c>
      <c r="V183" s="15">
        <f>(E183-F183)/O183</f>
        <v>0.17522826726908242</v>
      </c>
      <c r="W183" s="15">
        <f>H183/K183</f>
        <v>2.3184680259034285</v>
      </c>
      <c r="X183" s="15">
        <f>(H183-I183)/K183</f>
        <v>1.6838244610026223</v>
      </c>
      <c r="Y183" s="15">
        <f>(H183-K183)/G183</f>
        <v>0.1397422215736083</v>
      </c>
      <c r="Z183" s="15">
        <f>J183/N183</f>
        <v>1.3821081071130787</v>
      </c>
      <c r="AA183" s="15">
        <f>J183/G183</f>
        <v>0.58020377118319844</v>
      </c>
      <c r="AB183" s="15">
        <f>C183/G183</f>
        <v>0.62966539629550244</v>
      </c>
      <c r="AC183" s="15">
        <f>C183/(G183-K183)</f>
        <v>0.70431451401494383</v>
      </c>
      <c r="AD183" s="15">
        <f>Q183/E183</f>
        <v>0.88314797146724622</v>
      </c>
      <c r="AE183" s="15">
        <f>Q183/J183</f>
        <v>0.11196844008509195</v>
      </c>
      <c r="AF183" s="15">
        <f>Q183/G183</f>
        <v>6.496451119087035E-2</v>
      </c>
      <c r="AG183" s="15">
        <f>Q183/K183</f>
        <v>0.61294023995811853</v>
      </c>
      <c r="AH183" s="15">
        <f>Q183/L183</f>
        <v>3.9568370858474404</v>
      </c>
      <c r="AI183" s="6">
        <f>R183</f>
        <v>37</v>
      </c>
      <c r="AJ183" s="6">
        <f>P183</f>
        <v>2677224</v>
      </c>
    </row>
    <row r="184" spans="1:36" s="2" customFormat="1" x14ac:dyDescent="0.25">
      <c r="A184" s="2" t="s">
        <v>34</v>
      </c>
      <c r="B184" s="2">
        <v>2018</v>
      </c>
      <c r="C184" s="3">
        <v>2616348</v>
      </c>
      <c r="D184" s="3">
        <v>435471</v>
      </c>
      <c r="E184" s="3">
        <v>365614</v>
      </c>
      <c r="F184" s="3"/>
      <c r="G184" s="3">
        <v>3660136</v>
      </c>
      <c r="H184" s="3">
        <v>1371683</v>
      </c>
      <c r="I184" s="3">
        <v>619417</v>
      </c>
      <c r="J184" s="3">
        <f>766355+K184</f>
        <v>1479969</v>
      </c>
      <c r="K184" s="3">
        <v>713614</v>
      </c>
      <c r="L184" s="3">
        <f>513631+M184</f>
        <v>1099465</v>
      </c>
      <c r="M184" s="3">
        <v>585834</v>
      </c>
      <c r="N184" s="3">
        <v>2180165</v>
      </c>
      <c r="O184" s="3">
        <v>2180165</v>
      </c>
      <c r="P184" s="3">
        <v>1819860</v>
      </c>
      <c r="Q184" s="3">
        <v>327313</v>
      </c>
      <c r="R184" s="3">
        <v>13.2</v>
      </c>
      <c r="T184" s="2">
        <f>E184/G184</f>
        <v>9.9890823728954331E-2</v>
      </c>
      <c r="U184" s="2">
        <f>D184/C184</f>
        <v>0.16644230813332173</v>
      </c>
      <c r="V184" s="2">
        <f>(E184-F184)/O184</f>
        <v>0.16770015113534983</v>
      </c>
      <c r="W184" s="2">
        <f>H184/K184</f>
        <v>1.9221638028401908</v>
      </c>
      <c r="X184" s="2">
        <f>(H184-I184)/K184</f>
        <v>1.0541637355769367</v>
      </c>
      <c r="Y184" s="2">
        <f>(H184-K184)/G184</f>
        <v>0.1797935923692453</v>
      </c>
      <c r="Z184" s="2">
        <f>J184/N184</f>
        <v>0.67883348278685329</v>
      </c>
      <c r="AA184" s="2">
        <f>J184/G184</f>
        <v>0.40434808979775616</v>
      </c>
      <c r="AB184" s="2">
        <f>C184/G184</f>
        <v>0.71482261861307883</v>
      </c>
      <c r="AC184" s="2">
        <f>C184/(G184-K184)</f>
        <v>0.88794449863262515</v>
      </c>
      <c r="AD184" s="2">
        <f>Q184/E184</f>
        <v>0.89524197651074633</v>
      </c>
      <c r="AE184" s="2">
        <f>Q184/J184</f>
        <v>0.22116206488108872</v>
      </c>
      <c r="AF184" s="2">
        <f>Q184/G184</f>
        <v>8.9426458470395639E-2</v>
      </c>
      <c r="AG184" s="2">
        <f>Q184/K184</f>
        <v>0.45866953282867207</v>
      </c>
      <c r="AH184" s="2">
        <f>Q184/L184</f>
        <v>0.29770206418576306</v>
      </c>
      <c r="AI184" s="3">
        <f>R184</f>
        <v>13.2</v>
      </c>
      <c r="AJ184" s="3">
        <f>P184</f>
        <v>1819860</v>
      </c>
    </row>
    <row r="185" spans="1:36" x14ac:dyDescent="0.25">
      <c r="A185" t="s">
        <v>34</v>
      </c>
      <c r="B185">
        <v>2019</v>
      </c>
      <c r="C185" s="1">
        <v>2741355</v>
      </c>
      <c r="D185" s="5">
        <v>445258</v>
      </c>
      <c r="E185" s="1">
        <v>369490</v>
      </c>
      <c r="G185" s="1">
        <v>4320457</v>
      </c>
      <c r="H185" s="1">
        <v>1472267</v>
      </c>
      <c r="I185" s="1">
        <v>702319</v>
      </c>
      <c r="J185" s="1">
        <f>646948+K185</f>
        <v>1896980</v>
      </c>
      <c r="K185" s="1">
        <v>1250032</v>
      </c>
      <c r="L185" s="1">
        <f>1022662+M185</f>
        <v>1482437</v>
      </c>
      <c r="M185" s="1">
        <v>459775</v>
      </c>
      <c r="N185" s="1">
        <v>2423476</v>
      </c>
      <c r="O185" s="1">
        <v>2423476</v>
      </c>
      <c r="P185" s="1">
        <v>2063171</v>
      </c>
      <c r="Q185" s="1">
        <v>475200</v>
      </c>
      <c r="R185" s="1">
        <v>9.9</v>
      </c>
      <c r="T185">
        <f>E185/G185</f>
        <v>8.5521045574576945E-2</v>
      </c>
      <c r="U185">
        <f>D185/C185</f>
        <v>0.16242259758404146</v>
      </c>
      <c r="V185">
        <f>(E185-F185)/O185</f>
        <v>0.15246282612247863</v>
      </c>
      <c r="W185">
        <f>H185/K185</f>
        <v>1.1777834487437122</v>
      </c>
      <c r="X185">
        <f>(H185-I185)/K185</f>
        <v>0.61594263186862419</v>
      </c>
      <c r="Y185">
        <f>(H185-K185)/G185</f>
        <v>5.1437845579761589E-2</v>
      </c>
      <c r="Z185">
        <f>J185/N185</f>
        <v>0.78275171695531542</v>
      </c>
      <c r="AA185">
        <f>J185/G185</f>
        <v>0.43906929290119079</v>
      </c>
      <c r="AB185">
        <f>C185/G185</f>
        <v>0.63450579417871766</v>
      </c>
      <c r="AC185">
        <f>C185/(G185-K185)</f>
        <v>0.89282591172231862</v>
      </c>
      <c r="AD185">
        <f>Q185/E185</f>
        <v>1.2860970526942543</v>
      </c>
      <c r="AE185">
        <f>Q185/J185</f>
        <v>0.25050343177049839</v>
      </c>
      <c r="AF185">
        <f>Q185/G185</f>
        <v>0.1099883646567944</v>
      </c>
      <c r="AG185">
        <f>Q185/K185</f>
        <v>0.3801502681531353</v>
      </c>
      <c r="AH185">
        <f>Q185/L185</f>
        <v>0.3205532511668287</v>
      </c>
      <c r="AI185" s="1">
        <f>R185</f>
        <v>9.9</v>
      </c>
      <c r="AJ185" s="1">
        <f>P185</f>
        <v>2063171</v>
      </c>
    </row>
    <row r="186" spans="1:36" x14ac:dyDescent="0.25">
      <c r="A186" t="s">
        <v>34</v>
      </c>
      <c r="B186">
        <v>2020</v>
      </c>
      <c r="C186" s="1">
        <v>2626193</v>
      </c>
      <c r="D186" s="5">
        <v>272796</v>
      </c>
      <c r="E186" s="1">
        <v>405555</v>
      </c>
      <c r="G186" s="1">
        <v>5032478</v>
      </c>
      <c r="H186" s="1">
        <v>1810230</v>
      </c>
      <c r="I186" s="1">
        <v>576057</v>
      </c>
      <c r="J186" s="1">
        <f>657797+K186</f>
        <v>2157202</v>
      </c>
      <c r="K186" s="1">
        <v>1499405</v>
      </c>
      <c r="L186" s="1">
        <f>1221060+M186</f>
        <v>1581097</v>
      </c>
      <c r="M186" s="1">
        <v>360037</v>
      </c>
      <c r="N186" s="1">
        <v>2875275</v>
      </c>
      <c r="O186" s="1">
        <v>2875275</v>
      </c>
      <c r="P186" s="1">
        <v>2328866</v>
      </c>
      <c r="Q186" s="1">
        <v>970527</v>
      </c>
      <c r="R186" s="1">
        <v>7.6</v>
      </c>
      <c r="T186">
        <f>E186/G186</f>
        <v>8.0587535603732399E-2</v>
      </c>
      <c r="U186">
        <f>D186/C186</f>
        <v>0.10387507696502123</v>
      </c>
      <c r="V186">
        <f>(E186-F186)/O186</f>
        <v>0.14104911704097869</v>
      </c>
      <c r="W186">
        <f>H186/K186</f>
        <v>1.2072988952284407</v>
      </c>
      <c r="X186">
        <f>(H186-I186)/K186</f>
        <v>0.82310849970488298</v>
      </c>
      <c r="Y186">
        <f>(H186-K186)/G186</f>
        <v>6.1763807015152376E-2</v>
      </c>
      <c r="Z186">
        <f>J186/N186</f>
        <v>0.75025936649537872</v>
      </c>
      <c r="AA186">
        <f>J186/G186</f>
        <v>0.42865602194386143</v>
      </c>
      <c r="AB186">
        <f>C186/G186</f>
        <v>0.52184887842530059</v>
      </c>
      <c r="AC186">
        <f>C186/(G186-K186)</f>
        <v>0.74331693684223332</v>
      </c>
      <c r="AD186">
        <f>Q186/E186</f>
        <v>2.3930835521692497</v>
      </c>
      <c r="AE186">
        <f>Q186/J186</f>
        <v>0.44990084377819045</v>
      </c>
      <c r="AF186">
        <f>Q186/G186</f>
        <v>0.1928527059631458</v>
      </c>
      <c r="AG186">
        <f>Q186/K186</f>
        <v>0.64727475231841969</v>
      </c>
      <c r="AH186">
        <f>Q186/L186</f>
        <v>0.61383140945811676</v>
      </c>
      <c r="AI186" s="1">
        <f>R186</f>
        <v>7.6</v>
      </c>
      <c r="AJ186" s="1">
        <f>P186</f>
        <v>2328866</v>
      </c>
    </row>
    <row r="187" spans="1:36" x14ac:dyDescent="0.25">
      <c r="A187" t="s">
        <v>34</v>
      </c>
      <c r="B187">
        <v>2021</v>
      </c>
      <c r="C187" s="1">
        <v>3437997</v>
      </c>
      <c r="D187" s="5">
        <v>641930</v>
      </c>
      <c r="E187" s="1">
        <v>496901</v>
      </c>
      <c r="G187" s="1">
        <v>5829214</v>
      </c>
      <c r="H187" s="1">
        <v>2279316</v>
      </c>
      <c r="I187" s="1">
        <v>622104</v>
      </c>
      <c r="J187" s="1">
        <f>1182346+K187</f>
        <v>2588105</v>
      </c>
      <c r="K187" s="1">
        <v>1405759</v>
      </c>
      <c r="L187" s="1">
        <f>1037079+M187</f>
        <v>1146537</v>
      </c>
      <c r="M187" s="1">
        <v>109458</v>
      </c>
      <c r="N187" s="1">
        <v>3241108</v>
      </c>
      <c r="O187" s="1">
        <v>3241108</v>
      </c>
      <c r="P187" s="1">
        <v>2741832</v>
      </c>
      <c r="Q187" s="1">
        <v>134843</v>
      </c>
      <c r="R187" s="1">
        <v>13.5</v>
      </c>
      <c r="T187">
        <f>E187/G187</f>
        <v>8.5243224901333181E-2</v>
      </c>
      <c r="U187">
        <f>D187/C187</f>
        <v>0.18671627694846737</v>
      </c>
      <c r="V187">
        <f>(E187-F187)/O187</f>
        <v>0.15331207722791096</v>
      </c>
      <c r="W187">
        <f>H187/K187</f>
        <v>1.6214130587106326</v>
      </c>
      <c r="X187">
        <f>(H187-I187)/K187</f>
        <v>1.1788734768904201</v>
      </c>
      <c r="Y187">
        <f>(H187-K187)/G187</f>
        <v>0.14985845433020645</v>
      </c>
      <c r="Z187">
        <f>J187/N187</f>
        <v>0.79852476375362991</v>
      </c>
      <c r="AA187">
        <f>J187/G187</f>
        <v>0.44398867497401878</v>
      </c>
      <c r="AB187">
        <f>C187/G187</f>
        <v>0.58978740530026863</v>
      </c>
      <c r="AC187">
        <f>C187/(G187-K187)</f>
        <v>0.77721984286038859</v>
      </c>
      <c r="AD187">
        <f>Q187/E187</f>
        <v>0.2713679384827159</v>
      </c>
      <c r="AE187">
        <f>Q187/J187</f>
        <v>5.2101054632636618E-2</v>
      </c>
      <c r="AF187">
        <f>Q187/G187</f>
        <v>2.3132278211093298E-2</v>
      </c>
      <c r="AG187">
        <f>Q187/K187</f>
        <v>9.5921847201405078E-2</v>
      </c>
      <c r="AH187">
        <f>Q187/L187</f>
        <v>0.11760893891780204</v>
      </c>
      <c r="AI187" s="1">
        <f>R187</f>
        <v>13.5</v>
      </c>
      <c r="AJ187" s="1">
        <f>P187</f>
        <v>2741832</v>
      </c>
    </row>
    <row r="188" spans="1:36" x14ac:dyDescent="0.25">
      <c r="A188" t="s">
        <v>34</v>
      </c>
      <c r="B188">
        <v>2022</v>
      </c>
      <c r="C188" s="1">
        <v>4834955</v>
      </c>
      <c r="D188" s="5">
        <v>774009</v>
      </c>
      <c r="E188" s="1">
        <v>649699</v>
      </c>
      <c r="G188" s="1">
        <v>8246251</v>
      </c>
      <c r="H188" s="1">
        <v>3629723</v>
      </c>
      <c r="I188" s="1">
        <v>953250</v>
      </c>
      <c r="J188" s="1">
        <f>2251159+K188</f>
        <v>5177059</v>
      </c>
      <c r="K188" s="1">
        <v>2925900</v>
      </c>
      <c r="L188" s="1">
        <f>2091814+M188</f>
        <v>2169059</v>
      </c>
      <c r="M188" s="1">
        <v>77245</v>
      </c>
      <c r="N188" s="1">
        <v>3069192</v>
      </c>
      <c r="O188" s="1">
        <v>3069192</v>
      </c>
      <c r="P188" s="1">
        <v>3307947</v>
      </c>
      <c r="Q188" s="1">
        <v>166777</v>
      </c>
      <c r="R188" s="1">
        <v>19.7</v>
      </c>
      <c r="T188">
        <f>E188/G188</f>
        <v>7.8787196751590516E-2</v>
      </c>
      <c r="U188">
        <f>D188/C188</f>
        <v>0.16008608146301259</v>
      </c>
      <c r="V188">
        <f>(E188-F188)/O188</f>
        <v>0.21168405234993445</v>
      </c>
      <c r="W188">
        <f>H188/K188</f>
        <v>1.2405492327147203</v>
      </c>
      <c r="X188">
        <f>(H188-I188)/K188</f>
        <v>0.91475204210670225</v>
      </c>
      <c r="Y188">
        <f>(H188-K188)/G188</f>
        <v>8.5350664198797735E-2</v>
      </c>
      <c r="Z188">
        <f>J188/N188</f>
        <v>1.6867823844190915</v>
      </c>
      <c r="AA188">
        <f>J188/G188</f>
        <v>0.62780759402060404</v>
      </c>
      <c r="AB188">
        <f>C188/G188</f>
        <v>0.58632159025962227</v>
      </c>
      <c r="AC188">
        <f>C188/(G188-K188)</f>
        <v>0.90876616975083035</v>
      </c>
      <c r="AD188">
        <f>Q188/E188</f>
        <v>0.25669887132348979</v>
      </c>
      <c r="AE188">
        <f>Q188/J188</f>
        <v>3.2214622240156039E-2</v>
      </c>
      <c r="AF188">
        <f>Q188/G188</f>
        <v>2.0224584480875007E-2</v>
      </c>
      <c r="AG188">
        <f>Q188/K188</f>
        <v>5.7000239242626198E-2</v>
      </c>
      <c r="AH188">
        <f>Q188/L188</f>
        <v>7.688910260163509E-2</v>
      </c>
      <c r="AI188" s="1">
        <f>R188</f>
        <v>19.7</v>
      </c>
      <c r="AJ188" s="1">
        <f>P188</f>
        <v>3307947</v>
      </c>
    </row>
    <row r="189" spans="1:36" x14ac:dyDescent="0.25">
      <c r="A189" t="s">
        <v>34</v>
      </c>
      <c r="B189">
        <v>2023</v>
      </c>
      <c r="C189" s="1">
        <v>6250891</v>
      </c>
      <c r="D189" s="5">
        <v>1012303</v>
      </c>
      <c r="E189" s="1">
        <v>511160</v>
      </c>
      <c r="G189" s="1">
        <v>7770014</v>
      </c>
      <c r="H189" s="1">
        <v>3073164</v>
      </c>
      <c r="I189" s="1">
        <v>1323484</v>
      </c>
      <c r="J189" s="1">
        <f>1798099+K189</f>
        <v>4155312</v>
      </c>
      <c r="K189" s="1">
        <v>2357213</v>
      </c>
      <c r="L189" s="1">
        <f>1936017+M189</f>
        <v>3167045</v>
      </c>
      <c r="M189" s="1">
        <v>1231028</v>
      </c>
      <c r="N189" s="1">
        <v>3615382</v>
      </c>
      <c r="O189" s="1">
        <v>3615382</v>
      </c>
      <c r="P189" s="1">
        <v>3683281</v>
      </c>
      <c r="Q189" s="1">
        <v>591639</v>
      </c>
      <c r="R189" s="1">
        <v>21.1</v>
      </c>
      <c r="T189">
        <f>E189/G189</f>
        <v>6.5786239252593373E-2</v>
      </c>
      <c r="U189">
        <f>D189/C189</f>
        <v>0.16194539306476469</v>
      </c>
      <c r="V189">
        <f>(E189-F189)/O189</f>
        <v>0.14138478312941757</v>
      </c>
      <c r="W189">
        <f>H189/K189</f>
        <v>1.3037277496772672</v>
      </c>
      <c r="X189">
        <f>(H189-I189)/K189</f>
        <v>0.74226639679994977</v>
      </c>
      <c r="Y189">
        <f>(H189-K189)/G189</f>
        <v>9.2142819819887062E-2</v>
      </c>
      <c r="Z189">
        <f>J189/N189</f>
        <v>1.1493424484604946</v>
      </c>
      <c r="AA189">
        <f>J189/G189</f>
        <v>0.53478822560680073</v>
      </c>
      <c r="AB189">
        <f>C189/G189</f>
        <v>0.80448902666069844</v>
      </c>
      <c r="AC189">
        <f>C189/(G189-K189)</f>
        <v>1.1548348073391208</v>
      </c>
      <c r="AD189">
        <f>Q189/E189</f>
        <v>1.1574438531966507</v>
      </c>
      <c r="AE189">
        <f>Q189/J189</f>
        <v>0.14238136630895587</v>
      </c>
      <c r="AF189">
        <f>Q189/G189</f>
        <v>7.6143878247838415E-2</v>
      </c>
      <c r="AG189">
        <f>Q189/K189</f>
        <v>0.2509908947557985</v>
      </c>
      <c r="AH189">
        <f>Q189/L189</f>
        <v>0.18681104941672758</v>
      </c>
      <c r="AI189" s="1">
        <f>R189</f>
        <v>21.1</v>
      </c>
      <c r="AJ189" s="1">
        <f>P189</f>
        <v>3683281</v>
      </c>
    </row>
    <row r="190" spans="1:36" x14ac:dyDescent="0.25">
      <c r="A190" s="15" t="s">
        <v>34</v>
      </c>
      <c r="B190" s="15">
        <v>2024</v>
      </c>
      <c r="C190" s="6">
        <v>5411506</v>
      </c>
      <c r="D190" s="11">
        <v>377995</v>
      </c>
      <c r="E190" s="6">
        <v>96581</v>
      </c>
      <c r="F190" s="6"/>
      <c r="G190" s="6">
        <v>7753388</v>
      </c>
      <c r="H190" s="6">
        <v>2937215</v>
      </c>
      <c r="I190" s="6">
        <v>1220061</v>
      </c>
      <c r="J190" s="6">
        <f>1170884+K190</f>
        <v>3718875</v>
      </c>
      <c r="K190" s="6">
        <v>2547991</v>
      </c>
      <c r="L190" s="6">
        <f>2037051+M190</f>
        <v>2742592</v>
      </c>
      <c r="M190" s="6">
        <v>705541</v>
      </c>
      <c r="N190" s="6">
        <v>4034513</v>
      </c>
      <c r="O190" s="6">
        <v>4034513</v>
      </c>
      <c r="P190" s="6">
        <v>3696364</v>
      </c>
      <c r="Q190" s="6">
        <v>364297</v>
      </c>
      <c r="R190" s="11">
        <v>20</v>
      </c>
      <c r="S190" s="15"/>
      <c r="T190" s="15">
        <f>E190/G190</f>
        <v>1.2456618964509451E-2</v>
      </c>
      <c r="U190" s="15">
        <f>D190/C190</f>
        <v>6.9850241319144801E-2</v>
      </c>
      <c r="V190" s="15">
        <f>(E190-F190)/O190</f>
        <v>2.3938700903925702E-2</v>
      </c>
      <c r="W190" s="15">
        <f>H190/K190</f>
        <v>1.1527572114658176</v>
      </c>
      <c r="X190" s="15">
        <f>(H190-I190)/K190</f>
        <v>0.67392467241838772</v>
      </c>
      <c r="Y190" s="15">
        <f>(H190-K190)/G190</f>
        <v>5.0200505894971333E-2</v>
      </c>
      <c r="Z190" s="15">
        <f>J190/N190</f>
        <v>0.92176552659515532</v>
      </c>
      <c r="AA190" s="15">
        <f>J190/G190</f>
        <v>0.47964515641420241</v>
      </c>
      <c r="AB190" s="15">
        <f>C190/G190</f>
        <v>0.69795372036069914</v>
      </c>
      <c r="AC190" s="15">
        <f>C190/(G190-K190)</f>
        <v>1.0395952508521444</v>
      </c>
      <c r="AD190" s="15">
        <f>Q190/E190</f>
        <v>3.7719323676499519</v>
      </c>
      <c r="AE190" s="15">
        <f>Q190/J190</f>
        <v>9.7958925750394943E-2</v>
      </c>
      <c r="AF190" s="15">
        <f>Q190/G190</f>
        <v>4.6985524263715425E-2</v>
      </c>
      <c r="AG190" s="15">
        <f>Q190/K190</f>
        <v>0.14297420987750742</v>
      </c>
      <c r="AH190" s="15">
        <f>Q190/L190</f>
        <v>0.13282945476396052</v>
      </c>
      <c r="AI190" s="6">
        <f>R190</f>
        <v>20</v>
      </c>
      <c r="AJ190" s="6">
        <f>P190</f>
        <v>3696364</v>
      </c>
    </row>
    <row r="191" spans="1:36" s="2" customFormat="1" x14ac:dyDescent="0.25">
      <c r="A191" s="2" t="s">
        <v>55</v>
      </c>
      <c r="B191" s="2">
        <v>2018</v>
      </c>
      <c r="C191" s="3">
        <v>31456943</v>
      </c>
      <c r="D191" s="3">
        <v>3631227</v>
      </c>
      <c r="E191" s="3">
        <v>1640367</v>
      </c>
      <c r="F191" s="3"/>
      <c r="G191" s="3">
        <v>34225037</v>
      </c>
      <c r="H191" s="3">
        <v>13240109</v>
      </c>
      <c r="I191" s="3">
        <v>1910141</v>
      </c>
      <c r="J191" s="3">
        <v>25049669</v>
      </c>
      <c r="K191" s="3">
        <v>14351228</v>
      </c>
      <c r="L191" s="3">
        <f>6991619+M191</f>
        <v>11891239</v>
      </c>
      <c r="M191" s="3">
        <v>4899620</v>
      </c>
      <c r="N191" s="3">
        <v>4681706</v>
      </c>
      <c r="O191" s="3">
        <v>9175368</v>
      </c>
      <c r="P191" s="3">
        <v>3664795</v>
      </c>
      <c r="Q191" s="3">
        <v>3473298</v>
      </c>
      <c r="R191" s="4">
        <v>810</v>
      </c>
      <c r="T191" s="2">
        <f>E191/G191</f>
        <v>4.7928859799333451E-2</v>
      </c>
      <c r="U191" s="2">
        <f>D191/C191</f>
        <v>0.11543483421132181</v>
      </c>
      <c r="V191" s="2">
        <f>(E191-F191)/O191</f>
        <v>0.17877942334302013</v>
      </c>
      <c r="W191" s="2">
        <f>H191/K191</f>
        <v>0.92257673001920115</v>
      </c>
      <c r="X191" s="2">
        <f>(H191-I191)/K191</f>
        <v>0.78947724891556315</v>
      </c>
      <c r="Y191" s="2">
        <f>(H191-K191)/G191</f>
        <v>-3.2465092733135685E-2</v>
      </c>
      <c r="Z191" s="2">
        <f>J191/N191</f>
        <v>5.3505429431066371</v>
      </c>
      <c r="AA191" s="2">
        <f>J191/G191</f>
        <v>0.7319106477518198</v>
      </c>
      <c r="AB191" s="2">
        <f>C191/G191</f>
        <v>0.91912078867876756</v>
      </c>
      <c r="AC191" s="2">
        <f>C191/(G191-K191)</f>
        <v>1.5828341210283343</v>
      </c>
      <c r="AD191" s="2">
        <f>Q191/E191</f>
        <v>2.1173908033994833</v>
      </c>
      <c r="AE191" s="2">
        <f>Q191/J191</f>
        <v>0.13865644292545343</v>
      </c>
      <c r="AF191" s="2">
        <f>Q191/G191</f>
        <v>0.10148412695653185</v>
      </c>
      <c r="AG191" s="2">
        <f>Q191/K191</f>
        <v>0.24202096155116481</v>
      </c>
      <c r="AH191" s="2">
        <f>Q191/L191</f>
        <v>0.29208882270384101</v>
      </c>
      <c r="AI191" s="3">
        <f>R191</f>
        <v>810</v>
      </c>
      <c r="AJ191" s="3">
        <f>P191</f>
        <v>3664795</v>
      </c>
    </row>
    <row r="192" spans="1:36" x14ac:dyDescent="0.25">
      <c r="A192" t="s">
        <v>55</v>
      </c>
      <c r="B192">
        <v>2019</v>
      </c>
      <c r="C192" s="1">
        <v>44216827</v>
      </c>
      <c r="D192" s="1">
        <v>6300121</v>
      </c>
      <c r="E192" s="1">
        <v>3064919</v>
      </c>
      <c r="G192" s="1">
        <v>36379641</v>
      </c>
      <c r="H192" s="1">
        <v>15429151</v>
      </c>
      <c r="I192" s="1">
        <v>2512995</v>
      </c>
      <c r="J192" s="1">
        <v>24230260</v>
      </c>
      <c r="K192" s="1">
        <v>15697265</v>
      </c>
      <c r="L192" s="1">
        <f>6353084+M192</f>
        <v>9679355</v>
      </c>
      <c r="M192" s="1">
        <v>3326271</v>
      </c>
      <c r="N192" s="1">
        <v>6171006</v>
      </c>
      <c r="O192" s="1">
        <v>12149381</v>
      </c>
      <c r="P192" s="1">
        <v>5049101</v>
      </c>
      <c r="Q192" s="1">
        <v>5640305</v>
      </c>
      <c r="R192" s="5">
        <v>899.9</v>
      </c>
      <c r="T192">
        <f>E192/G192</f>
        <v>8.4248192553631848E-2</v>
      </c>
      <c r="U192">
        <f>D192/C192</f>
        <v>0.14248243095326582</v>
      </c>
      <c r="V192">
        <f>(E192-F192)/O192</f>
        <v>0.25226956007059126</v>
      </c>
      <c r="W192">
        <f>H192/K192</f>
        <v>0.98291969970564941</v>
      </c>
      <c r="X192">
        <f>(H192-I192)/K192</f>
        <v>0.82282843539941508</v>
      </c>
      <c r="Y192">
        <f>(H192-K192)/G192</f>
        <v>-7.3698913081632665E-3</v>
      </c>
      <c r="Z192">
        <f>J192/N192</f>
        <v>3.9264683910532576</v>
      </c>
      <c r="AA192">
        <f>J192/G192</f>
        <v>0.66603900791654325</v>
      </c>
      <c r="AB192">
        <f>C192/G192</f>
        <v>1.215427799301263</v>
      </c>
      <c r="AC192">
        <f>C192/(G192-K192)</f>
        <v>2.1378988081446737</v>
      </c>
      <c r="AD192">
        <f>Q192/E192</f>
        <v>1.8402786501046193</v>
      </c>
      <c r="AE192">
        <f>Q192/J192</f>
        <v>0.23277938412546956</v>
      </c>
      <c r="AF192">
        <f>Q192/G192</f>
        <v>0.15504015006635166</v>
      </c>
      <c r="AG192">
        <f>Q192/K192</f>
        <v>0.35931769005619768</v>
      </c>
      <c r="AH192">
        <f>Q192/L192</f>
        <v>0.58271496396195821</v>
      </c>
      <c r="AI192" s="1">
        <f>R192</f>
        <v>899.9</v>
      </c>
      <c r="AJ192" s="1">
        <f>P192</f>
        <v>5049101</v>
      </c>
    </row>
    <row r="193" spans="1:36" x14ac:dyDescent="0.25">
      <c r="A193" t="s">
        <v>55</v>
      </c>
      <c r="B193">
        <v>2020</v>
      </c>
      <c r="C193" s="1">
        <v>49215361</v>
      </c>
      <c r="D193" s="1">
        <v>5233500</v>
      </c>
      <c r="E193" s="1">
        <v>2816263</v>
      </c>
      <c r="G193" s="1">
        <v>40028770</v>
      </c>
      <c r="H193" s="1">
        <v>18300931</v>
      </c>
      <c r="I193" s="1">
        <v>3043692</v>
      </c>
      <c r="J193" s="1">
        <v>25207559</v>
      </c>
      <c r="K193" s="1">
        <v>16932809</v>
      </c>
      <c r="L193" s="1">
        <f>9988456+M193</f>
        <v>12646497</v>
      </c>
      <c r="M193" s="1">
        <v>2658041</v>
      </c>
      <c r="N193" s="1">
        <v>7590886</v>
      </c>
      <c r="O193" s="1">
        <v>14821211</v>
      </c>
      <c r="P193" s="1">
        <v>6321790</v>
      </c>
      <c r="Q193" s="1">
        <v>1964068</v>
      </c>
      <c r="R193" s="5">
        <v>998</v>
      </c>
      <c r="T193">
        <f>E193/G193</f>
        <v>7.0355971467521983E-2</v>
      </c>
      <c r="U193">
        <f>D193/C193</f>
        <v>0.10633875061893786</v>
      </c>
      <c r="V193">
        <f>(E193-F193)/O193</f>
        <v>0.19001571464032191</v>
      </c>
      <c r="W193">
        <f>H193/K193</f>
        <v>1.0807971081466754</v>
      </c>
      <c r="X193">
        <f>(H193-I193)/K193</f>
        <v>0.90104595167877932</v>
      </c>
      <c r="Y193">
        <f>(H193-K193)/G193</f>
        <v>3.4178467137511347E-2</v>
      </c>
      <c r="Z193">
        <f>J193/N193</f>
        <v>3.320766376942033</v>
      </c>
      <c r="AA193">
        <f>J193/G193</f>
        <v>0.62973603735513228</v>
      </c>
      <c r="AB193">
        <f>C193/G193</f>
        <v>1.229499707335499</v>
      </c>
      <c r="AC193">
        <f>C193/(G193-K193)</f>
        <v>2.1309076942067922</v>
      </c>
      <c r="AD193">
        <f>Q193/E193</f>
        <v>0.69740219574663309</v>
      </c>
      <c r="AE193">
        <f>Q193/J193</f>
        <v>7.7915834690697336E-2</v>
      </c>
      <c r="AF193">
        <f>Q193/G193</f>
        <v>4.9066408985337297E-2</v>
      </c>
      <c r="AG193">
        <f>Q193/K193</f>
        <v>0.11599185935422764</v>
      </c>
      <c r="AH193">
        <f>Q193/L193</f>
        <v>0.15530529916703417</v>
      </c>
      <c r="AI193" s="1">
        <f>R193</f>
        <v>998</v>
      </c>
      <c r="AJ193" s="1">
        <f>P193</f>
        <v>6321790</v>
      </c>
    </row>
    <row r="194" spans="1:36" x14ac:dyDescent="0.25">
      <c r="A194" t="s">
        <v>55</v>
      </c>
      <c r="B194">
        <v>2021</v>
      </c>
      <c r="C194" s="1">
        <v>51172154</v>
      </c>
      <c r="D194" s="1">
        <v>4872718</v>
      </c>
      <c r="E194" s="1">
        <v>2434497</v>
      </c>
      <c r="G194" s="1">
        <v>36130753</v>
      </c>
      <c r="H194" s="1">
        <v>15221468</v>
      </c>
      <c r="I194" s="1">
        <v>3721062</v>
      </c>
      <c r="J194" s="1">
        <v>19466523</v>
      </c>
      <c r="K194" s="1">
        <v>10401491</v>
      </c>
      <c r="L194" s="1">
        <f>1893727+M194</f>
        <v>5390787</v>
      </c>
      <c r="M194" s="1">
        <v>3497060</v>
      </c>
      <c r="N194" s="1">
        <v>8559236</v>
      </c>
      <c r="O194" s="1">
        <v>16664230</v>
      </c>
      <c r="P194" s="1">
        <v>7290140</v>
      </c>
      <c r="Q194" s="1">
        <v>5650184</v>
      </c>
      <c r="R194" s="5">
        <v>784</v>
      </c>
      <c r="T194">
        <f>E194/G194</f>
        <v>6.7380189945114063E-2</v>
      </c>
      <c r="U194">
        <f>D194/C194</f>
        <v>9.5222061592326171E-2</v>
      </c>
      <c r="V194">
        <f>(E194-F194)/O194</f>
        <v>0.14609117853030112</v>
      </c>
      <c r="W194">
        <f>H194/K194</f>
        <v>1.4633928924228268</v>
      </c>
      <c r="X194">
        <f>(H194-I194)/K194</f>
        <v>1.1056497573280599</v>
      </c>
      <c r="Y194">
        <f>(H194-K194)/G194</f>
        <v>0.133403723968886</v>
      </c>
      <c r="Z194">
        <f>J194/N194</f>
        <v>2.274329507914024</v>
      </c>
      <c r="AA194">
        <f>J194/G194</f>
        <v>0.53877988648617425</v>
      </c>
      <c r="AB194">
        <f>C194/G194</f>
        <v>1.4163046643395447</v>
      </c>
      <c r="AC194">
        <f>C194/(G194-K194)</f>
        <v>1.9888698711995703</v>
      </c>
      <c r="AD194">
        <f>Q194/E194</f>
        <v>2.3208835336416516</v>
      </c>
      <c r="AE194">
        <f>Q194/J194</f>
        <v>0.29025132017669514</v>
      </c>
      <c r="AF194">
        <f>Q194/G194</f>
        <v>0.15638157333726202</v>
      </c>
      <c r="AG194">
        <f>Q194/K194</f>
        <v>0.54320904570315931</v>
      </c>
      <c r="AH194">
        <f>Q194/L194</f>
        <v>1.0481185771205577</v>
      </c>
      <c r="AI194" s="1">
        <f>R194</f>
        <v>784</v>
      </c>
      <c r="AJ194" s="1">
        <f>P194</f>
        <v>7290140</v>
      </c>
    </row>
    <row r="195" spans="1:36" x14ac:dyDescent="0.25">
      <c r="A195" t="s">
        <v>55</v>
      </c>
      <c r="B195">
        <v>2022</v>
      </c>
      <c r="C195" s="1">
        <v>60211220</v>
      </c>
      <c r="D195" s="1">
        <v>5712300</v>
      </c>
      <c r="E195" s="1">
        <v>3821798</v>
      </c>
      <c r="G195" s="1">
        <v>42307487</v>
      </c>
      <c r="H195" s="1">
        <v>20057555</v>
      </c>
      <c r="I195" s="1">
        <v>4537111</v>
      </c>
      <c r="J195" s="1">
        <v>22434866</v>
      </c>
      <c r="K195" s="1">
        <v>14495310</v>
      </c>
      <c r="L195" s="1">
        <f>3347696+M195</f>
        <v>5648007</v>
      </c>
      <c r="M195" s="1">
        <v>2300311</v>
      </c>
      <c r="N195" s="1">
        <v>10357450</v>
      </c>
      <c r="O195" s="1">
        <v>19872621</v>
      </c>
      <c r="P195" s="1">
        <v>8720708</v>
      </c>
      <c r="Q195" s="1">
        <v>4990359</v>
      </c>
      <c r="R195" s="5">
        <v>894.5</v>
      </c>
      <c r="T195">
        <f>E195/G195</f>
        <v>9.0333845638243648E-2</v>
      </c>
      <c r="U195">
        <f>D195/C195</f>
        <v>9.4871022377556874E-2</v>
      </c>
      <c r="V195">
        <f>(E195-F195)/O195</f>
        <v>0.19231474298231724</v>
      </c>
      <c r="W195">
        <f>H195/K195</f>
        <v>1.3837272193557779</v>
      </c>
      <c r="X195">
        <f>(H195-I195)/K195</f>
        <v>1.0707217713867452</v>
      </c>
      <c r="Y195">
        <f>(H195-K195)/G195</f>
        <v>0.13147188345173988</v>
      </c>
      <c r="Z195">
        <f>J195/N195</f>
        <v>2.166060758198205</v>
      </c>
      <c r="AA195">
        <f>J195/G195</f>
        <v>0.53028122421924995</v>
      </c>
      <c r="AB195">
        <f>C195/G195</f>
        <v>1.4231811972193007</v>
      </c>
      <c r="AC195">
        <f>C195/(G195-K195)</f>
        <v>2.1649229400488856</v>
      </c>
      <c r="AD195">
        <f>Q195/E195</f>
        <v>1.3057621046428931</v>
      </c>
      <c r="AE195">
        <f>Q195/J195</f>
        <v>0.22243765574530286</v>
      </c>
      <c r="AF195">
        <f>Q195/G195</f>
        <v>0.11795451240107926</v>
      </c>
      <c r="AG195">
        <f>Q195/K195</f>
        <v>0.3442740445012904</v>
      </c>
      <c r="AH195">
        <f>Q195/L195</f>
        <v>0.88356105082730951</v>
      </c>
      <c r="AI195" s="1">
        <f>R195</f>
        <v>894.5</v>
      </c>
      <c r="AJ195" s="1">
        <f>P195</f>
        <v>8720708</v>
      </c>
    </row>
    <row r="196" spans="1:36" x14ac:dyDescent="0.25">
      <c r="A196" t="s">
        <v>55</v>
      </c>
      <c r="B196">
        <v>2023</v>
      </c>
      <c r="C196" s="1">
        <v>96938522</v>
      </c>
      <c r="D196" s="1">
        <v>13464823</v>
      </c>
      <c r="E196" s="1">
        <v>6746104</v>
      </c>
      <c r="G196" s="1">
        <v>48832751</v>
      </c>
      <c r="H196" s="1">
        <v>24330932</v>
      </c>
      <c r="I196" s="1">
        <v>7451345</v>
      </c>
      <c r="J196" s="1">
        <v>25760494</v>
      </c>
      <c r="K196" s="1">
        <v>17673835</v>
      </c>
      <c r="L196" s="1">
        <f>5080158+M196</f>
        <v>7004600</v>
      </c>
      <c r="M196" s="1">
        <v>1924442</v>
      </c>
      <c r="N196" s="1">
        <v>11981766</v>
      </c>
      <c r="O196" s="1">
        <v>23072257</v>
      </c>
      <c r="P196" s="1">
        <v>10345024</v>
      </c>
      <c r="Q196" s="1">
        <v>1406818</v>
      </c>
      <c r="R196" s="5">
        <v>1532.75</v>
      </c>
      <c r="T196">
        <f>E196/G196</f>
        <v>0.13814712179537048</v>
      </c>
      <c r="U196">
        <f>D196/C196</f>
        <v>0.13890064261553317</v>
      </c>
      <c r="V196">
        <f>(E196-F196)/O196</f>
        <v>0.29239029367608033</v>
      </c>
      <c r="W196">
        <f>H196/K196</f>
        <v>1.3766639781349097</v>
      </c>
      <c r="X196">
        <f>(H196-I196)/K196</f>
        <v>0.95506080032997931</v>
      </c>
      <c r="Y196">
        <f>(H196-K196)/G196</f>
        <v>0.13632443111796017</v>
      </c>
      <c r="Z196">
        <f>J196/N196</f>
        <v>2.1499747199202521</v>
      </c>
      <c r="AA196">
        <f>J196/G196</f>
        <v>0.52752493915405252</v>
      </c>
      <c r="AB196">
        <f>C196/G196</f>
        <v>1.985112860014788</v>
      </c>
      <c r="AC196">
        <f>C196/(G196-K196)</f>
        <v>3.1111005915610157</v>
      </c>
      <c r="AD196">
        <f>Q196/E196</f>
        <v>0.20853784643699533</v>
      </c>
      <c r="AE196">
        <f>Q196/J196</f>
        <v>5.4611452715153677E-2</v>
      </c>
      <c r="AF196">
        <f>Q196/G196</f>
        <v>2.8808903270675864E-2</v>
      </c>
      <c r="AG196">
        <f>Q196/K196</f>
        <v>7.9598909914005644E-2</v>
      </c>
      <c r="AH196">
        <f>Q196/L196</f>
        <v>0.20084201810238986</v>
      </c>
      <c r="AI196" s="1">
        <f>R196</f>
        <v>1532.75</v>
      </c>
      <c r="AJ196" s="1">
        <f>P196</f>
        <v>10345024</v>
      </c>
    </row>
    <row r="197" spans="1:36" x14ac:dyDescent="0.25">
      <c r="A197" s="15" t="s">
        <v>55</v>
      </c>
      <c r="B197" s="15">
        <v>2024</v>
      </c>
      <c r="C197" s="6">
        <v>111930270</v>
      </c>
      <c r="D197" s="6">
        <v>15657291</v>
      </c>
      <c r="E197" s="6">
        <v>7975609</v>
      </c>
      <c r="F197" s="6"/>
      <c r="G197" s="6">
        <v>56732634</v>
      </c>
      <c r="H197" s="6">
        <v>27716755</v>
      </c>
      <c r="I197" s="6">
        <v>9123121</v>
      </c>
      <c r="J197" s="6">
        <v>28941022</v>
      </c>
      <c r="K197" s="6">
        <v>20457922</v>
      </c>
      <c r="L197" s="6">
        <f>3219699+M197</f>
        <v>4593268</v>
      </c>
      <c r="M197" s="6">
        <v>1373569</v>
      </c>
      <c r="N197" s="6">
        <v>14612819</v>
      </c>
      <c r="O197" s="6">
        <v>27791612</v>
      </c>
      <c r="P197" s="6">
        <v>12591143</v>
      </c>
      <c r="Q197" s="6">
        <v>11197856</v>
      </c>
      <c r="R197" s="11">
        <v>1134</v>
      </c>
      <c r="S197" s="15"/>
      <c r="T197" s="15">
        <f>E197/G197</f>
        <v>0.14058238508721452</v>
      </c>
      <c r="U197" s="15">
        <f>D197/C197</f>
        <v>0.13988433155749558</v>
      </c>
      <c r="V197" s="15">
        <f>(E197-F197)/O197</f>
        <v>0.28697899927503306</v>
      </c>
      <c r="W197" s="15">
        <f>H197/K197</f>
        <v>1.3548177082696864</v>
      </c>
      <c r="X197" s="15">
        <f>(H197-I197)/K197</f>
        <v>0.90887207410410498</v>
      </c>
      <c r="Y197" s="15">
        <f>(H197-K197)/G197</f>
        <v>0.12794810478921179</v>
      </c>
      <c r="Z197" s="15">
        <f>J197/N197</f>
        <v>1.9805228546251068</v>
      </c>
      <c r="AA197" s="15">
        <f>J197/G197</f>
        <v>0.51013006024010799</v>
      </c>
      <c r="AB197" s="15">
        <f>C197/G197</f>
        <v>1.972943297503162</v>
      </c>
      <c r="AC197" s="15">
        <f>C197/(G197-K197)</f>
        <v>3.0856280816233634</v>
      </c>
      <c r="AD197" s="15">
        <f>Q197/E197</f>
        <v>1.4040126590960014</v>
      </c>
      <c r="AE197" s="15">
        <f>Q197/J197</f>
        <v>0.38691985376328453</v>
      </c>
      <c r="AF197" s="15">
        <f>Q197/G197</f>
        <v>0.1973794483083581</v>
      </c>
      <c r="AG197" s="15">
        <f>Q197/K197</f>
        <v>0.5473603819586369</v>
      </c>
      <c r="AH197" s="15">
        <f>Q197/L197</f>
        <v>2.4378843124328911</v>
      </c>
      <c r="AI197" s="6">
        <f>R197</f>
        <v>1134</v>
      </c>
      <c r="AJ197" s="6">
        <f>P197</f>
        <v>12591143</v>
      </c>
    </row>
    <row r="198" spans="1:36" s="2" customFormat="1" x14ac:dyDescent="0.25">
      <c r="A198" s="2" t="s">
        <v>37</v>
      </c>
      <c r="B198" s="2">
        <v>2018</v>
      </c>
      <c r="C198" s="3">
        <v>58776</v>
      </c>
      <c r="D198" s="3">
        <v>-521</v>
      </c>
      <c r="E198" s="3">
        <v>4289</v>
      </c>
      <c r="F198" s="3"/>
      <c r="G198" s="3">
        <v>307775</v>
      </c>
      <c r="H198" s="3">
        <v>93671</v>
      </c>
      <c r="I198" s="3">
        <v>1180</v>
      </c>
      <c r="J198" s="3">
        <f>4354+K198</f>
        <v>13270</v>
      </c>
      <c r="K198" s="3">
        <v>8916</v>
      </c>
      <c r="L198" s="3">
        <v>0</v>
      </c>
      <c r="M198" s="3">
        <v>0</v>
      </c>
      <c r="N198" s="3">
        <v>294504</v>
      </c>
      <c r="O198" s="3">
        <v>294504</v>
      </c>
      <c r="P198" s="3">
        <v>22224</v>
      </c>
      <c r="Q198" s="3">
        <v>12864</v>
      </c>
      <c r="R198" s="4">
        <v>6</v>
      </c>
      <c r="T198" s="2">
        <f>E198/G198</f>
        <v>1.3935504833076111E-2</v>
      </c>
      <c r="U198" s="2">
        <f>D198/C198</f>
        <v>-8.8641622430924195E-3</v>
      </c>
      <c r="V198" s="2">
        <f>(E198-F198)/O198</f>
        <v>1.456346942656127E-2</v>
      </c>
      <c r="W198" s="2">
        <f>H198/K198</f>
        <v>10.505944369672498</v>
      </c>
      <c r="X198" s="2">
        <f>(H198-I198)/K198</f>
        <v>10.373598026020638</v>
      </c>
      <c r="Y198" s="2">
        <f>(H198-K198)/G198</f>
        <v>0.27537974169441964</v>
      </c>
      <c r="Z198" s="2">
        <f>J198/N198</f>
        <v>4.5058810746203784E-2</v>
      </c>
      <c r="AA198" s="2">
        <f>J198/G198</f>
        <v>4.3115912598489153E-2</v>
      </c>
      <c r="AB198" s="2">
        <f>C198/G198</f>
        <v>0.19097067663065551</v>
      </c>
      <c r="AC198" s="2">
        <f>C198/(G198-K198)</f>
        <v>0.19666799393694015</v>
      </c>
      <c r="AD198" s="2">
        <f>Q198/E198</f>
        <v>2.9993005362555376</v>
      </c>
      <c r="AE198" s="2">
        <f>Q198/J198</f>
        <v>0.96940467219291637</v>
      </c>
      <c r="AF198" s="2">
        <f>Q198/G198</f>
        <v>4.1796767118836814E-2</v>
      </c>
      <c r="AG198" s="2">
        <f>Q198/K198</f>
        <v>1.4427994616419919</v>
      </c>
      <c r="AH198" s="2" t="e">
        <f>Q198/L198</f>
        <v>#DIV/0!</v>
      </c>
      <c r="AI198" s="3">
        <f>R198</f>
        <v>6</v>
      </c>
      <c r="AJ198" s="3">
        <f>P198</f>
        <v>22224</v>
      </c>
    </row>
    <row r="199" spans="1:36" x14ac:dyDescent="0.25">
      <c r="A199" t="s">
        <v>37</v>
      </c>
      <c r="B199">
        <v>2019</v>
      </c>
      <c r="C199" s="1">
        <v>76612</v>
      </c>
      <c r="D199" s="1">
        <v>9854</v>
      </c>
      <c r="E199" s="1">
        <v>14904</v>
      </c>
      <c r="G199" s="1">
        <v>323759</v>
      </c>
      <c r="H199" s="1">
        <v>115556</v>
      </c>
      <c r="I199" s="1">
        <v>1300</v>
      </c>
      <c r="J199" s="1">
        <f>7011+K199</f>
        <v>19450</v>
      </c>
      <c r="K199" s="1">
        <v>12439</v>
      </c>
      <c r="L199" s="1">
        <v>0</v>
      </c>
      <c r="M199" s="1">
        <v>0</v>
      </c>
      <c r="N199" s="1">
        <v>304309</v>
      </c>
      <c r="O199" s="1">
        <v>304309</v>
      </c>
      <c r="P199" s="1">
        <v>32029</v>
      </c>
      <c r="Q199" s="1">
        <v>23388</v>
      </c>
      <c r="R199" s="5">
        <v>6.6</v>
      </c>
      <c r="T199">
        <f>E199/G199</f>
        <v>4.6034241519154681E-2</v>
      </c>
      <c r="U199">
        <f>D199/C199</f>
        <v>0.12862214796637603</v>
      </c>
      <c r="V199">
        <f>(E199-F199)/O199</f>
        <v>4.8976533720658938E-2</v>
      </c>
      <c r="W199">
        <f>H199/K199</f>
        <v>9.2898142937535173</v>
      </c>
      <c r="X199">
        <f>(H199-I199)/K199</f>
        <v>9.1853042849103623</v>
      </c>
      <c r="Y199">
        <f>(H199-K199)/G199</f>
        <v>0.31849925407479018</v>
      </c>
      <c r="Z199">
        <f>J199/N199</f>
        <v>6.3915296622840595E-2</v>
      </c>
      <c r="AA199">
        <f>J199/G199</f>
        <v>6.0075550023319817E-2</v>
      </c>
      <c r="AB199">
        <f>C199/G199</f>
        <v>0.23663280403015824</v>
      </c>
      <c r="AC199">
        <f>C199/(G199-K199)</f>
        <v>0.24608762687909547</v>
      </c>
      <c r="AD199">
        <f>Q199/E199</f>
        <v>1.569243156199678</v>
      </c>
      <c r="AE199">
        <f>Q199/J199</f>
        <v>1.2024678663239075</v>
      </c>
      <c r="AF199">
        <f>Q199/G199</f>
        <v>7.2238918454776549E-2</v>
      </c>
      <c r="AG199">
        <f>Q199/K199</f>
        <v>1.880215451402846</v>
      </c>
      <c r="AH199" t="e">
        <f>Q199/L199</f>
        <v>#DIV/0!</v>
      </c>
      <c r="AI199" s="1">
        <f>R199</f>
        <v>6.6</v>
      </c>
      <c r="AJ199" s="1">
        <f>P199</f>
        <v>32029</v>
      </c>
    </row>
    <row r="200" spans="1:36" x14ac:dyDescent="0.25">
      <c r="A200" t="s">
        <v>37</v>
      </c>
      <c r="B200">
        <v>2020</v>
      </c>
      <c r="C200" s="1">
        <v>60143.68</v>
      </c>
      <c r="D200" s="1">
        <v>-4833</v>
      </c>
      <c r="E200" s="1">
        <v>3548.8020000000001</v>
      </c>
      <c r="G200" s="1">
        <v>309548.62800000003</v>
      </c>
      <c r="H200" s="1">
        <v>110085</v>
      </c>
      <c r="I200" s="1">
        <v>1361</v>
      </c>
      <c r="J200" s="1">
        <f>G200-O200</f>
        <v>17848.520000000019</v>
      </c>
      <c r="K200" s="1">
        <v>10059</v>
      </c>
      <c r="L200" s="1">
        <v>0</v>
      </c>
      <c r="M200" s="1">
        <v>0</v>
      </c>
      <c r="N200" s="1">
        <v>291700.10800000001</v>
      </c>
      <c r="O200" s="1">
        <v>291700.10800000001</v>
      </c>
      <c r="P200" s="1">
        <v>19420</v>
      </c>
      <c r="Q200" s="1">
        <v>6232</v>
      </c>
      <c r="R200" s="1">
        <v>4</v>
      </c>
      <c r="T200">
        <f>E200/G200</f>
        <v>1.1464441057060669E-2</v>
      </c>
      <c r="U200">
        <f>D200/C200</f>
        <v>-8.0357570404737455E-2</v>
      </c>
      <c r="V200">
        <f>(E200-F200)/O200</f>
        <v>1.2165926246417434E-2</v>
      </c>
      <c r="W200">
        <f>H200/K200</f>
        <v>10.943930808231434</v>
      </c>
      <c r="X200">
        <f>(H200-I200)/K200</f>
        <v>10.808629088378567</v>
      </c>
      <c r="Y200">
        <f>(H200-K200)/G200</f>
        <v>0.32313501321672788</v>
      </c>
      <c r="Z200">
        <f>J200/N200</f>
        <v>6.1187910153259244E-2</v>
      </c>
      <c r="AA200">
        <f>J200/G200</f>
        <v>5.7659825906254757E-2</v>
      </c>
      <c r="AB200">
        <f>C200/G200</f>
        <v>0.19429477167639067</v>
      </c>
      <c r="AC200">
        <f>C200/(G200-K200)</f>
        <v>0.20082057733231415</v>
      </c>
      <c r="AD200">
        <f>Q200/E200</f>
        <v>1.7560855747939728</v>
      </c>
      <c r="AE200">
        <f>Q200/J200</f>
        <v>0.34916060267181781</v>
      </c>
      <c r="AF200">
        <f>Q200/G200</f>
        <v>2.0132539563380004E-2</v>
      </c>
      <c r="AG200">
        <f>Q200/K200</f>
        <v>0.61954468635053184</v>
      </c>
      <c r="AH200" t="e">
        <f>Q200/L200</f>
        <v>#DIV/0!</v>
      </c>
      <c r="AI200" s="1">
        <f>R200</f>
        <v>4</v>
      </c>
      <c r="AJ200" s="1">
        <f>P200</f>
        <v>19420</v>
      </c>
    </row>
    <row r="201" spans="1:36" x14ac:dyDescent="0.25">
      <c r="A201" t="s">
        <v>37</v>
      </c>
      <c r="B201">
        <v>2021</v>
      </c>
      <c r="C201" s="1">
        <v>9498.7279999999992</v>
      </c>
      <c r="D201" s="1">
        <v>-33026</v>
      </c>
      <c r="E201" s="1">
        <v>-23312.101999999999</v>
      </c>
      <c r="G201" s="1">
        <v>280080.54399999999</v>
      </c>
      <c r="H201" s="1">
        <v>87332</v>
      </c>
      <c r="I201" s="1">
        <v>1195</v>
      </c>
      <c r="J201" s="1">
        <f>G201-O201</f>
        <v>14568.043999999994</v>
      </c>
      <c r="K201" s="1">
        <v>10367</v>
      </c>
      <c r="L201" s="1">
        <v>0</v>
      </c>
      <c r="M201" s="1">
        <v>0</v>
      </c>
      <c r="N201" s="1">
        <v>265512.5</v>
      </c>
      <c r="O201" s="1">
        <v>265512.5</v>
      </c>
      <c r="P201" s="1">
        <v>-6767</v>
      </c>
      <c r="Q201" s="1">
        <v>-20390</v>
      </c>
      <c r="R201" s="1">
        <v>9</v>
      </c>
      <c r="T201">
        <f>E201/G201</f>
        <v>-8.3233564413528124E-2</v>
      </c>
      <c r="U201">
        <f>D201/C201</f>
        <v>-3.4768865894465031</v>
      </c>
      <c r="V201">
        <f>(E201-F201)/O201</f>
        <v>-8.7800393578456759E-2</v>
      </c>
      <c r="W201">
        <f>H201/K201</f>
        <v>8.4240378122889936</v>
      </c>
      <c r="X201">
        <f>(H201-I201)/K201</f>
        <v>8.3087682068100701</v>
      </c>
      <c r="Y201">
        <f>(H201-K201)/G201</f>
        <v>0.27479595298129672</v>
      </c>
      <c r="Z201">
        <f>J201/N201</f>
        <v>5.4867639000047055E-2</v>
      </c>
      <c r="AA201">
        <f>J201/G201</f>
        <v>5.201376643998519E-2</v>
      </c>
      <c r="AB201">
        <f>C201/G201</f>
        <v>3.3914272888587359E-2</v>
      </c>
      <c r="AC201">
        <f>C201/(G201-K201)</f>
        <v>3.5217838374479254E-2</v>
      </c>
      <c r="AD201">
        <f>Q201/E201</f>
        <v>0.87465300211881369</v>
      </c>
      <c r="AE201">
        <f>Q201/J201</f>
        <v>-1.399638825912388</v>
      </c>
      <c r="AF201">
        <f>Q201/G201</f>
        <v>-7.2800486991342034E-2</v>
      </c>
      <c r="AG201">
        <f>Q201/K201</f>
        <v>-1.9668177872094146</v>
      </c>
      <c r="AH201" t="e">
        <f>Q201/L201</f>
        <v>#DIV/0!</v>
      </c>
      <c r="AI201" s="1">
        <f>R201</f>
        <v>9</v>
      </c>
      <c r="AJ201" s="1">
        <f>P201</f>
        <v>-6767</v>
      </c>
    </row>
    <row r="202" spans="1:36" x14ac:dyDescent="0.25">
      <c r="A202" t="s">
        <v>37</v>
      </c>
      <c r="B202">
        <v>2022</v>
      </c>
      <c r="C202" s="1">
        <v>51901.508000000002</v>
      </c>
      <c r="D202" s="1">
        <v>-2667</v>
      </c>
      <c r="E202" s="1">
        <v>821.53700000000003</v>
      </c>
      <c r="G202" s="1">
        <v>280753.84000000003</v>
      </c>
      <c r="H202" s="1">
        <v>90358</v>
      </c>
      <c r="I202" s="1">
        <v>2019</v>
      </c>
      <c r="J202" s="1">
        <f>G202-O202</f>
        <v>13650.127000000037</v>
      </c>
      <c r="K202" s="1">
        <v>10317</v>
      </c>
      <c r="L202" s="1">
        <v>0</v>
      </c>
      <c r="M202" s="1">
        <v>0</v>
      </c>
      <c r="N202" s="1">
        <v>267103.71299999999</v>
      </c>
      <c r="O202" s="1">
        <v>267103.71299999999</v>
      </c>
      <c r="P202" s="1">
        <v>-5176</v>
      </c>
      <c r="Q202" s="1">
        <v>-163</v>
      </c>
      <c r="R202" s="1">
        <v>10.6</v>
      </c>
      <c r="T202">
        <f>E202/G202</f>
        <v>2.9261825946886423E-3</v>
      </c>
      <c r="U202">
        <f>D202/C202</f>
        <v>-5.1385790177811405E-2</v>
      </c>
      <c r="V202">
        <f>(E202-F202)/O202</f>
        <v>3.0757228747321833E-3</v>
      </c>
      <c r="W202">
        <f>H202/K202</f>
        <v>8.7581661335659593</v>
      </c>
      <c r="X202">
        <f>(H202-I202)/K202</f>
        <v>8.5624697101870701</v>
      </c>
      <c r="Y202">
        <f>(H202-K202)/G202</f>
        <v>0.28509316203831797</v>
      </c>
      <c r="Z202">
        <f>J202/N202</f>
        <v>5.1104220329576761E-2</v>
      </c>
      <c r="AA202">
        <f>J202/G202</f>
        <v>4.8619555835817015E-2</v>
      </c>
      <c r="AB202">
        <f>C202/G202</f>
        <v>0.18486481965838827</v>
      </c>
      <c r="AC202">
        <f>C202/(G202-K202)</f>
        <v>0.19191729943302102</v>
      </c>
      <c r="AD202">
        <f>Q202/E202</f>
        <v>-0.19840859267446262</v>
      </c>
      <c r="AE202">
        <f>Q202/J202</f>
        <v>-1.1941280839365052E-2</v>
      </c>
      <c r="AF202">
        <f>Q202/G202</f>
        <v>-5.8057977052068102E-4</v>
      </c>
      <c r="AG202">
        <f>Q202/K202</f>
        <v>-1.5799166424348164E-2</v>
      </c>
      <c r="AH202" t="e">
        <f>Q202/L202</f>
        <v>#DIV/0!</v>
      </c>
      <c r="AI202" s="1">
        <f>R202</f>
        <v>10.6</v>
      </c>
      <c r="AJ202" s="1">
        <f>P202</f>
        <v>-5176</v>
      </c>
    </row>
    <row r="203" spans="1:36" x14ac:dyDescent="0.25">
      <c r="A203" t="s">
        <v>37</v>
      </c>
      <c r="B203">
        <v>2023</v>
      </c>
      <c r="C203" s="1">
        <v>98572.861000000004</v>
      </c>
      <c r="D203" s="1">
        <v>15927</v>
      </c>
      <c r="E203" s="1">
        <v>16472.022000000001</v>
      </c>
      <c r="G203" s="1">
        <v>311314.96399999998</v>
      </c>
      <c r="H203" s="1">
        <v>124430</v>
      </c>
      <c r="I203" s="1">
        <v>3230</v>
      </c>
      <c r="J203" s="1">
        <f>12687+K203</f>
        <v>27569</v>
      </c>
      <c r="K203" s="1">
        <v>14882</v>
      </c>
      <c r="L203" s="1">
        <v>0</v>
      </c>
      <c r="M203" s="1">
        <v>0</v>
      </c>
      <c r="N203" s="1">
        <v>283745.63</v>
      </c>
      <c r="O203" s="1">
        <v>283745.63</v>
      </c>
      <c r="P203" s="1">
        <v>11465</v>
      </c>
      <c r="Q203" s="1">
        <v>22164</v>
      </c>
      <c r="R203" s="1">
        <v>11.3</v>
      </c>
      <c r="T203">
        <f>E203/G203</f>
        <v>5.2911115445128436E-2</v>
      </c>
      <c r="U203">
        <f>D203/C203</f>
        <v>0.16157591286713285</v>
      </c>
      <c r="V203">
        <f>(E203-F203)/O203</f>
        <v>5.8052072907695533E-2</v>
      </c>
      <c r="W203">
        <f>H203/K203</f>
        <v>8.361107378040586</v>
      </c>
      <c r="X203">
        <f>(H203-I203)/K203</f>
        <v>8.1440666577072971</v>
      </c>
      <c r="Y203">
        <f>(H203-K203)/G203</f>
        <v>0.35188799983286384</v>
      </c>
      <c r="Z203">
        <f>J203/N203</f>
        <v>9.716096773014618E-2</v>
      </c>
      <c r="AA203">
        <f>J203/G203</f>
        <v>8.8556616892980458E-2</v>
      </c>
      <c r="AB203">
        <f>C203/G203</f>
        <v>0.31663386730102705</v>
      </c>
      <c r="AC203">
        <f>C203/(G203-K203)</f>
        <v>0.33253002523700437</v>
      </c>
      <c r="AD203">
        <f>Q203/E203</f>
        <v>1.3455542980697814</v>
      </c>
      <c r="AE203">
        <f>Q203/J203</f>
        <v>0.80394646160542638</v>
      </c>
      <c r="AF203">
        <f>Q203/G203</f>
        <v>7.119477880285896E-2</v>
      </c>
      <c r="AG203">
        <f>Q203/K203</f>
        <v>1.4893159521569681</v>
      </c>
      <c r="AH203" t="e">
        <f>Q203/L203</f>
        <v>#DIV/0!</v>
      </c>
      <c r="AI203" s="1">
        <f>R203</f>
        <v>11.3</v>
      </c>
      <c r="AJ203" s="1">
        <f>P203</f>
        <v>11465</v>
      </c>
    </row>
    <row r="204" spans="1:36" x14ac:dyDescent="0.25">
      <c r="A204" s="15" t="s">
        <v>37</v>
      </c>
      <c r="B204" s="15">
        <v>2024</v>
      </c>
      <c r="C204" s="6">
        <v>115915.482</v>
      </c>
      <c r="D204" s="6">
        <v>15358</v>
      </c>
      <c r="E204" s="6">
        <v>22082.541000000001</v>
      </c>
      <c r="F204" s="6"/>
      <c r="G204" s="6">
        <v>334473.86700000003</v>
      </c>
      <c r="H204" s="6">
        <v>148962</v>
      </c>
      <c r="I204" s="6">
        <v>3595</v>
      </c>
      <c r="J204" s="6">
        <f>23693+K204</f>
        <v>39990</v>
      </c>
      <c r="K204" s="6">
        <v>16297</v>
      </c>
      <c r="L204" s="6">
        <v>0</v>
      </c>
      <c r="M204" s="6">
        <v>0</v>
      </c>
      <c r="N204" s="6">
        <v>294482.80599999998</v>
      </c>
      <c r="O204" s="6">
        <v>294482.80599999998</v>
      </c>
      <c r="P204" s="6">
        <v>22202</v>
      </c>
      <c r="Q204" s="6">
        <v>22022</v>
      </c>
      <c r="R204" s="6">
        <v>12.9</v>
      </c>
      <c r="S204" s="15"/>
      <c r="T204" s="15">
        <f>E204/G204</f>
        <v>6.6021723006539107E-2</v>
      </c>
      <c r="U204" s="15">
        <f>D204/C204</f>
        <v>0.13249308664393941</v>
      </c>
      <c r="V204" s="15">
        <f>(E204-F204)/O204</f>
        <v>7.4987539340412301E-2</v>
      </c>
      <c r="W204" s="15">
        <f>H204/K204</f>
        <v>9.1404552985212</v>
      </c>
      <c r="X204" s="15">
        <f>(H204-I204)/K204</f>
        <v>8.9198625513898264</v>
      </c>
      <c r="Y204" s="15">
        <f>(H204-K204)/G204</f>
        <v>0.39663786348964591</v>
      </c>
      <c r="Z204" s="15">
        <f>J204/N204</f>
        <v>0.13579740203915336</v>
      </c>
      <c r="AA204" s="15">
        <f>J204/G204</f>
        <v>0.11956091026985972</v>
      </c>
      <c r="AB204" s="15">
        <f>C204/G204</f>
        <v>0.34656065372066869</v>
      </c>
      <c r="AC204" s="15">
        <f>C204/(G204-K204)</f>
        <v>0.36431146957016203</v>
      </c>
      <c r="AD204" s="15">
        <f>Q204/E204</f>
        <v>0.99725842238898132</v>
      </c>
      <c r="AE204" s="15">
        <f>Q204/J204</f>
        <v>0.55068767191797952</v>
      </c>
      <c r="AF204" s="15">
        <f>Q204/G204</f>
        <v>6.5840719328903494E-2</v>
      </c>
      <c r="AG204" s="15">
        <f>Q204/K204</f>
        <v>1.3512916487697122</v>
      </c>
      <c r="AH204" s="15" t="e">
        <f>Q204/L204</f>
        <v>#DIV/0!</v>
      </c>
      <c r="AI204" s="6">
        <f>R204</f>
        <v>12.9</v>
      </c>
      <c r="AJ204" s="6">
        <f>P204</f>
        <v>22202</v>
      </c>
    </row>
    <row r="205" spans="1:36" s="2" customFormat="1" x14ac:dyDescent="0.25">
      <c r="A205" s="2" t="s">
        <v>42</v>
      </c>
      <c r="B205" s="2">
        <v>2018</v>
      </c>
      <c r="C205" s="3">
        <v>20554110</v>
      </c>
      <c r="D205" s="3">
        <v>5402671</v>
      </c>
      <c r="E205" s="3">
        <v>1936473</v>
      </c>
      <c r="F205" s="3"/>
      <c r="G205" s="3">
        <v>75262083</v>
      </c>
      <c r="H205" s="3">
        <v>16706508</v>
      </c>
      <c r="I205" s="3">
        <v>4294573</v>
      </c>
      <c r="J205" s="3">
        <f>9215454+K205</f>
        <v>38722270</v>
      </c>
      <c r="K205" s="3">
        <v>29506816</v>
      </c>
      <c r="L205" s="3">
        <f>3149294+ 5115144</f>
        <v>8264438</v>
      </c>
      <c r="M205" s="3">
        <v>6456353</v>
      </c>
      <c r="N205" s="3">
        <v>19360253</v>
      </c>
      <c r="O205" s="3">
        <v>36539813</v>
      </c>
      <c r="P205" s="3">
        <v>14900123</v>
      </c>
      <c r="Q205" s="3">
        <v>-2761368</v>
      </c>
      <c r="R205" s="3">
        <v>69</v>
      </c>
      <c r="T205" s="2">
        <f>E205/G205</f>
        <v>2.5729729005773066E-2</v>
      </c>
      <c r="U205" s="2">
        <f>D205/C205</f>
        <v>0.26285112807122274</v>
      </c>
      <c r="V205" s="2">
        <f>(E205-F205)/O205</f>
        <v>5.299624822929444E-2</v>
      </c>
      <c r="W205" s="2">
        <f>H205/K205</f>
        <v>0.56619148606206782</v>
      </c>
      <c r="X205" s="2">
        <f>(H205-I205)/K205</f>
        <v>0.42064636862208377</v>
      </c>
      <c r="Y205" s="2">
        <f>(H205-K205)/G205</f>
        <v>-0.17007645137857796</v>
      </c>
      <c r="Z205" s="2">
        <f>J205/N205</f>
        <v>2.0000911145117781</v>
      </c>
      <c r="AA205" s="2">
        <f>J205/G205</f>
        <v>0.51449904728254736</v>
      </c>
      <c r="AB205" s="2">
        <f>C205/G205</f>
        <v>0.27310046680477873</v>
      </c>
      <c r="AC205" s="2">
        <f>C205/(G205-K205)</f>
        <v>0.44921844735383143</v>
      </c>
      <c r="AD205" s="2">
        <f>Q205/E205</f>
        <v>-1.4259780539155464</v>
      </c>
      <c r="AE205" s="2">
        <f>Q205/J205</f>
        <v>-7.1312141566080706E-2</v>
      </c>
      <c r="AF205" s="2">
        <f>Q205/G205</f>
        <v>-3.6690028895426663E-2</v>
      </c>
      <c r="AG205" s="2">
        <f>Q205/K205</f>
        <v>-9.3584072236055554E-2</v>
      </c>
      <c r="AH205" s="2">
        <f>Q205/L205</f>
        <v>-0.33412653104784623</v>
      </c>
      <c r="AI205" s="3">
        <f>R205</f>
        <v>69</v>
      </c>
      <c r="AJ205" s="3">
        <f>P205</f>
        <v>14900123</v>
      </c>
    </row>
    <row r="206" spans="1:36" x14ac:dyDescent="0.25">
      <c r="A206" t="s">
        <v>42</v>
      </c>
      <c r="B206">
        <v>2019</v>
      </c>
      <c r="C206" s="1">
        <v>21193726</v>
      </c>
      <c r="D206" s="1">
        <v>3979584</v>
      </c>
      <c r="E206" s="1">
        <v>2944</v>
      </c>
      <c r="G206" s="1">
        <v>92736121</v>
      </c>
      <c r="H206" s="1">
        <v>19313775</v>
      </c>
      <c r="I206" s="1">
        <v>5537798</v>
      </c>
      <c r="J206" s="1">
        <f>13117034+K206</f>
        <v>46544363</v>
      </c>
      <c r="K206" s="1">
        <v>33427329</v>
      </c>
      <c r="L206" s="1">
        <f>3252800+8640731</f>
        <v>11893531</v>
      </c>
      <c r="M206" s="1">
        <v>7289211</v>
      </c>
      <c r="N206" s="1">
        <v>25720415</v>
      </c>
      <c r="O206" s="1">
        <v>46191759</v>
      </c>
      <c r="P206" s="1">
        <v>12753386</v>
      </c>
      <c r="Q206" s="1">
        <v>-6327487</v>
      </c>
      <c r="R206" s="1">
        <v>48</v>
      </c>
      <c r="T206">
        <f>E206/G206</f>
        <v>3.174599032452522E-5</v>
      </c>
      <c r="U206">
        <f>D206/C206</f>
        <v>0.1877717962381886</v>
      </c>
      <c r="V206">
        <f>(E206-F206)/O206</f>
        <v>6.3734312434388999E-5</v>
      </c>
      <c r="W206">
        <f>H206/K206</f>
        <v>0.57778397430437833</v>
      </c>
      <c r="X206">
        <f>(H206-I206)/K206</f>
        <v>0.41211719309071926</v>
      </c>
      <c r="Y206">
        <f>(H206-K206)/G206</f>
        <v>-0.15219047171489952</v>
      </c>
      <c r="Z206">
        <f>J206/N206</f>
        <v>1.8096272163571234</v>
      </c>
      <c r="AA206">
        <f>J206/G206</f>
        <v>0.50190112006086607</v>
      </c>
      <c r="AB206">
        <f>C206/G206</f>
        <v>0.22853798251923865</v>
      </c>
      <c r="AC206">
        <f>C206/(G206-K206)</f>
        <v>0.35734543370905281</v>
      </c>
      <c r="AD206">
        <f>Q206/E206</f>
        <v>-2149.282269021739</v>
      </c>
      <c r="AE206">
        <f>Q206/J206</f>
        <v>-0.13594529159202373</v>
      </c>
      <c r="AF206">
        <f>Q206/G206</f>
        <v>-6.8231094117037747E-2</v>
      </c>
      <c r="AG206">
        <f>Q206/K206</f>
        <v>-0.18929083445464637</v>
      </c>
      <c r="AH206">
        <f>Q206/L206</f>
        <v>-0.53201080486526664</v>
      </c>
      <c r="AI206" s="1">
        <f>R206</f>
        <v>48</v>
      </c>
      <c r="AJ206" s="1">
        <f>P206</f>
        <v>12753386</v>
      </c>
    </row>
    <row r="207" spans="1:36" x14ac:dyDescent="0.25">
      <c r="A207" t="s">
        <v>42</v>
      </c>
      <c r="B207">
        <v>2020</v>
      </c>
      <c r="C207" s="1">
        <v>20438843</v>
      </c>
      <c r="D207" s="1">
        <v>4448224</v>
      </c>
      <c r="E207" s="1">
        <v>-1514671</v>
      </c>
      <c r="G207" s="1">
        <v>147672805</v>
      </c>
      <c r="H207" s="1">
        <v>23057277</v>
      </c>
      <c r="I207" s="1">
        <v>6686405</v>
      </c>
      <c r="J207" s="1">
        <f>25545980+K207</f>
        <v>70918084</v>
      </c>
      <c r="K207" s="1">
        <v>45372104</v>
      </c>
      <c r="L207" s="1">
        <f>2244541+12677958</f>
        <v>14922499</v>
      </c>
      <c r="M207" s="1">
        <v>12481214</v>
      </c>
      <c r="N207" s="1">
        <v>30257070</v>
      </c>
      <c r="O207" s="1">
        <v>76754721</v>
      </c>
      <c r="P207" s="1">
        <v>16520105</v>
      </c>
      <c r="Q207" s="1">
        <v>8922656</v>
      </c>
      <c r="R207" s="1">
        <v>42</v>
      </c>
      <c r="T207">
        <f>E207/G207</f>
        <v>-1.0256939319328294E-2</v>
      </c>
      <c r="U207">
        <f>D207/C207</f>
        <v>0.21763580257453907</v>
      </c>
      <c r="V207">
        <f>(E207-F207)/O207</f>
        <v>-1.9733913175190878E-2</v>
      </c>
      <c r="W207">
        <f>H207/K207</f>
        <v>0.50818178940963377</v>
      </c>
      <c r="X207">
        <f>(H207-I207)/K207</f>
        <v>0.36081359594873536</v>
      </c>
      <c r="Y207">
        <f>(H207-K207)/G207</f>
        <v>-0.15110992846651758</v>
      </c>
      <c r="Z207">
        <f>J207/N207</f>
        <v>2.3438516683869257</v>
      </c>
      <c r="AA207">
        <f>J207/G207</f>
        <v>0.48023794225348398</v>
      </c>
      <c r="AB207">
        <f>C207/G207</f>
        <v>0.13840627595582003</v>
      </c>
      <c r="AC207">
        <f>C207/(G207-K207)</f>
        <v>0.19979181765333162</v>
      </c>
      <c r="AD207">
        <f>Q207/E207</f>
        <v>-5.8908211750274484</v>
      </c>
      <c r="AE207">
        <f>Q207/J207</f>
        <v>0.12581637146316588</v>
      </c>
      <c r="AF207">
        <f>Q207/G207</f>
        <v>6.0421795333270738E-2</v>
      </c>
      <c r="AG207">
        <f>Q207/K207</f>
        <v>0.19665510772874892</v>
      </c>
      <c r="AH207">
        <f>Q207/L207</f>
        <v>0.59793309418214735</v>
      </c>
      <c r="AI207" s="1">
        <f>R207</f>
        <v>42</v>
      </c>
      <c r="AJ207" s="1">
        <f>P207</f>
        <v>16520105</v>
      </c>
    </row>
    <row r="208" spans="1:36" x14ac:dyDescent="0.25">
      <c r="A208" t="s">
        <v>42</v>
      </c>
      <c r="B208">
        <v>2021</v>
      </c>
      <c r="C208" s="1">
        <v>29391036</v>
      </c>
      <c r="D208" s="1">
        <v>2799436</v>
      </c>
      <c r="E208" s="1">
        <v>-3344424</v>
      </c>
      <c r="G208" s="1">
        <v>195761744</v>
      </c>
      <c r="H208" s="1">
        <v>30602185</v>
      </c>
      <c r="I208" s="1">
        <v>8960060</v>
      </c>
      <c r="J208" s="1">
        <f>31547852+K208</f>
        <v>98693056</v>
      </c>
      <c r="K208" s="1">
        <v>67145204</v>
      </c>
      <c r="L208" s="1">
        <f>3053794+14299903</f>
        <v>17353697</v>
      </c>
      <c r="M208" s="1">
        <v>17597510</v>
      </c>
      <c r="N208" s="1">
        <v>46887750</v>
      </c>
      <c r="O208" s="1">
        <v>97068688</v>
      </c>
      <c r="P208" s="1">
        <v>19985456</v>
      </c>
      <c r="Q208" s="1">
        <v>-985535</v>
      </c>
      <c r="R208" s="1">
        <v>155.19999999999999</v>
      </c>
      <c r="T208">
        <f>E208/G208</f>
        <v>-1.7084155114596853E-2</v>
      </c>
      <c r="U208">
        <f>D208/C208</f>
        <v>9.5247952470950664E-2</v>
      </c>
      <c r="V208">
        <f>(E208-F208)/O208</f>
        <v>-3.4454200102096773E-2</v>
      </c>
      <c r="W208">
        <f>H208/K208</f>
        <v>0.4557612930925044</v>
      </c>
      <c r="X208">
        <f>(H208-I208)/K208</f>
        <v>0.32231825522490037</v>
      </c>
      <c r="Y208">
        <f>(H208-K208)/G208</f>
        <v>-0.18667089009995744</v>
      </c>
      <c r="Z208">
        <f>J208/N208</f>
        <v>2.1048793341544432</v>
      </c>
      <c r="AA208">
        <f>J208/G208</f>
        <v>0.50414883921344711</v>
      </c>
      <c r="AB208">
        <f>C208/G208</f>
        <v>0.1501367703385397</v>
      </c>
      <c r="AC208">
        <f>C208/(G208-K208)</f>
        <v>0.22851676775008875</v>
      </c>
      <c r="AD208">
        <f>Q208/E208</f>
        <v>0.29468004056901875</v>
      </c>
      <c r="AE208">
        <f>Q208/J208</f>
        <v>-9.9858595927964783E-3</v>
      </c>
      <c r="AF208">
        <f>Q208/G208</f>
        <v>-5.0343595222568103E-3</v>
      </c>
      <c r="AG208">
        <f>Q208/K208</f>
        <v>-1.4677667819729909E-2</v>
      </c>
      <c r="AH208">
        <f>Q208/L208</f>
        <v>-5.67910687849396E-2</v>
      </c>
      <c r="AI208" s="1">
        <f>R208</f>
        <v>155.19999999999999</v>
      </c>
      <c r="AJ208" s="1">
        <f>P208</f>
        <v>19985456</v>
      </c>
    </row>
    <row r="209" spans="1:36" x14ac:dyDescent="0.25">
      <c r="A209" t="s">
        <v>42</v>
      </c>
      <c r="B209">
        <v>2022</v>
      </c>
      <c r="C209" s="1">
        <v>50303640</v>
      </c>
      <c r="D209" s="1">
        <v>43136596</v>
      </c>
      <c r="E209" s="1">
        <v>29746575</v>
      </c>
      <c r="G209" s="1">
        <v>415401536</v>
      </c>
      <c r="H209" s="1">
        <v>78892279</v>
      </c>
      <c r="I209" s="1">
        <v>20298697</v>
      </c>
      <c r="J209" s="1">
        <f>63857470+K209</f>
        <v>232119552</v>
      </c>
      <c r="K209" s="1">
        <v>168262082</v>
      </c>
      <c r="L209" s="1">
        <f>6304303+ 24852569</f>
        <v>31156872</v>
      </c>
      <c r="M209" s="1">
        <v>32231853</v>
      </c>
      <c r="N209" s="1">
        <v>85207578</v>
      </c>
      <c r="O209" s="1">
        <v>183281984</v>
      </c>
      <c r="P209" s="1">
        <v>43154141</v>
      </c>
      <c r="Q209" s="1">
        <v>28472522</v>
      </c>
      <c r="R209" s="1">
        <v>133.5</v>
      </c>
      <c r="T209">
        <f>E209/G209</f>
        <v>7.160920801217259E-2</v>
      </c>
      <c r="U209">
        <f>D209/C209</f>
        <v>0.85752434615069606</v>
      </c>
      <c r="V209">
        <f>(E209-F209)/O209</f>
        <v>0.16229950347984012</v>
      </c>
      <c r="W209">
        <f>H209/K209</f>
        <v>0.46886546310534777</v>
      </c>
      <c r="X209">
        <f>(H209-I209)/K209</f>
        <v>0.34822808147589662</v>
      </c>
      <c r="Y209">
        <f>(H209-K209)/G209</f>
        <v>-0.21514076202164067</v>
      </c>
      <c r="Z209">
        <f>J209/N209</f>
        <v>2.7241655900605459</v>
      </c>
      <c r="AA209">
        <f>J209/G209</f>
        <v>0.55878356694376785</v>
      </c>
      <c r="AB209">
        <f>C209/G209</f>
        <v>0.12109642271520152</v>
      </c>
      <c r="AC209">
        <f>C209/(G209-K209)</f>
        <v>0.20354354266721006</v>
      </c>
      <c r="AD209">
        <f>Q209/E209</f>
        <v>0.95716975819905314</v>
      </c>
      <c r="AE209">
        <f>Q209/J209</f>
        <v>0.1226631783263135</v>
      </c>
      <c r="AF209">
        <f>Q209/G209</f>
        <v>6.8542168317836938E-2</v>
      </c>
      <c r="AG209">
        <f>Q209/K209</f>
        <v>0.16921531970583842</v>
      </c>
      <c r="AH209">
        <f>Q209/L209</f>
        <v>0.91384404698905586</v>
      </c>
      <c r="AI209" s="1">
        <f>R209</f>
        <v>133.5</v>
      </c>
      <c r="AJ209" s="1">
        <f>P209</f>
        <v>43154141</v>
      </c>
    </row>
    <row r="210" spans="1:36" x14ac:dyDescent="0.25">
      <c r="A210" t="s">
        <v>42</v>
      </c>
      <c r="B210">
        <v>2023</v>
      </c>
      <c r="C210" s="1">
        <v>72651843</v>
      </c>
      <c r="D210" s="1">
        <v>35778798</v>
      </c>
      <c r="E210" s="1">
        <v>-12527509</v>
      </c>
      <c r="G210" s="1">
        <v>466853977</v>
      </c>
      <c r="H210" s="1">
        <v>88244768</v>
      </c>
      <c r="I210" s="1">
        <v>23623833</v>
      </c>
      <c r="J210" s="1">
        <f>69059949+K210</f>
        <v>294211555</v>
      </c>
      <c r="K210" s="1">
        <v>225151606</v>
      </c>
      <c r="L210" s="1">
        <f>7775562+29069859+M210</f>
        <v>66579200</v>
      </c>
      <c r="M210" s="1">
        <v>29733779</v>
      </c>
      <c r="N210" s="1">
        <v>79103514</v>
      </c>
      <c r="O210" s="1">
        <v>172642422</v>
      </c>
      <c r="P210" s="1">
        <v>36572209</v>
      </c>
      <c r="Q210" s="1">
        <v>16792709</v>
      </c>
      <c r="R210" s="1">
        <v>119.5</v>
      </c>
      <c r="T210">
        <f>E210/G210</f>
        <v>-2.6833891574623986E-2</v>
      </c>
      <c r="U210">
        <f>D210/C210</f>
        <v>0.4924692412827022</v>
      </c>
      <c r="V210">
        <f>(E210-F210)/O210</f>
        <v>-7.2563329770709548E-2</v>
      </c>
      <c r="W210">
        <f>H210/K210</f>
        <v>0.39193488142385269</v>
      </c>
      <c r="X210">
        <f>(H210-I210)/K210</f>
        <v>0.28701076642553464</v>
      </c>
      <c r="Y210">
        <f>(H210-K210)/G210</f>
        <v>-0.2932540895972704</v>
      </c>
      <c r="Z210">
        <f>J210/N210</f>
        <v>3.7193234550869638</v>
      </c>
      <c r="AA210">
        <f>J210/G210</f>
        <v>0.63020038276336676</v>
      </c>
      <c r="AB210">
        <f>C210/G210</f>
        <v>0.15562005804654416</v>
      </c>
      <c r="AC210">
        <f>C210/(G210-K210)</f>
        <v>0.30058390697375492</v>
      </c>
      <c r="AD210">
        <f>Q210/E210</f>
        <v>-1.3404667280622189</v>
      </c>
      <c r="AE210">
        <f>Q210/J210</f>
        <v>5.7076986660160235E-2</v>
      </c>
      <c r="AF210">
        <f>Q210/G210</f>
        <v>3.5969938840212559E-2</v>
      </c>
      <c r="AG210">
        <f>Q210/K210</f>
        <v>7.4584007186695347E-2</v>
      </c>
      <c r="AH210">
        <f>Q210/L210</f>
        <v>0.25222154967317117</v>
      </c>
      <c r="AI210" s="1">
        <f>R210</f>
        <v>119.5</v>
      </c>
      <c r="AJ210" s="1">
        <f>P210</f>
        <v>36572209</v>
      </c>
    </row>
    <row r="211" spans="1:36" x14ac:dyDescent="0.25">
      <c r="A211" s="15" t="s">
        <v>42</v>
      </c>
      <c r="B211" s="15">
        <v>2024</v>
      </c>
      <c r="C211" s="6">
        <v>80609286</v>
      </c>
      <c r="D211" s="6">
        <v>48309136</v>
      </c>
      <c r="E211" s="6">
        <v>-8530675</v>
      </c>
      <c r="F211" s="6"/>
      <c r="G211" s="6">
        <v>563371270</v>
      </c>
      <c r="H211" s="6">
        <v>96674562</v>
      </c>
      <c r="I211" s="6">
        <v>23003838</v>
      </c>
      <c r="J211" s="6">
        <f>85168070+K211</f>
        <v>374627599</v>
      </c>
      <c r="K211" s="6">
        <v>289459529</v>
      </c>
      <c r="L211" s="6">
        <f>6352966+ 29927670+M211</f>
        <v>66588718</v>
      </c>
      <c r="M211" s="6">
        <v>30308082</v>
      </c>
      <c r="N211" s="6">
        <v>70191419</v>
      </c>
      <c r="O211" s="6">
        <v>188743671</v>
      </c>
      <c r="P211" s="6">
        <v>33838400</v>
      </c>
      <c r="Q211" s="6">
        <v>12085701</v>
      </c>
      <c r="R211" s="6">
        <v>110</v>
      </c>
      <c r="S211" s="15"/>
      <c r="T211" s="15">
        <f>E211/G211</f>
        <v>-1.5142190335691062E-2</v>
      </c>
      <c r="U211" s="15">
        <f>D211/C211</f>
        <v>0.59929988711226145</v>
      </c>
      <c r="V211" s="15">
        <f>(E211-F211)/O211</f>
        <v>-4.5197144650217173E-2</v>
      </c>
      <c r="W211" s="15">
        <f>H211/K211</f>
        <v>0.33398300043526985</v>
      </c>
      <c r="X211" s="15">
        <f>(H211-I211)/K211</f>
        <v>0.25451131028407081</v>
      </c>
      <c r="Y211" s="15">
        <f>(H211-K211)/G211</f>
        <v>-0.34219879015129756</v>
      </c>
      <c r="Z211" s="15">
        <f>J211/N211</f>
        <v>5.3372278882123751</v>
      </c>
      <c r="AA211" s="15">
        <f>J211/G211</f>
        <v>0.66497462499285775</v>
      </c>
      <c r="AB211" s="15">
        <f>C211/G211</f>
        <v>0.14308377138223607</v>
      </c>
      <c r="AC211" s="15">
        <f>C211/(G211-K211)</f>
        <v>0.2942892688926394</v>
      </c>
      <c r="AD211" s="15">
        <f>Q211/E211</f>
        <v>-1.4167344319177557</v>
      </c>
      <c r="AE211" s="15">
        <f>Q211/J211</f>
        <v>3.2260572985707871E-2</v>
      </c>
      <c r="AF211" s="15">
        <f>Q211/G211</f>
        <v>2.1452462423225807E-2</v>
      </c>
      <c r="AG211" s="15">
        <f>Q211/K211</f>
        <v>4.1752645151301962E-2</v>
      </c>
      <c r="AH211" s="15">
        <f>Q211/L211</f>
        <v>0.18149772758802776</v>
      </c>
      <c r="AI211" s="6">
        <f>R211</f>
        <v>110</v>
      </c>
      <c r="AJ211" s="6">
        <f>P211</f>
        <v>33838400</v>
      </c>
    </row>
    <row r="212" spans="1:36" s="2" customFormat="1" x14ac:dyDescent="0.25">
      <c r="A212" s="2" t="s">
        <v>45</v>
      </c>
      <c r="B212" s="2">
        <v>2018</v>
      </c>
      <c r="C212" s="3">
        <v>79849368</v>
      </c>
      <c r="D212" s="3">
        <v>11061191</v>
      </c>
      <c r="E212" s="3">
        <v>3774652</v>
      </c>
      <c r="F212" s="3"/>
      <c r="G212" s="3">
        <v>153638441</v>
      </c>
      <c r="H212" s="3">
        <v>38087352</v>
      </c>
      <c r="I212" s="3">
        <v>6469855</v>
      </c>
      <c r="J212" s="3">
        <v>99493068</v>
      </c>
      <c r="K212" s="3">
        <v>47284067</v>
      </c>
      <c r="L212" s="3">
        <f>25931530+M212</f>
        <v>66327589</v>
      </c>
      <c r="M212" s="3">
        <v>40396059</v>
      </c>
      <c r="N212" s="3">
        <v>21384299</v>
      </c>
      <c r="O212" s="3">
        <v>54156061</v>
      </c>
      <c r="P212" s="3">
        <v>18520535</v>
      </c>
      <c r="Q212" s="3">
        <v>9201862</v>
      </c>
      <c r="R212" s="3">
        <v>206</v>
      </c>
      <c r="T212" s="2">
        <f>E212/G212</f>
        <v>2.4568408631535126E-2</v>
      </c>
      <c r="U212" s="2">
        <f>D212/C212</f>
        <v>0.13852571757361937</v>
      </c>
      <c r="V212" s="2">
        <f>(E212-F212)/O212</f>
        <v>6.9699530030442949E-2</v>
      </c>
      <c r="W212" s="2">
        <f>H212/K212</f>
        <v>0.8055007620220147</v>
      </c>
      <c r="X212" s="2">
        <f>(H212-I212)/K212</f>
        <v>0.6686712672156564</v>
      </c>
      <c r="Y212" s="2">
        <f>(H212-K212)/G212</f>
        <v>-5.9859465770028215E-2</v>
      </c>
      <c r="Z212" s="2">
        <f>J212/N212</f>
        <v>4.6526223749490221</v>
      </c>
      <c r="AA212" s="2">
        <f>J212/G212</f>
        <v>0.64757926045344338</v>
      </c>
      <c r="AB212" s="2">
        <f>C212/G212</f>
        <v>0.51972258687524697</v>
      </c>
      <c r="AC212" s="2">
        <f>C212/(G212-K212)</f>
        <v>0.75078593382534509</v>
      </c>
      <c r="AD212" s="2">
        <f>Q212/E212</f>
        <v>2.4378040677657173</v>
      </c>
      <c r="AE212" s="2">
        <f>Q212/J212</f>
        <v>9.248746857419253E-2</v>
      </c>
      <c r="AF212" s="2">
        <f>Q212/G212</f>
        <v>5.9892966500486686E-2</v>
      </c>
      <c r="AG212" s="2">
        <f>Q212/K212</f>
        <v>0.19460809071267071</v>
      </c>
      <c r="AH212" s="2">
        <f>Q212/L212</f>
        <v>0.13873355173516105</v>
      </c>
      <c r="AI212" s="3">
        <f>R212</f>
        <v>206</v>
      </c>
      <c r="AJ212" s="3">
        <f>P212</f>
        <v>18520535</v>
      </c>
    </row>
    <row r="213" spans="1:36" x14ac:dyDescent="0.25">
      <c r="A213" t="s">
        <v>45</v>
      </c>
      <c r="B213">
        <v>2019</v>
      </c>
      <c r="C213" s="1">
        <v>97109624</v>
      </c>
      <c r="D213" s="1">
        <v>9898895</v>
      </c>
      <c r="E213" s="1">
        <v>859054</v>
      </c>
      <c r="G213" s="1">
        <v>159421213</v>
      </c>
      <c r="H213" s="1">
        <v>46318046</v>
      </c>
      <c r="I213" s="1">
        <v>6886406</v>
      </c>
      <c r="J213" s="1">
        <v>101891129</v>
      </c>
      <c r="K213" s="1">
        <v>47532234</v>
      </c>
      <c r="L213" s="1">
        <f>30445157+M213</f>
        <v>73137699</v>
      </c>
      <c r="M213" s="1">
        <v>42692542</v>
      </c>
      <c r="N213" s="1">
        <v>22561063</v>
      </c>
      <c r="O213" s="1">
        <v>57540772</v>
      </c>
      <c r="P213" s="1">
        <v>19644330</v>
      </c>
      <c r="Q213" s="1">
        <v>7307235</v>
      </c>
      <c r="R213" s="1">
        <v>200</v>
      </c>
      <c r="T213">
        <f>E213/G213</f>
        <v>5.3885802512367038E-3</v>
      </c>
      <c r="U213">
        <f>D213/C213</f>
        <v>0.10193526235875447</v>
      </c>
      <c r="V213">
        <f>(E213-F213)/O213</f>
        <v>1.4929483393097333E-2</v>
      </c>
      <c r="W213">
        <f>H213/K213</f>
        <v>0.97445548214712563</v>
      </c>
      <c r="X213">
        <f>(H213-I213)/K213</f>
        <v>0.82957682990452331</v>
      </c>
      <c r="Y213">
        <f>(H213-K213)/G213</f>
        <v>-7.6162260790224945E-3</v>
      </c>
      <c r="Z213">
        <f>J213/N213</f>
        <v>4.5162379538588233</v>
      </c>
      <c r="AA213">
        <f>J213/G213</f>
        <v>0.63913156274880434</v>
      </c>
      <c r="AB213">
        <f>C213/G213</f>
        <v>0.60913865960861813</v>
      </c>
      <c r="AC213">
        <f>C213/(G213-K213)</f>
        <v>0.86791053835606091</v>
      </c>
      <c r="AD213">
        <f>Q213/E213</f>
        <v>8.5061416395244063</v>
      </c>
      <c r="AE213">
        <f>Q213/J213</f>
        <v>7.1716105923215354E-2</v>
      </c>
      <c r="AF213">
        <f>Q213/G213</f>
        <v>4.583602685296341E-2</v>
      </c>
      <c r="AG213">
        <f>Q213/K213</f>
        <v>0.15373220202526142</v>
      </c>
      <c r="AH213">
        <f>Q213/L213</f>
        <v>9.9910649362922946E-2</v>
      </c>
      <c r="AI213" s="1">
        <f>R213</f>
        <v>200</v>
      </c>
      <c r="AJ213" s="1">
        <f>P213</f>
        <v>19644330</v>
      </c>
    </row>
    <row r="214" spans="1:36" x14ac:dyDescent="0.25">
      <c r="A214" t="s">
        <v>45</v>
      </c>
      <c r="B214">
        <v>2020</v>
      </c>
      <c r="C214" s="1">
        <v>105891306</v>
      </c>
      <c r="D214" s="1">
        <v>6110744</v>
      </c>
      <c r="E214" s="1">
        <v>-2560230</v>
      </c>
      <c r="G214" s="1">
        <v>167092053</v>
      </c>
      <c r="H214" s="1">
        <v>54811748</v>
      </c>
      <c r="I214" s="1">
        <v>8190735</v>
      </c>
      <c r="J214" s="1">
        <v>117784001</v>
      </c>
      <c r="K214" s="1">
        <v>52247069</v>
      </c>
      <c r="L214" s="1">
        <v>88033128</v>
      </c>
      <c r="M214" s="1">
        <v>53583177</v>
      </c>
      <c r="N214" s="1">
        <v>16770963</v>
      </c>
      <c r="O214" s="1">
        <v>49318740</v>
      </c>
      <c r="P214" s="1">
        <v>13872300</v>
      </c>
      <c r="Q214" s="1">
        <v>5224296</v>
      </c>
      <c r="R214" s="1">
        <v>180</v>
      </c>
      <c r="T214">
        <f>E214/G214</f>
        <v>-1.5322272687618483E-2</v>
      </c>
      <c r="U214">
        <f>D214/C214</f>
        <v>5.7707702651245044E-2</v>
      </c>
      <c r="V214">
        <f>(E214-F214)/O214</f>
        <v>-5.1911910158288714E-2</v>
      </c>
      <c r="W214">
        <f>H214/K214</f>
        <v>1.0490875191486819</v>
      </c>
      <c r="X214">
        <f>(H214-I214)/K214</f>
        <v>0.8923182465986752</v>
      </c>
      <c r="Y214">
        <f>(H214-K214)/G214</f>
        <v>1.5348898729492539E-2</v>
      </c>
      <c r="Z214">
        <f>J214/N214</f>
        <v>7.0230911009701709</v>
      </c>
      <c r="AA214">
        <f>J214/G214</f>
        <v>0.70490486462572821</v>
      </c>
      <c r="AB214">
        <f>C214/G214</f>
        <v>0.63373035460878557</v>
      </c>
      <c r="AC214">
        <f>C214/(G214-K214)</f>
        <v>0.92203683880525422</v>
      </c>
      <c r="AD214">
        <f>Q214/E214</f>
        <v>-2.0405572936806458</v>
      </c>
      <c r="AE214">
        <f>Q214/J214</f>
        <v>4.4354886535056662E-2</v>
      </c>
      <c r="AF214">
        <f>Q214/G214</f>
        <v>3.1265975288483648E-2</v>
      </c>
      <c r="AG214">
        <f>Q214/K214</f>
        <v>9.9992135443999736E-2</v>
      </c>
      <c r="AH214">
        <f>Q214/L214</f>
        <v>5.9344659433207915E-2</v>
      </c>
      <c r="AI214" s="1">
        <f>R214</f>
        <v>180</v>
      </c>
      <c r="AJ214" s="1">
        <f>P214</f>
        <v>13872300</v>
      </c>
    </row>
    <row r="215" spans="1:36" x14ac:dyDescent="0.25">
      <c r="A215" t="s">
        <v>45</v>
      </c>
      <c r="B215">
        <v>2021</v>
      </c>
      <c r="C215" s="1">
        <v>114808371</v>
      </c>
      <c r="D215" s="1">
        <v>16699942</v>
      </c>
      <c r="E215" s="1">
        <v>9728064</v>
      </c>
      <c r="G215" s="1">
        <v>187263372</v>
      </c>
      <c r="H215" s="1">
        <v>59451836</v>
      </c>
      <c r="I215" s="1">
        <v>10265113</v>
      </c>
      <c r="J215" s="1">
        <v>118074283</v>
      </c>
      <c r="K215" s="1">
        <v>49335288</v>
      </c>
      <c r="L215" s="1">
        <v>82706751</v>
      </c>
      <c r="M215" s="1">
        <v>54319018</v>
      </c>
      <c r="N215" s="1">
        <v>25421057</v>
      </c>
      <c r="O215" s="1">
        <v>69199777</v>
      </c>
      <c r="P215" s="1">
        <v>22344679</v>
      </c>
      <c r="Q215" s="1">
        <v>16077053</v>
      </c>
      <c r="R215" s="1">
        <v>330</v>
      </c>
      <c r="T215">
        <f>E215/G215</f>
        <v>5.1948567923897043E-2</v>
      </c>
      <c r="U215">
        <f>D215/C215</f>
        <v>0.14545927143239407</v>
      </c>
      <c r="V215">
        <f>(E215-F215)/O215</f>
        <v>0.14057941256082371</v>
      </c>
      <c r="W215">
        <f>H215/K215</f>
        <v>1.2050570374698126</v>
      </c>
      <c r="X215">
        <f>(H215-I215)/K215</f>
        <v>0.99698866661120944</v>
      </c>
      <c r="Y215">
        <f>(H215-K215)/G215</f>
        <v>5.4023100684099615E-2</v>
      </c>
      <c r="Z215">
        <f>J215/N215</f>
        <v>4.6447432535948447</v>
      </c>
      <c r="AA215">
        <f>J215/G215</f>
        <v>0.6305252422774914</v>
      </c>
      <c r="AB215">
        <f>C215/G215</f>
        <v>0.61308503512368662</v>
      </c>
      <c r="AC215">
        <f>C215/(G215-K215)</f>
        <v>0.83237849515838991</v>
      </c>
      <c r="AD215">
        <f>Q215/E215</f>
        <v>1.6526467136729364</v>
      </c>
      <c r="AE215">
        <f>Q215/J215</f>
        <v>0.13616049652403986</v>
      </c>
      <c r="AF215">
        <f>Q215/G215</f>
        <v>8.5852630059443769E-2</v>
      </c>
      <c r="AG215">
        <f>Q215/K215</f>
        <v>0.3258732978309562</v>
      </c>
      <c r="AH215">
        <f>Q215/L215</f>
        <v>0.1943862236832396</v>
      </c>
      <c r="AI215" s="1">
        <f>R215</f>
        <v>330</v>
      </c>
      <c r="AJ215" s="1">
        <f>P215</f>
        <v>22344679</v>
      </c>
    </row>
    <row r="216" spans="1:36" x14ac:dyDescent="0.25">
      <c r="A216" t="s">
        <v>45</v>
      </c>
      <c r="B216">
        <v>2022</v>
      </c>
      <c r="C216" s="1">
        <v>170656126</v>
      </c>
      <c r="D216" s="1">
        <v>26712490</v>
      </c>
      <c r="E216" s="1">
        <v>14965666</v>
      </c>
      <c r="G216" s="1">
        <v>270532858</v>
      </c>
      <c r="H216" s="1">
        <v>96912443</v>
      </c>
      <c r="I216" s="1">
        <v>21135274</v>
      </c>
      <c r="J216" s="1">
        <v>165205160</v>
      </c>
      <c r="K216" s="1">
        <v>74036664</v>
      </c>
      <c r="L216" s="1">
        <v>111474598</v>
      </c>
      <c r="M216" s="1">
        <v>72425014</v>
      </c>
      <c r="N216" s="1">
        <v>43619613</v>
      </c>
      <c r="O216" s="1">
        <v>105338386</v>
      </c>
      <c r="P216" s="1">
        <v>40205554</v>
      </c>
      <c r="Q216" s="1">
        <v>21546026</v>
      </c>
      <c r="R216" s="1">
        <v>362</v>
      </c>
      <c r="T216">
        <f>E216/G216</f>
        <v>5.5319217453430373E-2</v>
      </c>
      <c r="U216">
        <f>D216/C216</f>
        <v>0.15652816354216315</v>
      </c>
      <c r="V216">
        <f>(E216-F216)/O216</f>
        <v>0.14207229262084953</v>
      </c>
      <c r="W216">
        <f>H216/K216</f>
        <v>1.3089790620495814</v>
      </c>
      <c r="X216">
        <f>(H216-I216)/K216</f>
        <v>1.0235086902348816</v>
      </c>
      <c r="Y216">
        <f>(H216-K216)/G216</f>
        <v>8.455822767377115E-2</v>
      </c>
      <c r="Z216">
        <f>J216/N216</f>
        <v>3.7874054499291407</v>
      </c>
      <c r="AA216">
        <f>J216/G216</f>
        <v>0.61066578463456</v>
      </c>
      <c r="AB216">
        <f>C216/G216</f>
        <v>0.63081478257994084</v>
      </c>
      <c r="AC216">
        <f>C216/(G216-K216)</f>
        <v>0.86849583458089774</v>
      </c>
      <c r="AD216">
        <f>Q216/E216</f>
        <v>1.4396971040246389</v>
      </c>
      <c r="AE216">
        <f>Q216/J216</f>
        <v>0.13041981255307036</v>
      </c>
      <c r="AF216">
        <f>Q216/G216</f>
        <v>7.9642917164612956E-2</v>
      </c>
      <c r="AG216">
        <f>Q216/K216</f>
        <v>0.29101832573115394</v>
      </c>
      <c r="AH216">
        <f>Q216/L216</f>
        <v>0.19328193495705631</v>
      </c>
      <c r="AI216" s="1">
        <f>R216</f>
        <v>362</v>
      </c>
      <c r="AJ216" s="1">
        <f>P216</f>
        <v>40205554</v>
      </c>
    </row>
    <row r="217" spans="1:36" x14ac:dyDescent="0.25">
      <c r="A217" t="s">
        <v>45</v>
      </c>
      <c r="B217">
        <v>2023</v>
      </c>
      <c r="C217" s="1">
        <v>330420613</v>
      </c>
      <c r="D217" s="1">
        <v>59202045</v>
      </c>
      <c r="E217" s="1">
        <v>28823737</v>
      </c>
      <c r="G217" s="1">
        <v>287095125</v>
      </c>
      <c r="H217" s="1">
        <v>94526313</v>
      </c>
      <c r="I217" s="1">
        <v>17763393</v>
      </c>
      <c r="J217" s="1">
        <v>159374667</v>
      </c>
      <c r="K217" s="1">
        <v>72816938</v>
      </c>
      <c r="L217" s="1">
        <v>100003087</v>
      </c>
      <c r="M217" s="1">
        <v>63648270</v>
      </c>
      <c r="N217" s="1">
        <v>54043639</v>
      </c>
      <c r="O217" s="1">
        <v>127731146</v>
      </c>
      <c r="P217" s="1">
        <v>50694429</v>
      </c>
      <c r="Q217" s="1">
        <v>52459122</v>
      </c>
      <c r="R217" s="1">
        <v>429</v>
      </c>
      <c r="T217">
        <f>E217/G217</f>
        <v>0.10039786290345404</v>
      </c>
      <c r="U217">
        <f>D217/C217</f>
        <v>0.17917176674446761</v>
      </c>
      <c r="V217">
        <f>(E217-F217)/O217</f>
        <v>0.22565942530571204</v>
      </c>
      <c r="W217">
        <f>H217/K217</f>
        <v>1.298136334708279</v>
      </c>
      <c r="X217">
        <f>(H217-I217)/K217</f>
        <v>1.0541904412404708</v>
      </c>
      <c r="Y217">
        <f>(H217-K217)/G217</f>
        <v>7.5617358532298312E-2</v>
      </c>
      <c r="Z217">
        <f>J217/N217</f>
        <v>2.9489995483094691</v>
      </c>
      <c r="AA217">
        <f>J217/G217</f>
        <v>0.55512843347653495</v>
      </c>
      <c r="AB217">
        <f>C217/G217</f>
        <v>1.1509098700300118</v>
      </c>
      <c r="AC217">
        <f>C217/(G217-K217)</f>
        <v>1.5420170276128013</v>
      </c>
      <c r="AD217">
        <f>Q217/E217</f>
        <v>1.8199972474075794</v>
      </c>
      <c r="AE217">
        <f>Q217/J217</f>
        <v>0.32915596303645922</v>
      </c>
      <c r="AF217">
        <f>Q217/G217</f>
        <v>0.18272383412988988</v>
      </c>
      <c r="AG217">
        <f>Q217/K217</f>
        <v>0.72042471766665062</v>
      </c>
      <c r="AH217">
        <f>Q217/L217</f>
        <v>0.52457502636893594</v>
      </c>
      <c r="AI217" s="1">
        <f>R217</f>
        <v>429</v>
      </c>
      <c r="AJ217" s="1">
        <f>P217</f>
        <v>50694429</v>
      </c>
    </row>
    <row r="218" spans="1:36" x14ac:dyDescent="0.25">
      <c r="A218" s="15" t="s">
        <v>45</v>
      </c>
      <c r="B218" s="15">
        <v>2024</v>
      </c>
      <c r="C218" s="6">
        <v>277008844</v>
      </c>
      <c r="D218" s="6">
        <v>47399141</v>
      </c>
      <c r="E218" s="6">
        <v>22201573</v>
      </c>
      <c r="F218" s="6"/>
      <c r="G218" s="6">
        <v>275946681</v>
      </c>
      <c r="H218" s="6">
        <v>96190938</v>
      </c>
      <c r="I218" s="6">
        <v>20280105</v>
      </c>
      <c r="J218" s="6">
        <v>144261048</v>
      </c>
      <c r="K218" s="6">
        <v>64443897</v>
      </c>
      <c r="L218" s="6">
        <v>87278448</v>
      </c>
      <c r="M218" s="6">
        <v>59038044</v>
      </c>
      <c r="N218" s="6">
        <v>54719964</v>
      </c>
      <c r="O218" s="6">
        <v>131696321</v>
      </c>
      <c r="P218" s="6">
        <v>49350097</v>
      </c>
      <c r="Q218" s="6">
        <v>33447574</v>
      </c>
      <c r="R218" s="6">
        <v>407</v>
      </c>
      <c r="S218" s="15"/>
      <c r="T218" s="15">
        <f>E218/G218</f>
        <v>8.0456024763711512E-2</v>
      </c>
      <c r="U218" s="15">
        <f>D218/C218</f>
        <v>0.17111056930731064</v>
      </c>
      <c r="V218" s="15">
        <f>(E218-F218)/O218</f>
        <v>0.16858157336073193</v>
      </c>
      <c r="W218" s="15">
        <f>H218/K218</f>
        <v>1.4926306830885785</v>
      </c>
      <c r="X218" s="15">
        <f>(H218-I218)/K218</f>
        <v>1.1779367253349065</v>
      </c>
      <c r="Y218" s="15">
        <f>(H218-K218)/G218</f>
        <v>0.11504773634149998</v>
      </c>
      <c r="Z218" s="15">
        <f>J218/N218</f>
        <v>2.6363512958451509</v>
      </c>
      <c r="AA218" s="15">
        <f>J218/G218</f>
        <v>0.52278595081199764</v>
      </c>
      <c r="AB218" s="15">
        <f>C218/G218</f>
        <v>1.0038491602658559</v>
      </c>
      <c r="AC218" s="15">
        <f>C218/(G218-K218)</f>
        <v>1.3097172470316041</v>
      </c>
      <c r="AD218" s="15">
        <f>Q218/E218</f>
        <v>1.5065407302446543</v>
      </c>
      <c r="AE218" s="15">
        <f>Q218/J218</f>
        <v>0.23185450586772391</v>
      </c>
      <c r="AF218" s="15">
        <f>Q218/G218</f>
        <v>0.12121027830010392</v>
      </c>
      <c r="AG218" s="15">
        <f>Q218/K218</f>
        <v>0.51901848828291686</v>
      </c>
      <c r="AH218" s="15">
        <f>Q218/L218</f>
        <v>0.38322833146620572</v>
      </c>
      <c r="AI218" s="6">
        <f>R218</f>
        <v>407</v>
      </c>
      <c r="AJ218" s="6">
        <f>P218</f>
        <v>49350097</v>
      </c>
    </row>
    <row r="219" spans="1:36" s="2" customFormat="1" x14ac:dyDescent="0.25">
      <c r="A219" s="2" t="s">
        <v>52</v>
      </c>
      <c r="B219" s="2">
        <v>2018</v>
      </c>
      <c r="C219" s="3">
        <v>62818.750999999997</v>
      </c>
      <c r="D219" s="3">
        <v>160832.541</v>
      </c>
      <c r="E219" s="3">
        <v>142787.51699999999</v>
      </c>
      <c r="F219" s="3">
        <v>0</v>
      </c>
      <c r="G219" s="3">
        <v>2101089.9190000002</v>
      </c>
      <c r="H219" s="3">
        <v>288304.337</v>
      </c>
      <c r="I219" s="3">
        <v>0</v>
      </c>
      <c r="J219" s="3">
        <v>47094.936000000002</v>
      </c>
      <c r="K219" s="3">
        <v>35319.980000000003</v>
      </c>
      <c r="L219" s="3">
        <v>0</v>
      </c>
      <c r="M219" s="3">
        <v>0</v>
      </c>
      <c r="N219" s="3">
        <v>2053994.983</v>
      </c>
      <c r="O219" s="3">
        <v>2053994.983</v>
      </c>
      <c r="P219" s="3">
        <v>143565.524</v>
      </c>
      <c r="Q219" s="3">
        <v>23411.113000000001</v>
      </c>
      <c r="R219" s="3">
        <v>83.5</v>
      </c>
      <c r="T219" s="2">
        <f>E219/G219</f>
        <v>6.7958784490270055E-2</v>
      </c>
      <c r="U219" s="2">
        <f>D219/C219</f>
        <v>2.5602632723468188</v>
      </c>
      <c r="V219" s="2">
        <f>(E219-F219)/O219</f>
        <v>6.9516974569942269E-2</v>
      </c>
      <c r="W219" s="2">
        <f>H219/K219</f>
        <v>8.1626415700122141</v>
      </c>
      <c r="X219" s="2">
        <f>(H219-I219)/K219</f>
        <v>8.1626415700122141</v>
      </c>
      <c r="Y219" s="2">
        <f>(H219-K219)/G219</f>
        <v>0.12040624949569327</v>
      </c>
      <c r="Z219" s="2">
        <f>J219/N219</f>
        <v>2.2928457172380543E-2</v>
      </c>
      <c r="AA219" s="2">
        <f>J219/G219</f>
        <v>2.2414526657866467E-2</v>
      </c>
      <c r="AB219" s="2">
        <f>C219/G219</f>
        <v>2.9898173529811691E-2</v>
      </c>
      <c r="AC219" s="2">
        <f>C219/(G219-K219)</f>
        <v>3.0409364476670309E-2</v>
      </c>
      <c r="AD219" s="2">
        <f>Q219/E219</f>
        <v>0.16395770086820685</v>
      </c>
      <c r="AE219" s="2">
        <f>Q219/J219</f>
        <v>0.49710467809107972</v>
      </c>
      <c r="AF219" s="2">
        <f>Q219/G219</f>
        <v>1.1142366058822635E-2</v>
      </c>
      <c r="AG219" s="2">
        <f>Q219/K219</f>
        <v>0.66282916921244006</v>
      </c>
      <c r="AH219" s="2" t="e">
        <f>Q219/L219</f>
        <v>#DIV/0!</v>
      </c>
      <c r="AI219" s="3">
        <f>R219</f>
        <v>83.5</v>
      </c>
      <c r="AJ219" s="3">
        <f>P219</f>
        <v>143565.524</v>
      </c>
    </row>
    <row r="220" spans="1:36" x14ac:dyDescent="0.25">
      <c r="A220" t="s">
        <v>52</v>
      </c>
      <c r="B220">
        <v>2019</v>
      </c>
      <c r="C220" s="1">
        <v>41246.417999999998</v>
      </c>
      <c r="D220" s="1">
        <v>132762.94099999999</v>
      </c>
      <c r="E220" s="1">
        <v>113862.659</v>
      </c>
      <c r="F220" s="1">
        <v>0</v>
      </c>
      <c r="G220" s="1">
        <v>1719428.8840000001</v>
      </c>
      <c r="H220" s="1">
        <v>385740.76500000001</v>
      </c>
      <c r="I220" s="1">
        <v>0</v>
      </c>
      <c r="J220" s="1">
        <v>23310.936000000002</v>
      </c>
      <c r="K220" s="1">
        <v>10817.748</v>
      </c>
      <c r="L220" s="1">
        <v>0</v>
      </c>
      <c r="M220" s="1">
        <v>0</v>
      </c>
      <c r="N220" s="1">
        <v>1696117.9480000001</v>
      </c>
      <c r="O220" s="1">
        <v>1696117.9480000001</v>
      </c>
      <c r="P220" s="1">
        <v>141305.41800000001</v>
      </c>
      <c r="Q220" s="1">
        <v>-26680.652999999998</v>
      </c>
      <c r="R220" s="1">
        <v>61</v>
      </c>
      <c r="T220">
        <f>E220/G220</f>
        <v>6.6221208716184393E-2</v>
      </c>
      <c r="U220">
        <f>D220/C220</f>
        <v>3.2187750461143074</v>
      </c>
      <c r="V220">
        <f>(E220-F220)/O220</f>
        <v>6.7131333132971482E-2</v>
      </c>
      <c r="W220">
        <f>H220/K220</f>
        <v>35.658139291098301</v>
      </c>
      <c r="X220">
        <f>(H220-I220)/K220</f>
        <v>35.658139291098301</v>
      </c>
      <c r="Y220">
        <f>(H220-K220)/G220</f>
        <v>0.21805090078968337</v>
      </c>
      <c r="Z220">
        <f>J220/N220</f>
        <v>1.374369985736393E-2</v>
      </c>
      <c r="AA220">
        <f>J220/G220</f>
        <v>1.3557371413797885E-2</v>
      </c>
      <c r="AB220">
        <f>C220/G220</f>
        <v>2.3988440803696536E-2</v>
      </c>
      <c r="AC220">
        <f>C220/(G220-K220)</f>
        <v>2.4140319076089642E-2</v>
      </c>
      <c r="AD220">
        <f>Q220/E220</f>
        <v>-0.23432311553518173</v>
      </c>
      <c r="AE220">
        <f>Q220/J220</f>
        <v>-1.1445551993279033</v>
      </c>
      <c r="AF220">
        <f>Q220/G220</f>
        <v>-1.5517159940881858E-2</v>
      </c>
      <c r="AG220">
        <f>Q220/K220</f>
        <v>-2.4663777525599597</v>
      </c>
      <c r="AH220" t="e">
        <f>Q220/L220</f>
        <v>#DIV/0!</v>
      </c>
      <c r="AI220" s="1">
        <f>R220</f>
        <v>61</v>
      </c>
      <c r="AJ220" s="1">
        <f>P220</f>
        <v>141305.41800000001</v>
      </c>
    </row>
    <row r="221" spans="1:36" x14ac:dyDescent="0.25">
      <c r="A221" t="s">
        <v>52</v>
      </c>
      <c r="B221">
        <v>2020</v>
      </c>
      <c r="C221" s="1">
        <v>320</v>
      </c>
      <c r="D221" s="1">
        <v>85368.285000000003</v>
      </c>
      <c r="E221" s="1">
        <v>69856.548999999999</v>
      </c>
      <c r="F221" s="1">
        <v>0</v>
      </c>
      <c r="G221" s="1">
        <v>2366310.8939999999</v>
      </c>
      <c r="H221" s="1">
        <v>507713.72899999999</v>
      </c>
      <c r="I221" s="1">
        <v>0</v>
      </c>
      <c r="J221" s="1">
        <v>148328.59299999999</v>
      </c>
      <c r="K221" s="1">
        <v>120617.724</v>
      </c>
      <c r="L221" s="1">
        <v>0</v>
      </c>
      <c r="M221" s="1">
        <v>0</v>
      </c>
      <c r="N221" s="1">
        <v>2217982.301</v>
      </c>
      <c r="O221" s="1">
        <v>2217982.301</v>
      </c>
      <c r="P221" s="1">
        <v>211700.03700000001</v>
      </c>
      <c r="Q221" s="1">
        <v>10585.706</v>
      </c>
      <c r="R221" s="1">
        <v>40</v>
      </c>
      <c r="T221">
        <f>E221/G221</f>
        <v>2.9521289521646434E-2</v>
      </c>
      <c r="U221">
        <f>D221/C221</f>
        <v>266.77589062499999</v>
      </c>
      <c r="V221">
        <f>(E221-F221)/O221</f>
        <v>3.1495539422701641E-2</v>
      </c>
      <c r="W221">
        <f>H221/K221</f>
        <v>4.209279632900385</v>
      </c>
      <c r="X221">
        <f>(H221-I221)/K221</f>
        <v>4.209279632900385</v>
      </c>
      <c r="Y221">
        <f>(H221-K221)/G221</f>
        <v>0.16358628360352723</v>
      </c>
      <c r="Z221">
        <f>J221/N221</f>
        <v>6.687546286240631E-2</v>
      </c>
      <c r="AA221">
        <f>J221/G221</f>
        <v>6.2683476366567417E-2</v>
      </c>
      <c r="AB221">
        <f>C221/G221</f>
        <v>1.3523159649536738E-4</v>
      </c>
      <c r="AC221">
        <f>C221/(G221-K221)</f>
        <v>1.4249497851035457E-4</v>
      </c>
      <c r="AD221">
        <f>Q221/E221</f>
        <v>0.1515349119235764</v>
      </c>
      <c r="AE221">
        <f>Q221/J221</f>
        <v>7.1366590796152166E-2</v>
      </c>
      <c r="AF221">
        <f>Q221/G221</f>
        <v>4.4735060075330917E-3</v>
      </c>
      <c r="AG221">
        <f>Q221/K221</f>
        <v>8.7762441944270145E-2</v>
      </c>
      <c r="AH221" t="e">
        <f>Q221/L221</f>
        <v>#DIV/0!</v>
      </c>
      <c r="AI221" s="1">
        <f>R221</f>
        <v>40</v>
      </c>
      <c r="AJ221" s="1">
        <f>P221</f>
        <v>211700.03700000001</v>
      </c>
    </row>
    <row r="222" spans="1:36" x14ac:dyDescent="0.25">
      <c r="A222" t="s">
        <v>52</v>
      </c>
      <c r="B222">
        <v>2021</v>
      </c>
      <c r="C222" s="1">
        <v>6776.64</v>
      </c>
      <c r="D222" s="1">
        <v>138642.20300000001</v>
      </c>
      <c r="E222" s="1">
        <v>132046.13</v>
      </c>
      <c r="F222" s="1">
        <v>0</v>
      </c>
      <c r="G222" s="1">
        <v>2264704.2289999998</v>
      </c>
      <c r="H222" s="1">
        <v>497769.592</v>
      </c>
      <c r="I222" s="1">
        <v>0</v>
      </c>
      <c r="J222" s="1">
        <v>61937.468000000001</v>
      </c>
      <c r="K222" s="1">
        <v>26931.367999999999</v>
      </c>
      <c r="L222" s="1">
        <v>0</v>
      </c>
      <c r="M222" s="1">
        <v>0</v>
      </c>
      <c r="N222" s="1">
        <v>2202766.7609999999</v>
      </c>
      <c r="O222" s="1">
        <v>2202766.7609999999</v>
      </c>
      <c r="P222" s="1">
        <v>344859.87400000001</v>
      </c>
      <c r="Q222" s="1">
        <v>-103749.041</v>
      </c>
      <c r="R222" s="1">
        <v>60</v>
      </c>
      <c r="T222">
        <f>E222/G222</f>
        <v>5.8306125943124211E-2</v>
      </c>
      <c r="U222">
        <f>D222/C222</f>
        <v>20.458841402228835</v>
      </c>
      <c r="V222">
        <f>(E222-F222)/O222</f>
        <v>5.9945579503866503E-2</v>
      </c>
      <c r="W222">
        <f>H222/K222</f>
        <v>18.482892959614976</v>
      </c>
      <c r="X222">
        <f>(H222-I222)/K222</f>
        <v>18.482892959614976</v>
      </c>
      <c r="Y222">
        <f>(H222-K222)/G222</f>
        <v>0.20790274419538785</v>
      </c>
      <c r="Z222">
        <f>J222/N222</f>
        <v>2.8118032783408249E-2</v>
      </c>
      <c r="AA222">
        <f>J222/G222</f>
        <v>2.7349031810369798E-2</v>
      </c>
      <c r="AB222">
        <f>C222/G222</f>
        <v>2.992284781925932E-3</v>
      </c>
      <c r="AC222">
        <f>C222/(G222-K222)</f>
        <v>3.0282966238904621E-3</v>
      </c>
      <c r="AD222">
        <f>Q222/E222</f>
        <v>-0.78570300394263726</v>
      </c>
      <c r="AE222">
        <f>Q222/J222</f>
        <v>-1.6750610632000649</v>
      </c>
      <c r="AF222">
        <f>Q222/G222</f>
        <v>-4.5811298301770428E-2</v>
      </c>
      <c r="AG222">
        <f>Q222/K222</f>
        <v>-3.852349461044831</v>
      </c>
      <c r="AH222" t="e">
        <f>Q222/L222</f>
        <v>#DIV/0!</v>
      </c>
      <c r="AI222" s="1">
        <f>R222</f>
        <v>60</v>
      </c>
      <c r="AJ222" s="1">
        <f>P222</f>
        <v>344859.87400000001</v>
      </c>
    </row>
    <row r="223" spans="1:36" x14ac:dyDescent="0.25">
      <c r="A223" t="s">
        <v>52</v>
      </c>
      <c r="B223">
        <v>2022</v>
      </c>
      <c r="C223" s="1">
        <v>20573.124</v>
      </c>
      <c r="D223" s="1">
        <v>46623.92</v>
      </c>
      <c r="E223" s="1">
        <v>38090.47</v>
      </c>
      <c r="F223" s="1">
        <v>0</v>
      </c>
      <c r="G223" s="1">
        <v>2101052.6519999998</v>
      </c>
      <c r="H223" s="1">
        <v>407268.55699999997</v>
      </c>
      <c r="I223" s="1">
        <v>0</v>
      </c>
      <c r="J223" s="1">
        <v>133849.97099999999</v>
      </c>
      <c r="K223" s="1">
        <v>50744.053</v>
      </c>
      <c r="L223" s="1">
        <v>0</v>
      </c>
      <c r="M223" s="1">
        <v>0</v>
      </c>
      <c r="N223" s="1">
        <v>1967202.6810000001</v>
      </c>
      <c r="O223" s="1">
        <v>1967202.6810000001</v>
      </c>
      <c r="P223" s="1">
        <v>384404.19900000002</v>
      </c>
      <c r="Q223" s="1">
        <v>19482.526999999998</v>
      </c>
      <c r="R223" s="1">
        <v>56.1</v>
      </c>
      <c r="T223">
        <f>E223/G223</f>
        <v>1.8129231537220899E-2</v>
      </c>
      <c r="U223">
        <f>D223/C223</f>
        <v>2.2662537784733128</v>
      </c>
      <c r="V223">
        <f>(E223-F223)/O223</f>
        <v>1.9362758280014769E-2</v>
      </c>
      <c r="W223">
        <f>H223/K223</f>
        <v>8.0259366944930459</v>
      </c>
      <c r="X223">
        <f>(H223-I223)/K223</f>
        <v>8.0259366944930459</v>
      </c>
      <c r="Y223">
        <f>(H223-K223)/G223</f>
        <v>0.1696885147835886</v>
      </c>
      <c r="Z223">
        <f>J223/N223</f>
        <v>6.8040762801298754E-2</v>
      </c>
      <c r="AA223">
        <f>J223/G223</f>
        <v>6.3706147902856086E-2</v>
      </c>
      <c r="AB223">
        <f>C223/G223</f>
        <v>9.7918174398991704E-3</v>
      </c>
      <c r="AC223">
        <f>C223/(G223-K223)</f>
        <v>1.003415974065278E-2</v>
      </c>
      <c r="AD223">
        <f>Q223/E223</f>
        <v>0.51148035190954577</v>
      </c>
      <c r="AE223">
        <f>Q223/J223</f>
        <v>0.14555495869326709</v>
      </c>
      <c r="AF223">
        <f>Q223/G223</f>
        <v>9.2727457265073809E-3</v>
      </c>
      <c r="AG223">
        <f>Q223/K223</f>
        <v>0.38393714826050646</v>
      </c>
      <c r="AH223" t="e">
        <f>Q223/L223</f>
        <v>#DIV/0!</v>
      </c>
      <c r="AI223" s="1">
        <f>R223</f>
        <v>56.1</v>
      </c>
      <c r="AJ223" s="1">
        <f>P223</f>
        <v>384404.19900000002</v>
      </c>
    </row>
    <row r="224" spans="1:36" x14ac:dyDescent="0.25">
      <c r="A224" t="s">
        <v>52</v>
      </c>
      <c r="B224">
        <v>2023</v>
      </c>
      <c r="C224" s="1">
        <v>103399.136</v>
      </c>
      <c r="D224" s="1">
        <v>183051.90700000001</v>
      </c>
      <c r="E224" s="1">
        <v>142403.44</v>
      </c>
      <c r="F224" s="1">
        <v>0</v>
      </c>
      <c r="G224" s="1">
        <v>2286457.1329999999</v>
      </c>
      <c r="H224" s="1">
        <v>152061.96100000001</v>
      </c>
      <c r="I224" s="1">
        <v>0</v>
      </c>
      <c r="J224" s="1">
        <v>145247.93599999999</v>
      </c>
      <c r="K224" s="1">
        <v>61432.332999999999</v>
      </c>
      <c r="L224" s="1">
        <v>0</v>
      </c>
      <c r="M224" s="1">
        <v>0</v>
      </c>
      <c r="N224" s="1">
        <v>2141209.1970000002</v>
      </c>
      <c r="O224" s="1">
        <v>2141209.1970000002</v>
      </c>
      <c r="P224" s="1">
        <v>1856667.9040000001</v>
      </c>
      <c r="Q224" s="1">
        <v>3850.9209999999998</v>
      </c>
      <c r="R224" s="1">
        <v>48.6</v>
      </c>
      <c r="T224">
        <f>E224/G224</f>
        <v>6.2281263857834154E-2</v>
      </c>
      <c r="U224">
        <f>D224/C224</f>
        <v>1.7703427135019776</v>
      </c>
      <c r="V224">
        <f>(E224-F224)/O224</f>
        <v>6.6506084599075255E-2</v>
      </c>
      <c r="W224">
        <f>H224/K224</f>
        <v>2.4752756988734257</v>
      </c>
      <c r="X224">
        <f>(H224-I224)/K224</f>
        <v>2.4752756988734257</v>
      </c>
      <c r="Y224">
        <f>(H224-K224)/G224</f>
        <v>3.9637580207369676E-2</v>
      </c>
      <c r="Z224">
        <f>J224/N224</f>
        <v>6.7834537701175382E-2</v>
      </c>
      <c r="AA224">
        <f>J224/G224</f>
        <v>6.3525326542826555E-2</v>
      </c>
      <c r="AB224">
        <f>C224/G224</f>
        <v>4.5222424906926954E-2</v>
      </c>
      <c r="AC224">
        <f>C224/(G224-K224)</f>
        <v>4.647100382881126E-2</v>
      </c>
      <c r="AD224">
        <f>Q224/E224</f>
        <v>2.7042331280761195E-2</v>
      </c>
      <c r="AE224">
        <f>Q224/J224</f>
        <v>2.651274163372621E-2</v>
      </c>
      <c r="AF224">
        <f>Q224/G224</f>
        <v>1.6842305698280503E-3</v>
      </c>
      <c r="AG224">
        <f>Q224/K224</f>
        <v>6.2685573084128185E-2</v>
      </c>
      <c r="AH224" t="e">
        <f>Q224/L224</f>
        <v>#DIV/0!</v>
      </c>
      <c r="AI224" s="1">
        <f>R224</f>
        <v>48.6</v>
      </c>
      <c r="AJ224" s="1">
        <f>P224</f>
        <v>1856667.9040000001</v>
      </c>
    </row>
    <row r="225" spans="1:36" x14ac:dyDescent="0.25">
      <c r="A225" s="15" t="s">
        <v>52</v>
      </c>
      <c r="B225" s="15">
        <v>2024</v>
      </c>
      <c r="C225" s="6">
        <v>113411.46</v>
      </c>
      <c r="D225" s="6">
        <v>207385.00700000001</v>
      </c>
      <c r="E225" s="6">
        <v>170565.27</v>
      </c>
      <c r="F225" s="6">
        <v>0</v>
      </c>
      <c r="G225" s="6">
        <v>3062283.085</v>
      </c>
      <c r="H225" s="6">
        <v>380637.59899999999</v>
      </c>
      <c r="I225" s="6">
        <v>0</v>
      </c>
      <c r="J225" s="6">
        <v>177931.77799999999</v>
      </c>
      <c r="K225" s="6">
        <v>82842.929000000004</v>
      </c>
      <c r="L225" s="6">
        <v>0</v>
      </c>
      <c r="M225" s="6">
        <v>0</v>
      </c>
      <c r="N225" s="6">
        <v>2884351.307</v>
      </c>
      <c r="O225" s="6">
        <v>2884351.307</v>
      </c>
      <c r="P225" s="6">
        <v>2009161.7180000001</v>
      </c>
      <c r="Q225" s="6">
        <v>42716.466999999997</v>
      </c>
      <c r="R225" s="6">
        <v>53</v>
      </c>
      <c r="S225" s="15"/>
      <c r="T225" s="15">
        <f>E225/G225</f>
        <v>5.5698727147558927E-2</v>
      </c>
      <c r="U225" s="15">
        <f>D225/C225</f>
        <v>1.8286071531042807</v>
      </c>
      <c r="V225" s="15">
        <f>(E225-F225)/O225</f>
        <v>5.9134707199520749E-2</v>
      </c>
      <c r="W225" s="15">
        <f>H225/K225</f>
        <v>4.5946902601669235</v>
      </c>
      <c r="X225" s="15">
        <f>(H225-I225)/K225</f>
        <v>4.5946902601669235</v>
      </c>
      <c r="Y225" s="15">
        <f>(H225-K225)/G225</f>
        <v>9.724596379044427E-2</v>
      </c>
      <c r="Z225" s="15">
        <f>J225/N225</f>
        <v>6.1688663779678757E-2</v>
      </c>
      <c r="AA225" s="15">
        <f>J225/G225</f>
        <v>5.8104287899301117E-2</v>
      </c>
      <c r="AB225" s="15">
        <f>C225/G225</f>
        <v>3.7034936631274898E-2</v>
      </c>
      <c r="AC225" s="15">
        <f>C225/(G225-K225)</f>
        <v>3.8064688015838101E-2</v>
      </c>
      <c r="AD225" s="15">
        <f>Q225/E225</f>
        <v>0.25044059086588966</v>
      </c>
      <c r="AE225" s="15">
        <f>Q225/J225</f>
        <v>0.24007216406279039</v>
      </c>
      <c r="AF225" s="15">
        <f>Q225/G225</f>
        <v>1.3949222137312624E-2</v>
      </c>
      <c r="AG225" s="15">
        <f>Q225/K225</f>
        <v>0.51563202213673531</v>
      </c>
      <c r="AH225" s="15" t="e">
        <f>Q225/L225</f>
        <v>#DIV/0!</v>
      </c>
      <c r="AI225" s="6">
        <f>R225</f>
        <v>53</v>
      </c>
      <c r="AJ225" s="6">
        <f>P225</f>
        <v>2009161.7180000001</v>
      </c>
    </row>
    <row r="226" spans="1:36" s="2" customFormat="1" x14ac:dyDescent="0.25">
      <c r="A226" s="2" t="s">
        <v>165</v>
      </c>
      <c r="B226" s="2">
        <v>2018</v>
      </c>
      <c r="C226" s="3">
        <v>4703202.9850000003</v>
      </c>
      <c r="D226" s="3">
        <v>153507.13500000001</v>
      </c>
      <c r="E226" s="3">
        <v>-117281.231</v>
      </c>
      <c r="F226" s="3">
        <v>0</v>
      </c>
      <c r="G226" s="3">
        <v>6381940.5310000004</v>
      </c>
      <c r="H226" s="3">
        <v>2859290.591</v>
      </c>
      <c r="I226" s="3">
        <v>1265222.0020000001</v>
      </c>
      <c r="J226" s="3">
        <v>3453664</v>
      </c>
      <c r="K226" s="3">
        <v>2447711.8020000001</v>
      </c>
      <c r="L226" s="3">
        <v>2377158.054</v>
      </c>
      <c r="M226" s="3">
        <v>456045.89600000001</v>
      </c>
      <c r="N226" s="3">
        <v>2773974.37</v>
      </c>
      <c r="O226" s="3">
        <v>2928276.531</v>
      </c>
      <c r="P226" s="3">
        <v>1473518.476</v>
      </c>
      <c r="Q226" s="3">
        <v>-25718.240000000002</v>
      </c>
      <c r="R226" s="3">
        <v>31</v>
      </c>
      <c r="T226" s="2">
        <f>E226/G226</f>
        <v>-1.8377048552914506E-2</v>
      </c>
      <c r="U226" s="2">
        <f>D226/C226</f>
        <v>3.2638849628557974E-2</v>
      </c>
      <c r="V226" s="2">
        <f>(E226-F226)/O226</f>
        <v>-4.0051282643018937E-2</v>
      </c>
      <c r="W226" s="2">
        <f>H226/K226</f>
        <v>1.1681483860410784</v>
      </c>
      <c r="X226" s="2">
        <f>(H226-I226)/K226</f>
        <v>0.65124847937469721</v>
      </c>
      <c r="Y226" s="2">
        <f>(H226-K226)/G226</f>
        <v>6.4491166440798636E-2</v>
      </c>
      <c r="Z226" s="2">
        <f>J226/N226</f>
        <v>1.24502375989869</v>
      </c>
      <c r="AA226" s="2">
        <f>J226/G226</f>
        <v>0.54116204675113722</v>
      </c>
      <c r="AB226" s="2">
        <f>C226/G226</f>
        <v>0.7369550001530718</v>
      </c>
      <c r="AC226" s="2">
        <f>C226/(G226-K226)</f>
        <v>1.1954574349812797</v>
      </c>
      <c r="AD226" s="2">
        <f>Q226/E226</f>
        <v>0.21928692068383901</v>
      </c>
      <c r="AE226" s="2">
        <f>Q226/J226</f>
        <v>-7.446653756705922E-3</v>
      </c>
      <c r="AF226" s="2">
        <f>Q226/G226</f>
        <v>-4.0298463884260224E-3</v>
      </c>
      <c r="AG226" s="2">
        <f>Q226/K226</f>
        <v>-1.0507053967295453E-2</v>
      </c>
      <c r="AH226" s="2">
        <f>Q226/L226</f>
        <v>-1.0818901989593999E-2</v>
      </c>
      <c r="AI226" s="3">
        <f>R226</f>
        <v>31</v>
      </c>
      <c r="AJ226" s="3">
        <f>P226</f>
        <v>1473518.476</v>
      </c>
    </row>
    <row r="227" spans="1:36" x14ac:dyDescent="0.25">
      <c r="A227" t="s">
        <v>165</v>
      </c>
      <c r="B227">
        <v>2019</v>
      </c>
      <c r="C227" s="1">
        <v>4901156.05</v>
      </c>
      <c r="D227" s="1">
        <v>-85408.123999999996</v>
      </c>
      <c r="E227" s="1">
        <v>-182012.20199999999</v>
      </c>
      <c r="F227" s="1">
        <v>0</v>
      </c>
      <c r="G227" s="1">
        <v>5929604.7769999998</v>
      </c>
      <c r="H227" s="1">
        <v>2494447.7009999999</v>
      </c>
      <c r="I227" s="1">
        <v>1258002.395</v>
      </c>
      <c r="J227" s="1">
        <v>3167777.7560000001</v>
      </c>
      <c r="K227" s="1">
        <v>2348940.977</v>
      </c>
      <c r="L227" s="1">
        <v>2108726.176</v>
      </c>
      <c r="M227" s="1">
        <v>325664.51899999997</v>
      </c>
      <c r="N227" s="1">
        <v>2610610.9500000002</v>
      </c>
      <c r="O227" s="1">
        <v>2761827.0210000002</v>
      </c>
      <c r="P227" s="1">
        <v>1295961.2239999999</v>
      </c>
      <c r="Q227" s="1">
        <v>239415.965</v>
      </c>
      <c r="R227" s="1">
        <v>33</v>
      </c>
      <c r="T227">
        <f>E227/G227</f>
        <v>-3.0695503131337957E-2</v>
      </c>
      <c r="U227">
        <f>D227/C227</f>
        <v>-1.742611806861363E-2</v>
      </c>
      <c r="V227">
        <f>(E227-F227)/O227</f>
        <v>-6.5902824693958265E-2</v>
      </c>
      <c r="W227">
        <f>H227/K227</f>
        <v>1.0619456705914496</v>
      </c>
      <c r="X227">
        <f>(H227-I227)/K227</f>
        <v>0.52638415273386407</v>
      </c>
      <c r="Y227">
        <f>(H227-K227)/G227</f>
        <v>2.4539025697698693E-2</v>
      </c>
      <c r="Z227">
        <f>J227/N227</f>
        <v>1.2134239136628151</v>
      </c>
      <c r="AA227">
        <f>J227/G227</f>
        <v>0.53423084254912057</v>
      </c>
      <c r="AB227">
        <f>C227/G227</f>
        <v>0.8265569518243121</v>
      </c>
      <c r="AC227">
        <f>C227/(G227-K227)</f>
        <v>1.368784204202584</v>
      </c>
      <c r="AD227">
        <f>Q227/E227</f>
        <v>-1.315384146607929</v>
      </c>
      <c r="AE227">
        <f>Q227/J227</f>
        <v>7.5578523318603666E-2</v>
      </c>
      <c r="AF227">
        <f>Q227/G227</f>
        <v>4.0376378191115996E-2</v>
      </c>
      <c r="AG227">
        <f>Q227/K227</f>
        <v>0.10192506637854103</v>
      </c>
      <c r="AH227">
        <f>Q227/L227</f>
        <v>0.11353582448250503</v>
      </c>
      <c r="AI227" s="1">
        <f>R227</f>
        <v>33</v>
      </c>
      <c r="AJ227" s="1">
        <f>P227</f>
        <v>1295961.2239999999</v>
      </c>
    </row>
    <row r="228" spans="1:36" x14ac:dyDescent="0.25">
      <c r="A228" t="s">
        <v>165</v>
      </c>
      <c r="B228">
        <v>2020</v>
      </c>
      <c r="C228" s="1">
        <v>4981109.8720000004</v>
      </c>
      <c r="D228" s="1">
        <v>136280.06099999999</v>
      </c>
      <c r="E228" s="1">
        <v>-63551.538</v>
      </c>
      <c r="F228" s="1">
        <v>0</v>
      </c>
      <c r="G228" s="1">
        <v>6238646.5080000004</v>
      </c>
      <c r="H228" s="1">
        <v>3002269.1290000002</v>
      </c>
      <c r="I228" s="1">
        <v>1530027.03</v>
      </c>
      <c r="J228" s="1">
        <v>3542263.085</v>
      </c>
      <c r="K228" s="1">
        <v>2629245.571</v>
      </c>
      <c r="L228" s="1">
        <v>2415357.6230000001</v>
      </c>
      <c r="M228" s="1">
        <v>387299.60200000001</v>
      </c>
      <c r="N228" s="1">
        <v>2540889.4160000002</v>
      </c>
      <c r="O228" s="1">
        <v>2696383.423</v>
      </c>
      <c r="P228" s="1">
        <v>1274586.743</v>
      </c>
      <c r="Q228" s="1">
        <v>-39533.341999999997</v>
      </c>
      <c r="R228" s="1">
        <v>22</v>
      </c>
      <c r="T228">
        <f>E228/G228</f>
        <v>-1.0186750911196201E-2</v>
      </c>
      <c r="U228">
        <f>D228/C228</f>
        <v>2.7359376625290383E-2</v>
      </c>
      <c r="V228">
        <f>(E228-F228)/O228</f>
        <v>-2.3569176941939687E-2</v>
      </c>
      <c r="W228">
        <f>H228/K228</f>
        <v>1.1418747499717667</v>
      </c>
      <c r="X228">
        <f>(H228-I228)/K228</f>
        <v>0.55994849444209638</v>
      </c>
      <c r="Y228">
        <f>(H228-K228)/G228</f>
        <v>5.9792385659559501E-2</v>
      </c>
      <c r="Z228">
        <f>J228/N228</f>
        <v>1.3941036011619956</v>
      </c>
      <c r="AA228">
        <f>J228/G228</f>
        <v>0.56779352387695814</v>
      </c>
      <c r="AB228">
        <f>C228/G228</f>
        <v>0.79842797081267169</v>
      </c>
      <c r="AC228">
        <f>C228/(G228-K228)</f>
        <v>1.3800378397807236</v>
      </c>
      <c r="AD228">
        <f>Q228/E228</f>
        <v>0.62206743131849929</v>
      </c>
      <c r="AE228">
        <f>Q228/J228</f>
        <v>-1.1160475958831838E-2</v>
      </c>
      <c r="AF228">
        <f>Q228/G228</f>
        <v>-6.3368459728092028E-3</v>
      </c>
      <c r="AG228">
        <f>Q228/K228</f>
        <v>-1.5036002127775382E-2</v>
      </c>
      <c r="AH228">
        <f>Q228/L228</f>
        <v>-1.636749010728172E-2</v>
      </c>
      <c r="AI228" s="1">
        <f>R228</f>
        <v>22</v>
      </c>
      <c r="AJ228" s="1">
        <f>P228</f>
        <v>1274586.743</v>
      </c>
    </row>
    <row r="229" spans="1:36" x14ac:dyDescent="0.25">
      <c r="A229" t="s">
        <v>165</v>
      </c>
      <c r="B229">
        <v>2021</v>
      </c>
      <c r="C229" s="1">
        <v>6019905.7429999998</v>
      </c>
      <c r="D229" s="1">
        <v>605732.15</v>
      </c>
      <c r="E229" s="1">
        <v>598885.45600000001</v>
      </c>
      <c r="F229" s="1">
        <v>0</v>
      </c>
      <c r="G229" s="1">
        <v>7548501.9210000001</v>
      </c>
      <c r="H229" s="1">
        <v>3903573.1379999998</v>
      </c>
      <c r="I229" s="1">
        <v>1661033.959</v>
      </c>
      <c r="J229" s="1">
        <v>4336208.8210000005</v>
      </c>
      <c r="K229" s="1">
        <v>2503322.551</v>
      </c>
      <c r="L229" s="1">
        <v>2737476.7519999999</v>
      </c>
      <c r="M229" s="1">
        <v>1380842.888</v>
      </c>
      <c r="N229" s="1">
        <v>3022181.1540000001</v>
      </c>
      <c r="O229" s="1">
        <v>3212293.1</v>
      </c>
      <c r="P229" s="1">
        <v>1752652.9950000001</v>
      </c>
      <c r="Q229" s="1">
        <v>453387.47899999999</v>
      </c>
      <c r="R229" s="1">
        <v>27.3</v>
      </c>
      <c r="T229">
        <f>E229/G229</f>
        <v>7.9338319347034322E-2</v>
      </c>
      <c r="U229">
        <f>D229/C229</f>
        <v>0.10062153393420666</v>
      </c>
      <c r="V229">
        <f>(E229-F229)/O229</f>
        <v>0.18643549556545758</v>
      </c>
      <c r="W229">
        <f>H229/K229</f>
        <v>1.5593568381512175</v>
      </c>
      <c r="X229">
        <f>(H229-I229)/K229</f>
        <v>0.89582510176492214</v>
      </c>
      <c r="Y229">
        <f>(H229-K229)/G229</f>
        <v>0.18550046110533405</v>
      </c>
      <c r="Z229">
        <f>J229/N229</f>
        <v>1.4347944746001815</v>
      </c>
      <c r="AA229">
        <f>J229/G229</f>
        <v>0.57444627641103574</v>
      </c>
      <c r="AB229">
        <f>C229/G229</f>
        <v>0.79749674915661983</v>
      </c>
      <c r="AC229">
        <f>C229/(G229-K229)</f>
        <v>1.1931995478289605</v>
      </c>
      <c r="AD229">
        <f>Q229/E229</f>
        <v>0.75705207808552955</v>
      </c>
      <c r="AE229">
        <f>Q229/J229</f>
        <v>0.10455849746079375</v>
      </c>
      <c r="AF229">
        <f>Q229/G229</f>
        <v>6.0063239533485704E-2</v>
      </c>
      <c r="AG229">
        <f>Q229/K229</f>
        <v>0.18111428701782187</v>
      </c>
      <c r="AH229">
        <f>Q229/L229</f>
        <v>0.16562240343000365</v>
      </c>
      <c r="AI229" s="1">
        <f>R229</f>
        <v>27.3</v>
      </c>
      <c r="AJ229" s="1">
        <f>P229</f>
        <v>1752652.9950000001</v>
      </c>
    </row>
    <row r="230" spans="1:36" x14ac:dyDescent="0.25">
      <c r="A230" t="s">
        <v>165</v>
      </c>
      <c r="B230">
        <v>2022</v>
      </c>
      <c r="C230" s="1">
        <v>7626233.1239999998</v>
      </c>
      <c r="D230" s="1">
        <v>1518361.8689999999</v>
      </c>
      <c r="E230" s="1">
        <v>2264955.8629999999</v>
      </c>
      <c r="F230" s="1">
        <v>0</v>
      </c>
      <c r="G230" s="1">
        <v>11589734.096999999</v>
      </c>
      <c r="H230" s="1">
        <v>7615807.3250000002</v>
      </c>
      <c r="I230" s="1">
        <v>2603912.4180000001</v>
      </c>
      <c r="J230" s="1">
        <v>6535140.9189999998</v>
      </c>
      <c r="K230" s="1">
        <v>4103104.6770000001</v>
      </c>
      <c r="L230" s="1">
        <v>4502422.3099999996</v>
      </c>
      <c r="M230" s="1">
        <v>1992064.88</v>
      </c>
      <c r="N230" s="1">
        <v>4840400.0120000001</v>
      </c>
      <c r="O230" s="1">
        <v>5054593.1780000003</v>
      </c>
      <c r="P230" s="1">
        <v>3554628.5989999999</v>
      </c>
      <c r="Q230" s="1">
        <v>303012.42499999999</v>
      </c>
      <c r="R230" s="1">
        <v>27</v>
      </c>
      <c r="T230">
        <f>E230/G230</f>
        <v>0.19542776771611037</v>
      </c>
      <c r="U230">
        <f>D230/C230</f>
        <v>0.1990972272040395</v>
      </c>
      <c r="V230">
        <f>(E230-F230)/O230</f>
        <v>0.44809854784321079</v>
      </c>
      <c r="W230">
        <f>H230/K230</f>
        <v>1.8561084653020175</v>
      </c>
      <c r="X230">
        <f>(H230-I230)/K230</f>
        <v>1.2214884341348231</v>
      </c>
      <c r="Y230">
        <f>(H230-K230)/G230</f>
        <v>0.30308742362857682</v>
      </c>
      <c r="Z230">
        <f>J230/N230</f>
        <v>1.3501241432109969</v>
      </c>
      <c r="AA230">
        <f>J230/G230</f>
        <v>0.56387324025765351</v>
      </c>
      <c r="AB230">
        <f>C230/G230</f>
        <v>0.6580162288601642</v>
      </c>
      <c r="AC230">
        <f>C230/(G230-K230)</f>
        <v>1.0186470701524319</v>
      </c>
      <c r="AD230">
        <f>Q230/E230</f>
        <v>0.13378292705388581</v>
      </c>
      <c r="AE230">
        <f>Q230/J230</f>
        <v>4.6366624492982872E-2</v>
      </c>
      <c r="AF230">
        <f>Q230/G230</f>
        <v>2.6144898792668136E-2</v>
      </c>
      <c r="AG230">
        <f>Q230/K230</f>
        <v>7.3849547806698571E-2</v>
      </c>
      <c r="AH230">
        <f>Q230/L230</f>
        <v>6.7299867523977333E-2</v>
      </c>
      <c r="AI230" s="1">
        <f>R230</f>
        <v>27</v>
      </c>
      <c r="AJ230" s="1">
        <f>P230</f>
        <v>3554628.5989999999</v>
      </c>
    </row>
    <row r="231" spans="1:36" x14ac:dyDescent="0.25">
      <c r="A231" t="s">
        <v>165</v>
      </c>
      <c r="B231">
        <v>2023</v>
      </c>
      <c r="C231" s="1">
        <v>14156323.487</v>
      </c>
      <c r="D231" s="1">
        <v>2738977.2110000001</v>
      </c>
      <c r="E231" s="1">
        <v>1504323.747</v>
      </c>
      <c r="F231" s="1">
        <v>0</v>
      </c>
      <c r="G231" s="1">
        <v>14370936.02</v>
      </c>
      <c r="H231" s="1">
        <v>9207774.5350000001</v>
      </c>
      <c r="I231" s="1">
        <v>4255734.2860000003</v>
      </c>
      <c r="J231" s="1">
        <v>7535731.699</v>
      </c>
      <c r="K231" s="1">
        <v>4996476.477</v>
      </c>
      <c r="L231" s="1">
        <v>4226379.3899999997</v>
      </c>
      <c r="M231" s="1">
        <v>1483132.426</v>
      </c>
      <c r="N231" s="1">
        <v>6594461.2659999998</v>
      </c>
      <c r="O231" s="1">
        <v>6835204.3210000005</v>
      </c>
      <c r="P231" s="1">
        <v>4169152.13</v>
      </c>
      <c r="Q231" s="1">
        <v>460503.98700000002</v>
      </c>
      <c r="R231" s="1">
        <v>48.9</v>
      </c>
      <c r="T231">
        <f>E231/G231</f>
        <v>0.10467820223445683</v>
      </c>
      <c r="U231">
        <f>D231/C231</f>
        <v>0.19348082950458506</v>
      </c>
      <c r="V231">
        <f>(E231-F231)/O231</f>
        <v>0.22008467872397341</v>
      </c>
      <c r="W231">
        <f>H231/K231</f>
        <v>1.8428535743909997</v>
      </c>
      <c r="X231">
        <f>(H231-I231)/K231</f>
        <v>0.9911064871005496</v>
      </c>
      <c r="Y231">
        <f>(H231-K231)/G231</f>
        <v>0.29304271149347166</v>
      </c>
      <c r="Z231">
        <f>J231/N231</f>
        <v>1.142736517060619</v>
      </c>
      <c r="AA231">
        <f>J231/G231</f>
        <v>0.52437306021768793</v>
      </c>
      <c r="AB231">
        <f>C231/G231</f>
        <v>0.98506621053066246</v>
      </c>
      <c r="AC231">
        <f>C231/(G231-K231)</f>
        <v>1.5100948936913023</v>
      </c>
      <c r="AD231">
        <f>Q231/E231</f>
        <v>0.306120266942778</v>
      </c>
      <c r="AE231">
        <f>Q231/J231</f>
        <v>6.1109392610290171E-2</v>
      </c>
      <c r="AF231">
        <f>Q231/G231</f>
        <v>3.2044119211102021E-2</v>
      </c>
      <c r="AG231">
        <f>Q231/K231</f>
        <v>9.2165747025891587E-2</v>
      </c>
      <c r="AH231">
        <f>Q231/L231</f>
        <v>0.10895945311715143</v>
      </c>
      <c r="AI231" s="1">
        <f>R231</f>
        <v>48.9</v>
      </c>
      <c r="AJ231" s="1">
        <f>P231</f>
        <v>4169152.13</v>
      </c>
    </row>
    <row r="232" spans="1:36" x14ac:dyDescent="0.25">
      <c r="A232" t="s">
        <v>165</v>
      </c>
      <c r="B232">
        <v>2024</v>
      </c>
      <c r="C232" s="1">
        <v>12885430.731000001</v>
      </c>
      <c r="D232" s="1">
        <v>977083.076</v>
      </c>
      <c r="E232" s="1">
        <v>222914.85800000001</v>
      </c>
      <c r="F232" s="1">
        <v>0</v>
      </c>
      <c r="G232" s="1">
        <v>16419236.505999999</v>
      </c>
      <c r="H232" s="1">
        <v>9598664.9120000005</v>
      </c>
      <c r="I232" s="1">
        <v>3049574.3879999998</v>
      </c>
      <c r="J232" s="1">
        <v>8550084.2420000006</v>
      </c>
      <c r="K232" s="1">
        <v>5863162.3099999996</v>
      </c>
      <c r="L232" s="1">
        <v>4987792.6459999997</v>
      </c>
      <c r="M232" s="1">
        <v>1241463.2339999999</v>
      </c>
      <c r="N232" s="1">
        <v>7566357.8399999999</v>
      </c>
      <c r="O232" s="1">
        <v>7869152.2640000004</v>
      </c>
      <c r="P232" s="1">
        <v>3642162.426</v>
      </c>
      <c r="Q232" s="1">
        <v>1158998.2450000001</v>
      </c>
      <c r="R232" s="1">
        <v>45</v>
      </c>
      <c r="T232">
        <f>E232/G232</f>
        <v>1.3576444795014759E-2</v>
      </c>
      <c r="U232">
        <f>D232/C232</f>
        <v>7.5828514886143158E-2</v>
      </c>
      <c r="V232">
        <f>(E232-F232)/O232</f>
        <v>2.8327683913271905E-2</v>
      </c>
      <c r="W232">
        <f>H232/K232</f>
        <v>1.6371139675988267</v>
      </c>
      <c r="X232">
        <f>(H232-I232)/K232</f>
        <v>1.1169894636602684</v>
      </c>
      <c r="Y232">
        <f>(H232-K232)/G232</f>
        <v>0.22750769200717433</v>
      </c>
      <c r="Z232">
        <f>J232/N232</f>
        <v>1.1300132009088273</v>
      </c>
      <c r="AA232">
        <f>J232/G232</f>
        <v>0.52073579906566214</v>
      </c>
      <c r="AB232">
        <f>C232/G232</f>
        <v>0.78477648618383333</v>
      </c>
      <c r="AC232">
        <f>C232/(G232-K232)</f>
        <v>1.2206650400281065</v>
      </c>
      <c r="AD232">
        <f>Q232/E232</f>
        <v>5.1992866487167939</v>
      </c>
      <c r="AE232">
        <f>Q232/J232</f>
        <v>0.13555401469692327</v>
      </c>
      <c r="AF232">
        <f>Q232/G232</f>
        <v>7.0587828159760849E-2</v>
      </c>
      <c r="AG232">
        <f>Q232/K232</f>
        <v>0.19767459669728982</v>
      </c>
      <c r="AH232">
        <f>Q232/L232</f>
        <v>0.23236696616277103</v>
      </c>
      <c r="AI232" s="1">
        <f>R232</f>
        <v>45</v>
      </c>
      <c r="AJ232" s="1">
        <f>P232</f>
        <v>3642162.426</v>
      </c>
    </row>
    <row r="233" spans="1:36" s="2" customFormat="1" x14ac:dyDescent="0.25">
      <c r="A233" s="2" t="s">
        <v>51</v>
      </c>
      <c r="B233" s="2">
        <v>2018</v>
      </c>
      <c r="C233" s="3">
        <v>91293127</v>
      </c>
      <c r="D233" s="3">
        <v>6262937</v>
      </c>
      <c r="E233" s="3">
        <v>3330921</v>
      </c>
      <c r="F233" s="3"/>
      <c r="G233" s="3">
        <v>52792281</v>
      </c>
      <c r="H233" s="3">
        <v>19115574</v>
      </c>
      <c r="I233" s="3">
        <v>9662860</v>
      </c>
      <c r="J233" s="3">
        <v>35971970</v>
      </c>
      <c r="K233" s="3">
        <v>30523915</v>
      </c>
      <c r="L233" s="3">
        <v>14639134</v>
      </c>
      <c r="M233" s="3">
        <v>1546</v>
      </c>
      <c r="N233" s="3">
        <v>16328392</v>
      </c>
      <c r="O233" s="3">
        <v>16820311</v>
      </c>
      <c r="P233" s="3">
        <v>7843183</v>
      </c>
      <c r="Q233" s="3">
        <v>3694478</v>
      </c>
      <c r="R233" s="3">
        <v>194.9</v>
      </c>
      <c r="T233" s="2">
        <f>E233/G233</f>
        <v>6.3094849036737025E-2</v>
      </c>
      <c r="U233" s="2">
        <f>D233/C233</f>
        <v>6.8602502793008724E-2</v>
      </c>
      <c r="V233" s="2">
        <f>(E233-F233)/O233</f>
        <v>0.19802969160320519</v>
      </c>
      <c r="W233" s="2">
        <f>H233/K233</f>
        <v>0.62624909026250397</v>
      </c>
      <c r="X233" s="2">
        <f>(H233-I233)/K233</f>
        <v>0.30968222785314398</v>
      </c>
      <c r="Y233" s="2">
        <f>(H233-K233)/G233</f>
        <v>-0.21609865654412622</v>
      </c>
      <c r="Z233" s="2">
        <f>J233/N233</f>
        <v>2.2030319948222705</v>
      </c>
      <c r="AA233" s="2">
        <f>J233/G233</f>
        <v>0.68138692472863605</v>
      </c>
      <c r="AB233" s="2">
        <f>C233/G233</f>
        <v>1.7292893065181252</v>
      </c>
      <c r="AC233" s="2">
        <f>C233/(G233-K233)</f>
        <v>4.0996778569204402</v>
      </c>
      <c r="AD233" s="2">
        <f>Q233/E233</f>
        <v>1.1091460890246272</v>
      </c>
      <c r="AE233" s="2">
        <f>Q233/J233</f>
        <v>0.10270435564135075</v>
      </c>
      <c r="AF233" s="2">
        <f>Q233/G233</f>
        <v>6.998140504669613E-2</v>
      </c>
      <c r="AG233" s="2">
        <f>Q233/K233</f>
        <v>0.12103552247475463</v>
      </c>
      <c r="AH233" s="2">
        <f>Q233/L233</f>
        <v>0.2523699830877974</v>
      </c>
      <c r="AI233" s="3">
        <f>R233</f>
        <v>194.9</v>
      </c>
      <c r="AJ233" s="3">
        <f>P233</f>
        <v>7843183</v>
      </c>
    </row>
    <row r="234" spans="1:36" x14ac:dyDescent="0.25">
      <c r="A234" t="s">
        <v>51</v>
      </c>
      <c r="B234">
        <v>2019</v>
      </c>
      <c r="C234" s="1">
        <v>94662991</v>
      </c>
      <c r="D234" s="1">
        <v>4682326</v>
      </c>
      <c r="E234" s="1">
        <v>2033813</v>
      </c>
      <c r="G234" s="1">
        <v>58128927</v>
      </c>
      <c r="H234" s="1">
        <v>21486371</v>
      </c>
      <c r="I234" s="1">
        <v>9762036</v>
      </c>
      <c r="J234" s="1">
        <v>40186026</v>
      </c>
      <c r="K234" s="1">
        <v>34219401</v>
      </c>
      <c r="L234" s="1">
        <v>16837724</v>
      </c>
      <c r="M234" s="1">
        <v>409</v>
      </c>
      <c r="N234" s="1">
        <v>17421070</v>
      </c>
      <c r="O234" s="1">
        <v>17942901</v>
      </c>
      <c r="P234" s="1">
        <v>9210192</v>
      </c>
      <c r="Q234" s="1">
        <v>4465728</v>
      </c>
      <c r="R234" s="1">
        <v>200</v>
      </c>
      <c r="T234">
        <f>E234/G234</f>
        <v>3.498796735057573E-2</v>
      </c>
      <c r="U234">
        <f>D234/C234</f>
        <v>4.9463110668032877E-2</v>
      </c>
      <c r="V234">
        <f>(E234-F234)/O234</f>
        <v>0.11334917358123973</v>
      </c>
      <c r="W234">
        <f>H234/K234</f>
        <v>0.62790026628461437</v>
      </c>
      <c r="X234">
        <f>(H234-I234)/K234</f>
        <v>0.34262244976175943</v>
      </c>
      <c r="Y234">
        <f>(H234-K234)/G234</f>
        <v>-0.21904808254933039</v>
      </c>
      <c r="Z234">
        <f>J234/N234</f>
        <v>2.3067484373807119</v>
      </c>
      <c r="AA234">
        <f>J234/G234</f>
        <v>0.69132578346061679</v>
      </c>
      <c r="AB234">
        <f>C234/G234</f>
        <v>1.628500574249375</v>
      </c>
      <c r="AC234">
        <f>C234/(G234-K234)</f>
        <v>3.9592165482494299</v>
      </c>
      <c r="AD234">
        <f>Q234/E234</f>
        <v>2.1957416930661768</v>
      </c>
      <c r="AE234">
        <f>Q234/J234</f>
        <v>0.11112639005409493</v>
      </c>
      <c r="AF234">
        <f>Q234/G234</f>
        <v>7.6824538667297271E-2</v>
      </c>
      <c r="AG234">
        <f>Q234/K234</f>
        <v>0.13050281037941019</v>
      </c>
      <c r="AH234">
        <f>Q234/L234</f>
        <v>0.26522159408243062</v>
      </c>
      <c r="AI234" s="1">
        <f>R234</f>
        <v>200</v>
      </c>
      <c r="AJ234" s="1">
        <f>P234</f>
        <v>9210192</v>
      </c>
    </row>
    <row r="235" spans="1:36" x14ac:dyDescent="0.25">
      <c r="A235" t="s">
        <v>51</v>
      </c>
      <c r="B235">
        <v>2020</v>
      </c>
      <c r="C235" s="1">
        <v>107051866</v>
      </c>
      <c r="D235" s="1">
        <v>7060621</v>
      </c>
      <c r="E235" s="1">
        <v>2761419</v>
      </c>
      <c r="G235" s="1">
        <v>71208025</v>
      </c>
      <c r="H235" s="1">
        <v>21832167</v>
      </c>
      <c r="I235" s="1">
        <v>10536870</v>
      </c>
      <c r="J235" s="1">
        <v>52843207</v>
      </c>
      <c r="K235" s="1">
        <v>39556049</v>
      </c>
      <c r="L235" s="1">
        <v>29848869</v>
      </c>
      <c r="M235" s="1">
        <v>10957940</v>
      </c>
      <c r="N235" s="1">
        <v>17849264</v>
      </c>
      <c r="O235" s="1">
        <v>18364818</v>
      </c>
      <c r="P235" s="1">
        <v>9650847</v>
      </c>
      <c r="Q235" s="1">
        <v>6476207</v>
      </c>
      <c r="R235" s="1">
        <v>170</v>
      </c>
      <c r="T235">
        <f>E235/G235</f>
        <v>3.8779603843808332E-2</v>
      </c>
      <c r="U235">
        <f>D235/C235</f>
        <v>6.5955141781461335E-2</v>
      </c>
      <c r="V235">
        <f>(E235-F235)/O235</f>
        <v>0.15036462653754587</v>
      </c>
      <c r="W235">
        <f>H235/K235</f>
        <v>0.55192992100904714</v>
      </c>
      <c r="X235">
        <f>(H235-I235)/K235</f>
        <v>0.28555169905872047</v>
      </c>
      <c r="Y235">
        <f>(H235-K235)/G235</f>
        <v>-0.24890287295568161</v>
      </c>
      <c r="Z235">
        <f>J235/N235</f>
        <v>2.9605258233616802</v>
      </c>
      <c r="AA235">
        <f>J235/G235</f>
        <v>0.74209623142897163</v>
      </c>
      <c r="AB235">
        <f>C235/G235</f>
        <v>1.5033679981996411</v>
      </c>
      <c r="AC235">
        <f>C235/(G235-K235)</f>
        <v>3.3821542768767423</v>
      </c>
      <c r="AD235">
        <f>Q235/E235</f>
        <v>2.3452460492232436</v>
      </c>
      <c r="AE235">
        <f>Q235/J235</f>
        <v>0.12255514696524758</v>
      </c>
      <c r="AF235">
        <f>Q235/G235</f>
        <v>9.0947712705134007E-2</v>
      </c>
      <c r="AG235">
        <f>Q235/K235</f>
        <v>0.16372229188006113</v>
      </c>
      <c r="AH235">
        <f>Q235/L235</f>
        <v>0.2169665792027162</v>
      </c>
      <c r="AI235" s="1">
        <f>R235</f>
        <v>170</v>
      </c>
      <c r="AJ235" s="1">
        <f>P235</f>
        <v>9650847</v>
      </c>
    </row>
    <row r="236" spans="1:36" x14ac:dyDescent="0.25">
      <c r="A236" t="s">
        <v>51</v>
      </c>
      <c r="B236">
        <v>2021</v>
      </c>
      <c r="C236" s="1">
        <v>112607061</v>
      </c>
      <c r="D236" s="1">
        <v>7287074</v>
      </c>
      <c r="E236" s="1">
        <v>3483639</v>
      </c>
      <c r="G236" s="1">
        <v>82592578</v>
      </c>
      <c r="H236" s="1">
        <v>23123652</v>
      </c>
      <c r="I236" s="1">
        <v>11778208</v>
      </c>
      <c r="J236" s="1">
        <v>59631855</v>
      </c>
      <c r="K236" s="1">
        <v>38945230</v>
      </c>
      <c r="L236" s="1">
        <v>20797672</v>
      </c>
      <c r="M236" s="1">
        <v>2854988</v>
      </c>
      <c r="N236" s="1">
        <v>22953849</v>
      </c>
      <c r="O236" s="1">
        <v>22960723</v>
      </c>
      <c r="P236" s="1">
        <v>9000732</v>
      </c>
      <c r="Q236" s="1">
        <v>11630537</v>
      </c>
      <c r="R236" s="1">
        <v>235</v>
      </c>
      <c r="T236">
        <f>E236/G236</f>
        <v>4.2178596241420147E-2</v>
      </c>
      <c r="U236">
        <f>D236/C236</f>
        <v>6.4712407332964669E-2</v>
      </c>
      <c r="V236">
        <f>(E236-F236)/O236</f>
        <v>0.15172165963589213</v>
      </c>
      <c r="W236">
        <f>H236/K236</f>
        <v>0.5937479891632429</v>
      </c>
      <c r="X236">
        <f>(H236-I236)/K236</f>
        <v>0.29131793546988938</v>
      </c>
      <c r="Y236">
        <f>(H236-K236)/G236</f>
        <v>-0.19156174057189498</v>
      </c>
      <c r="Z236">
        <f>J236/N236</f>
        <v>2.5979022080349137</v>
      </c>
      <c r="AA236">
        <f>J236/G236</f>
        <v>0.72200016568074676</v>
      </c>
      <c r="AB236">
        <f>C236/G236</f>
        <v>1.3634041184669159</v>
      </c>
      <c r="AC236">
        <f>C236/(G236-K236)</f>
        <v>2.5799290486102384</v>
      </c>
      <c r="AD236">
        <f>Q236/E236</f>
        <v>3.3386171758899241</v>
      </c>
      <c r="AE236">
        <f>Q236/J236</f>
        <v>0.19503899383978579</v>
      </c>
      <c r="AF236">
        <f>Q236/G236</f>
        <v>0.1408181858665315</v>
      </c>
      <c r="AG236">
        <f>Q236/K236</f>
        <v>0.29863829280248183</v>
      </c>
      <c r="AH236">
        <f>Q236/L236</f>
        <v>0.55922302265368928</v>
      </c>
      <c r="AI236" s="1">
        <f>R236</f>
        <v>235</v>
      </c>
      <c r="AJ236" s="1">
        <f>P236</f>
        <v>9000732</v>
      </c>
    </row>
    <row r="237" spans="1:36" x14ac:dyDescent="0.25">
      <c r="A237" t="s">
        <v>51</v>
      </c>
      <c r="B237">
        <v>2022</v>
      </c>
      <c r="C237" s="1">
        <v>136691993</v>
      </c>
      <c r="D237" s="1">
        <v>9058383</v>
      </c>
      <c r="E237" s="1">
        <v>4538720</v>
      </c>
      <c r="G237" s="1">
        <v>98443776</v>
      </c>
      <c r="H237" s="1">
        <v>27178089</v>
      </c>
      <c r="I237" s="1">
        <v>14802284</v>
      </c>
      <c r="J237" s="1">
        <v>69322261</v>
      </c>
      <c r="K237" s="1">
        <v>41001806</v>
      </c>
      <c r="L237" s="1">
        <v>20005633</v>
      </c>
      <c r="M237" s="1">
        <v>7523412</v>
      </c>
      <c r="N237" s="1">
        <v>25495243</v>
      </c>
      <c r="O237" s="1">
        <v>29121515</v>
      </c>
      <c r="P237" s="1">
        <v>11552781</v>
      </c>
      <c r="Q237" s="1">
        <v>14166421</v>
      </c>
      <c r="R237" s="1">
        <v>182.5</v>
      </c>
      <c r="T237">
        <f>E237/G237</f>
        <v>4.6104692286488481E-2</v>
      </c>
      <c r="U237">
        <f>D237/C237</f>
        <v>6.6268570683580566E-2</v>
      </c>
      <c r="V237">
        <f>(E237-F237)/O237</f>
        <v>0.15585452885950474</v>
      </c>
      <c r="W237">
        <f>H237/K237</f>
        <v>0.66285102173304267</v>
      </c>
      <c r="X237">
        <f>(H237-I237)/K237</f>
        <v>0.30183560694863049</v>
      </c>
      <c r="Y237">
        <f>(H237-K237)/G237</f>
        <v>-0.14042245799267189</v>
      </c>
      <c r="Z237">
        <f>J237/N237</f>
        <v>2.7190272710873948</v>
      </c>
      <c r="AA237">
        <f>J237/G237</f>
        <v>0.70418124757831313</v>
      </c>
      <c r="AB237">
        <f>C237/G237</f>
        <v>1.3885285444556699</v>
      </c>
      <c r="AC237">
        <f>C237/(G237-K237)</f>
        <v>2.3796536400126946</v>
      </c>
      <c r="AD237">
        <f>Q237/E237</f>
        <v>3.1212370448055839</v>
      </c>
      <c r="AE237">
        <f>Q237/J237</f>
        <v>0.20435601487377913</v>
      </c>
      <c r="AF237">
        <f>Q237/G237</f>
        <v>0.14390367350395011</v>
      </c>
      <c r="AG237">
        <f>Q237/K237</f>
        <v>0.34550724424187557</v>
      </c>
      <c r="AH237">
        <f>Q237/L237</f>
        <v>0.70812160754923381</v>
      </c>
      <c r="AI237" s="1">
        <f>R237</f>
        <v>182.5</v>
      </c>
      <c r="AJ237" s="1">
        <f>P237</f>
        <v>11552781</v>
      </c>
    </row>
    <row r="238" spans="1:36" x14ac:dyDescent="0.25">
      <c r="A238" t="s">
        <v>51</v>
      </c>
      <c r="B238">
        <v>2023</v>
      </c>
      <c r="C238" s="1">
        <v>195617899</v>
      </c>
      <c r="D238" s="1">
        <v>13759535</v>
      </c>
      <c r="E238" s="1">
        <v>5380845</v>
      </c>
      <c r="G238" s="1">
        <v>120786682</v>
      </c>
      <c r="H238" s="1">
        <v>38110346</v>
      </c>
      <c r="I238" s="1">
        <v>22872826</v>
      </c>
      <c r="J238" s="1">
        <v>89868875</v>
      </c>
      <c r="K238" s="1">
        <v>59656935</v>
      </c>
      <c r="L238" s="1">
        <v>28457720</v>
      </c>
      <c r="M238" s="1">
        <v>4114873</v>
      </c>
      <c r="N238" s="1">
        <v>27077195</v>
      </c>
      <c r="O238" s="1">
        <v>30917807</v>
      </c>
      <c r="P238" s="1">
        <v>13527172</v>
      </c>
      <c r="Q238" s="1">
        <v>7580046</v>
      </c>
      <c r="R238" s="1">
        <v>233</v>
      </c>
      <c r="T238">
        <f>E238/G238</f>
        <v>4.4548330253827158E-2</v>
      </c>
      <c r="U238">
        <f>D238/C238</f>
        <v>7.033883438243041E-2</v>
      </c>
      <c r="V238">
        <f>(E238-F238)/O238</f>
        <v>0.17403708484240166</v>
      </c>
      <c r="W238">
        <f>H238/K238</f>
        <v>0.63882507540824884</v>
      </c>
      <c r="X238">
        <f>(H238-I238)/K238</f>
        <v>0.25541908916373257</v>
      </c>
      <c r="Y238">
        <f>(H238-K238)/G238</f>
        <v>-0.17838546968282479</v>
      </c>
      <c r="Z238">
        <f>J238/N238</f>
        <v>3.3189876203942101</v>
      </c>
      <c r="AA238">
        <f>J238/G238</f>
        <v>0.74402966876762122</v>
      </c>
      <c r="AB238">
        <f>C238/G238</f>
        <v>1.6195320192668261</v>
      </c>
      <c r="AC238">
        <f>C238/(G238-K238)</f>
        <v>3.2000443090333746</v>
      </c>
      <c r="AD238">
        <f>Q238/E238</f>
        <v>1.4087092268965191</v>
      </c>
      <c r="AE238">
        <f>Q238/J238</f>
        <v>8.4345620216120437E-2</v>
      </c>
      <c r="AF238">
        <f>Q238/G238</f>
        <v>6.2755643871399661E-2</v>
      </c>
      <c r="AG238">
        <f>Q238/K238</f>
        <v>0.12706060074993797</v>
      </c>
      <c r="AH238">
        <f>Q238/L238</f>
        <v>0.26636167619893653</v>
      </c>
      <c r="AI238" s="1">
        <f>R238</f>
        <v>233</v>
      </c>
      <c r="AJ238" s="1">
        <f>P238</f>
        <v>13527172</v>
      </c>
    </row>
    <row r="239" spans="1:36" x14ac:dyDescent="0.25">
      <c r="A239" s="15" t="s">
        <v>51</v>
      </c>
      <c r="B239" s="15">
        <v>2024</v>
      </c>
      <c r="C239" s="6">
        <v>223440484</v>
      </c>
      <c r="D239" s="6">
        <v>13512745</v>
      </c>
      <c r="E239" s="6">
        <v>5936119</v>
      </c>
      <c r="F239" s="6"/>
      <c r="G239" s="6">
        <v>133154629</v>
      </c>
      <c r="H239" s="6">
        <v>44201004</v>
      </c>
      <c r="I239" s="6">
        <v>23253390</v>
      </c>
      <c r="J239" s="6">
        <v>96832168</v>
      </c>
      <c r="K239" s="6">
        <v>67818127</v>
      </c>
      <c r="L239" s="6">
        <v>30079828</v>
      </c>
      <c r="M239" s="6">
        <v>1618351</v>
      </c>
      <c r="N239" s="6">
        <v>32431773</v>
      </c>
      <c r="O239" s="6">
        <v>36322461</v>
      </c>
      <c r="P239" s="6">
        <v>16744114</v>
      </c>
      <c r="Q239" s="6">
        <v>12785332</v>
      </c>
      <c r="R239" s="6">
        <v>360</v>
      </c>
      <c r="S239" s="15"/>
      <c r="T239" s="15">
        <f>E239/G239</f>
        <v>4.4580643155860543E-2</v>
      </c>
      <c r="U239" s="15">
        <f>D239/C239</f>
        <v>6.0475813326648538E-2</v>
      </c>
      <c r="V239" s="15">
        <f>(E239-F239)/O239</f>
        <v>0.16342832607074725</v>
      </c>
      <c r="W239" s="15">
        <f>H239/K239</f>
        <v>0.6517579584585107</v>
      </c>
      <c r="X239" s="15">
        <f>(H239-I239)/K239</f>
        <v>0.30887927648016583</v>
      </c>
      <c r="Y239" s="15">
        <f>(H239-K239)/G239</f>
        <v>-0.17736614323787422</v>
      </c>
      <c r="Z239" s="15">
        <f>J239/N239</f>
        <v>2.9857192204693837</v>
      </c>
      <c r="AA239" s="15">
        <f>J239/G239</f>
        <v>0.72721593479112168</v>
      </c>
      <c r="AB239" s="15">
        <f>C239/G239</f>
        <v>1.6780526946607317</v>
      </c>
      <c r="AC239" s="15">
        <f>C239/(G239-K239)</f>
        <v>3.4198415458482918</v>
      </c>
      <c r="AD239" s="15">
        <f>Q239/E239</f>
        <v>2.1538200295512944</v>
      </c>
      <c r="AE239" s="15">
        <f>Q239/J239</f>
        <v>0.13203599861566664</v>
      </c>
      <c r="AF239" s="15">
        <f>Q239/G239</f>
        <v>9.6018682159371274E-2</v>
      </c>
      <c r="AG239" s="15">
        <f>Q239/K239</f>
        <v>0.18852381458426298</v>
      </c>
      <c r="AH239" s="15">
        <f>Q239/L239</f>
        <v>0.4250467123681691</v>
      </c>
      <c r="AI239" s="6">
        <f>R239</f>
        <v>360</v>
      </c>
      <c r="AJ239" s="6">
        <f>P239</f>
        <v>16744114</v>
      </c>
    </row>
    <row r="240" spans="1:36" s="2" customFormat="1" x14ac:dyDescent="0.25">
      <c r="A240" s="2" t="s">
        <v>53</v>
      </c>
      <c r="B240" s="2">
        <v>2018</v>
      </c>
      <c r="C240" s="3">
        <v>79894795</v>
      </c>
      <c r="D240" s="3">
        <v>11120626</v>
      </c>
      <c r="E240" s="3">
        <v>3734777</v>
      </c>
      <c r="F240" s="3"/>
      <c r="G240" s="3">
        <v>160010345</v>
      </c>
      <c r="H240" s="3">
        <v>37970193</v>
      </c>
      <c r="I240" s="3">
        <v>6469855</v>
      </c>
      <c r="J240" s="3">
        <v>99359936</v>
      </c>
      <c r="K240" s="3">
        <v>47150934</v>
      </c>
      <c r="L240" s="3">
        <f>25931530+M240</f>
        <v>66327589</v>
      </c>
      <c r="M240" s="3">
        <v>40396059</v>
      </c>
      <c r="N240" s="3">
        <v>31501925</v>
      </c>
      <c r="O240" s="3">
        <v>60650409</v>
      </c>
      <c r="P240" s="3">
        <v>27702694</v>
      </c>
      <c r="Q240" s="3">
        <v>9158058</v>
      </c>
      <c r="R240" s="3">
        <v>168</v>
      </c>
      <c r="T240" s="2">
        <f>E240/G240</f>
        <v>2.3340847118353505E-2</v>
      </c>
      <c r="U240" s="2">
        <f>D240/C240</f>
        <v>0.13919086969307576</v>
      </c>
      <c r="V240" s="2">
        <f>(E240-F240)/O240</f>
        <v>6.1578760334493374E-2</v>
      </c>
      <c r="W240" s="2">
        <f>H240/K240</f>
        <v>0.80529036816110577</v>
      </c>
      <c r="X240" s="2">
        <f>(H240-I240)/K240</f>
        <v>0.66807452849184279</v>
      </c>
      <c r="Y240" s="2">
        <f>(H240-K240)/G240</f>
        <v>-5.7375921538073055E-2</v>
      </c>
      <c r="Z240" s="2">
        <f>J240/N240</f>
        <v>3.1540909325382498</v>
      </c>
      <c r="AA240" s="2">
        <f>J240/G240</f>
        <v>0.62095945109049044</v>
      </c>
      <c r="AB240" s="2">
        <f>C240/G240</f>
        <v>0.49931018522583648</v>
      </c>
      <c r="AC240" s="2">
        <f>C240/(G240-K240)</f>
        <v>0.70791433600517373</v>
      </c>
      <c r="AD240" s="2">
        <f>Q240/E240</f>
        <v>2.4521030305156106</v>
      </c>
      <c r="AE240" s="2">
        <f>Q240/J240</f>
        <v>9.2170530383594448E-2</v>
      </c>
      <c r="AF240" s="2">
        <f>Q240/G240</f>
        <v>5.7234161953716181E-2</v>
      </c>
      <c r="AG240" s="2">
        <f>Q240/K240</f>
        <v>0.19422855971421479</v>
      </c>
      <c r="AH240" s="2">
        <f>Q240/L240</f>
        <v>0.13807313273515792</v>
      </c>
      <c r="AI240" s="3">
        <f>R240</f>
        <v>168</v>
      </c>
      <c r="AJ240" s="3">
        <f>P240</f>
        <v>27702694</v>
      </c>
    </row>
    <row r="241" spans="1:36" x14ac:dyDescent="0.25">
      <c r="A241" t="s">
        <v>53</v>
      </c>
      <c r="B241">
        <v>2019</v>
      </c>
      <c r="C241" s="1">
        <v>97139538</v>
      </c>
      <c r="D241" s="1">
        <v>9946501</v>
      </c>
      <c r="E241" s="1">
        <v>1068430</v>
      </c>
      <c r="G241" s="1">
        <v>165667317</v>
      </c>
      <c r="H241" s="1">
        <v>46238017</v>
      </c>
      <c r="I241" s="1">
        <v>6886406</v>
      </c>
      <c r="J241" s="1">
        <v>101773452</v>
      </c>
      <c r="K241" s="1">
        <v>47414557</v>
      </c>
      <c r="L241" s="1">
        <f>30445157+M241</f>
        <v>73137699</v>
      </c>
      <c r="M241" s="1">
        <v>42692542</v>
      </c>
      <c r="N241" s="1">
        <v>32308420</v>
      </c>
      <c r="O241" s="1">
        <v>63893865</v>
      </c>
      <c r="P241" s="1">
        <v>28407317</v>
      </c>
      <c r="Q241" s="1">
        <v>7334846</v>
      </c>
      <c r="R241" s="1">
        <v>160</v>
      </c>
      <c r="T241">
        <f>E241/G241</f>
        <v>6.4492503370474699E-3</v>
      </c>
      <c r="U241">
        <f>D241/C241</f>
        <v>0.10239395003093385</v>
      </c>
      <c r="V241">
        <f>(E241-F241)/O241</f>
        <v>1.6721949752139739E-2</v>
      </c>
      <c r="W241">
        <f>H241/K241</f>
        <v>0.9751861016016663</v>
      </c>
      <c r="X241">
        <f>(H241-I241)/K241</f>
        <v>0.82994787866519559</v>
      </c>
      <c r="Y241">
        <f>(H241-K241)/G241</f>
        <v>-7.1018232280540888E-3</v>
      </c>
      <c r="Z241">
        <f>J241/N241</f>
        <v>3.1500597057980553</v>
      </c>
      <c r="AA241">
        <f>J241/G241</f>
        <v>0.61432426046955302</v>
      </c>
      <c r="AB241">
        <f>C241/G241</f>
        <v>0.58635305840077079</v>
      </c>
      <c r="AC241">
        <f>C241/(G241-K241)</f>
        <v>0.82145683534151759</v>
      </c>
      <c r="AD241">
        <f>Q241/E241</f>
        <v>6.8650693073013676</v>
      </c>
      <c r="AE241">
        <f>Q241/J241</f>
        <v>7.2070327338410414E-2</v>
      </c>
      <c r="AF241">
        <f>Q241/G241</f>
        <v>4.4274550543967582E-2</v>
      </c>
      <c r="AG241">
        <f>Q241/K241</f>
        <v>0.15469607783111841</v>
      </c>
      <c r="AH241">
        <f>Q241/L241</f>
        <v>0.10028817012687261</v>
      </c>
      <c r="AI241" s="1">
        <f>R241</f>
        <v>160</v>
      </c>
      <c r="AJ241" s="1">
        <f>P241</f>
        <v>28407317</v>
      </c>
    </row>
    <row r="242" spans="1:36" x14ac:dyDescent="0.25">
      <c r="A242" t="s">
        <v>53</v>
      </c>
      <c r="B242">
        <v>2020</v>
      </c>
      <c r="C242" s="1">
        <v>105972774</v>
      </c>
      <c r="D242" s="1">
        <v>6187796</v>
      </c>
      <c r="E242" s="1">
        <v>-2655520</v>
      </c>
      <c r="G242" s="1">
        <v>172887674</v>
      </c>
      <c r="H242" s="1">
        <v>54777876</v>
      </c>
      <c r="I242" s="1">
        <v>8190735</v>
      </c>
      <c r="J242" s="1">
        <v>117701710</v>
      </c>
      <c r="K242" s="1">
        <v>52164778</v>
      </c>
      <c r="L242" s="1">
        <f>35677559+M242</f>
        <v>89260736</v>
      </c>
      <c r="M242" s="1">
        <v>53583177</v>
      </c>
      <c r="N242" s="1">
        <v>26964499</v>
      </c>
      <c r="O242" s="1">
        <v>55185964</v>
      </c>
      <c r="P242" s="1">
        <v>23102955</v>
      </c>
      <c r="Q242" s="1">
        <v>5312077</v>
      </c>
      <c r="R242" s="1">
        <v>155</v>
      </c>
      <c r="T242">
        <f>E242/G242</f>
        <v>-1.535979944990179E-2</v>
      </c>
      <c r="U242">
        <f>D242/C242</f>
        <v>5.8390431489506921E-2</v>
      </c>
      <c r="V242">
        <f>(E242-F242)/O242</f>
        <v>-4.8119481975525513E-2</v>
      </c>
      <c r="W242">
        <f>H242/K242</f>
        <v>1.0500931490593135</v>
      </c>
      <c r="X242">
        <f>(H242-I242)/K242</f>
        <v>0.8930765697881432</v>
      </c>
      <c r="Y242">
        <f>(H242-K242)/G242</f>
        <v>1.5114426260370649E-2</v>
      </c>
      <c r="Z242">
        <f>J242/N242</f>
        <v>4.365062002449962</v>
      </c>
      <c r="AA242">
        <f>J242/G242</f>
        <v>0.68079873640962973</v>
      </c>
      <c r="AB242">
        <f>C242/G242</f>
        <v>0.61295737022871855</v>
      </c>
      <c r="AC242">
        <f>C242/(G242-K242)</f>
        <v>0.87781835518591267</v>
      </c>
      <c r="AD242">
        <f>Q242/E242</f>
        <v>-2.0003905073206001</v>
      </c>
      <c r="AE242">
        <f>Q242/J242</f>
        <v>4.5131689250733908E-2</v>
      </c>
      <c r="AF242">
        <f>Q242/G242</f>
        <v>3.0725597013931717E-2</v>
      </c>
      <c r="AG242">
        <f>Q242/K242</f>
        <v>0.101832638873686</v>
      </c>
      <c r="AH242">
        <f>Q242/L242</f>
        <v>5.9511911261856502E-2</v>
      </c>
      <c r="AI242" s="1">
        <f>R242</f>
        <v>155</v>
      </c>
      <c r="AJ242" s="1">
        <f>P242</f>
        <v>23102955</v>
      </c>
    </row>
    <row r="243" spans="1:36" x14ac:dyDescent="0.25">
      <c r="A243" t="s">
        <v>53</v>
      </c>
      <c r="B243">
        <v>2021</v>
      </c>
      <c r="C243" s="1">
        <v>114835847</v>
      </c>
      <c r="D243" s="1">
        <v>20464702</v>
      </c>
      <c r="E243" s="1">
        <v>9805232</v>
      </c>
      <c r="G243" s="1">
        <v>197074212</v>
      </c>
      <c r="H243" s="1">
        <v>59434062</v>
      </c>
      <c r="I243" s="1">
        <v>10265113</v>
      </c>
      <c r="J243" s="1">
        <v>117993687</v>
      </c>
      <c r="K243" s="1">
        <v>49254692</v>
      </c>
      <c r="L243" s="1">
        <f>27421397+M243</f>
        <v>81740415</v>
      </c>
      <c r="M243" s="1">
        <v>54319018</v>
      </c>
      <c r="N243" s="1">
        <v>39198344</v>
      </c>
      <c r="O243" s="1">
        <v>79080525</v>
      </c>
      <c r="P243" s="1">
        <v>34947758</v>
      </c>
      <c r="Q243" s="1">
        <v>16105913</v>
      </c>
      <c r="R243" s="1">
        <v>279</v>
      </c>
      <c r="T243">
        <f>E243/G243</f>
        <v>4.9754008403697182E-2</v>
      </c>
      <c r="U243">
        <f>D243/C243</f>
        <v>0.17820830807300092</v>
      </c>
      <c r="V243">
        <f>(E243-F243)/O243</f>
        <v>0.12399047679564595</v>
      </c>
      <c r="W243">
        <f>H243/K243</f>
        <v>1.2066680266724641</v>
      </c>
      <c r="X243">
        <f>(H243-I243)/K243</f>
        <v>0.99825919122588358</v>
      </c>
      <c r="Y243">
        <f>(H243-K243)/G243</f>
        <v>5.1652470897612927E-2</v>
      </c>
      <c r="Z243">
        <f>J243/N243</f>
        <v>3.0101702000472264</v>
      </c>
      <c r="AA243">
        <f>J243/G243</f>
        <v>0.59872717897763306</v>
      </c>
      <c r="AB243">
        <f>C243/G243</f>
        <v>0.58270357057167887</v>
      </c>
      <c r="AC243">
        <f>C243/(G243-K243)</f>
        <v>0.77686524080175612</v>
      </c>
      <c r="AD243">
        <f>Q243/E243</f>
        <v>1.642583571709471</v>
      </c>
      <c r="AE243">
        <f>Q243/J243</f>
        <v>0.13649809078345013</v>
      </c>
      <c r="AF243">
        <f>Q243/G243</f>
        <v>8.1725116830607958E-2</v>
      </c>
      <c r="AG243">
        <f>Q243/K243</f>
        <v>0.32699246195672077</v>
      </c>
      <c r="AH243">
        <f>Q243/L243</f>
        <v>0.19703732847453734</v>
      </c>
      <c r="AI243" s="1">
        <f>R243</f>
        <v>279</v>
      </c>
      <c r="AJ243" s="1">
        <f>P243</f>
        <v>34947758</v>
      </c>
    </row>
    <row r="244" spans="1:36" x14ac:dyDescent="0.25">
      <c r="A244" t="s">
        <v>53</v>
      </c>
      <c r="B244">
        <v>2022</v>
      </c>
      <c r="C244" s="1">
        <v>170694625</v>
      </c>
      <c r="D244" s="1">
        <v>28918907</v>
      </c>
      <c r="E244" s="1">
        <v>14651065</v>
      </c>
      <c r="G244" s="1">
        <v>281185406</v>
      </c>
      <c r="H244" s="1">
        <v>96831616</v>
      </c>
      <c r="I244" s="1">
        <v>21135274</v>
      </c>
      <c r="J244" s="1">
        <v>165122366</v>
      </c>
      <c r="K244" s="1">
        <v>73953870</v>
      </c>
      <c r="L244" s="1">
        <f>38016643+M244</f>
        <v>110441657</v>
      </c>
      <c r="M244" s="1">
        <v>72425014</v>
      </c>
      <c r="N244" s="1">
        <v>57028177</v>
      </c>
      <c r="O244" s="1">
        <v>116063040</v>
      </c>
      <c r="P244" s="1">
        <v>52063389</v>
      </c>
      <c r="Q244" s="1">
        <v>17326401</v>
      </c>
      <c r="R244" s="1">
        <v>270</v>
      </c>
      <c r="T244">
        <f>E244/G244</f>
        <v>5.2104642301386013E-2</v>
      </c>
      <c r="U244">
        <f>D244/C244</f>
        <v>0.1694189667659424</v>
      </c>
      <c r="V244">
        <f>(E244-F244)/O244</f>
        <v>0.12623368300537363</v>
      </c>
      <c r="W244">
        <f>H244/K244</f>
        <v>1.3093515728115377</v>
      </c>
      <c r="X244">
        <f>(H244-I244)/K244</f>
        <v>1.023561606715105</v>
      </c>
      <c r="Y244">
        <f>(H244-K244)/G244</f>
        <v>8.1361783050717784E-2</v>
      </c>
      <c r="Z244">
        <f>J244/N244</f>
        <v>2.8954522954503701</v>
      </c>
      <c r="AA244">
        <f>J244/G244</f>
        <v>0.58723661497567192</v>
      </c>
      <c r="AB244">
        <f>C244/G244</f>
        <v>0.60705364274844331</v>
      </c>
      <c r="AC244">
        <f>C244/(G244-K244)</f>
        <v>0.82369039140838096</v>
      </c>
      <c r="AD244">
        <f>Q244/E244</f>
        <v>1.1826035172187142</v>
      </c>
      <c r="AE244">
        <f>Q244/J244</f>
        <v>0.10493067305007003</v>
      </c>
      <c r="AF244">
        <f>Q244/G244</f>
        <v>6.1619133249042092E-2</v>
      </c>
      <c r="AG244">
        <f>Q244/K244</f>
        <v>0.23428660325686809</v>
      </c>
      <c r="AH244">
        <f>Q244/L244</f>
        <v>0.15688284177047435</v>
      </c>
      <c r="AI244" s="1">
        <f>R244</f>
        <v>270</v>
      </c>
      <c r="AJ244" s="1">
        <f>P244</f>
        <v>52063389</v>
      </c>
    </row>
    <row r="245" spans="1:36" x14ac:dyDescent="0.25">
      <c r="A245" t="s">
        <v>53</v>
      </c>
      <c r="B245">
        <v>2023</v>
      </c>
      <c r="C245" s="1">
        <v>330458690</v>
      </c>
      <c r="D245" s="1">
        <v>59257650</v>
      </c>
      <c r="E245" s="1">
        <v>27357875</v>
      </c>
      <c r="G245" s="1">
        <v>299518030</v>
      </c>
      <c r="H245" s="1">
        <v>94469626</v>
      </c>
      <c r="I245" s="1">
        <v>17763393</v>
      </c>
      <c r="J245" s="1">
        <v>159281138</v>
      </c>
      <c r="K245" s="1">
        <v>72723408</v>
      </c>
      <c r="L245" s="1">
        <f>35061209+M245</f>
        <v>98709479</v>
      </c>
      <c r="M245" s="1">
        <v>63648270</v>
      </c>
      <c r="N245" s="1">
        <v>68547883</v>
      </c>
      <c r="O245" s="1">
        <v>140236892</v>
      </c>
      <c r="P245" s="1">
        <v>63725074</v>
      </c>
      <c r="Q245" s="1">
        <v>52519931</v>
      </c>
      <c r="R245" s="1">
        <v>271.75</v>
      </c>
      <c r="T245">
        <f>E245/G245</f>
        <v>9.133965991963823E-2</v>
      </c>
      <c r="U245">
        <f>D245/C245</f>
        <v>0.17931938784844786</v>
      </c>
      <c r="V245">
        <f>(E245-F245)/O245</f>
        <v>0.19508329520023876</v>
      </c>
      <c r="W245">
        <f>H245/K245</f>
        <v>1.2990263877622457</v>
      </c>
      <c r="X245">
        <f>(H245-I245)/K245</f>
        <v>1.0547667540553105</v>
      </c>
      <c r="Y245">
        <f>(H245-K245)/G245</f>
        <v>7.2604036558333404E-2</v>
      </c>
      <c r="Z245">
        <f>J245/N245</f>
        <v>2.323647806891425</v>
      </c>
      <c r="AA245">
        <f>J245/G245</f>
        <v>0.53179148514031027</v>
      </c>
      <c r="AB245">
        <f>C245/G245</f>
        <v>1.1033014940703236</v>
      </c>
      <c r="AC245">
        <f>C245/(G245-K245)</f>
        <v>1.4570834488306341</v>
      </c>
      <c r="AD245">
        <f>Q245/E245</f>
        <v>1.9197372237427066</v>
      </c>
      <c r="AE245">
        <f>Q245/J245</f>
        <v>0.32973101309710634</v>
      </c>
      <c r="AF245">
        <f>Q245/G245</f>
        <v>0.17534814515172925</v>
      </c>
      <c r="AG245">
        <f>Q245/K245</f>
        <v>0.72218742828993931</v>
      </c>
      <c r="AH245">
        <f>Q245/L245</f>
        <v>0.53206572997918467</v>
      </c>
      <c r="AI245" s="1">
        <f>R245</f>
        <v>271.75</v>
      </c>
      <c r="AJ245" s="1">
        <f>P245</f>
        <v>63725074</v>
      </c>
    </row>
    <row r="246" spans="1:36" x14ac:dyDescent="0.25">
      <c r="A246" s="15" t="s">
        <v>53</v>
      </c>
      <c r="B246" s="15">
        <v>2024</v>
      </c>
      <c r="C246" s="6">
        <v>277076515</v>
      </c>
      <c r="D246" s="6">
        <v>47489136</v>
      </c>
      <c r="E246" s="6">
        <v>22304812</v>
      </c>
      <c r="F246" s="6"/>
      <c r="G246" s="6">
        <v>287789229</v>
      </c>
      <c r="H246" s="6">
        <v>96135621</v>
      </c>
      <c r="I246" s="6">
        <v>20280105</v>
      </c>
      <c r="J246" s="6">
        <v>144170498</v>
      </c>
      <c r="K246" s="6">
        <v>64353347</v>
      </c>
      <c r="L246" s="6">
        <f>27410843+M246</f>
        <v>86448887</v>
      </c>
      <c r="M246" s="6">
        <v>59038044</v>
      </c>
      <c r="N246" s="6">
        <v>71830528</v>
      </c>
      <c r="O246" s="6">
        <v>143618731</v>
      </c>
      <c r="P246" s="6">
        <v>64784132</v>
      </c>
      <c r="Q246" s="6">
        <v>33553915</v>
      </c>
      <c r="R246" s="6">
        <v>259</v>
      </c>
      <c r="S246" s="15"/>
      <c r="T246" s="15">
        <f>E246/G246</f>
        <v>7.7503984695688519E-2</v>
      </c>
      <c r="U246" s="15">
        <f>D246/C246</f>
        <v>0.17139358057827456</v>
      </c>
      <c r="V246" s="15">
        <f>(E246-F246)/O246</f>
        <v>0.15530573097738901</v>
      </c>
      <c r="W246" s="15">
        <f>H246/K246</f>
        <v>1.493871344407308</v>
      </c>
      <c r="X246" s="15">
        <f>(H246-I246)/K246</f>
        <v>1.1787345885832481</v>
      </c>
      <c r="Y246" s="15">
        <f>(H246-K246)/G246</f>
        <v>0.11043593990795257</v>
      </c>
      <c r="Z246" s="15">
        <f>J246/N246</f>
        <v>2.0070922769772763</v>
      </c>
      <c r="AA246" s="15">
        <f>J246/G246</f>
        <v>0.50095863038710176</v>
      </c>
      <c r="AB246" s="15">
        <f>C246/G246</f>
        <v>0.96277583411573753</v>
      </c>
      <c r="AC246" s="15">
        <f>C246/(G246-K246)</f>
        <v>1.2400717043290299</v>
      </c>
      <c r="AD246" s="15">
        <f>Q246/E246</f>
        <v>1.5043352528593381</v>
      </c>
      <c r="AE246" s="15">
        <f>Q246/J246</f>
        <v>0.23273773390170296</v>
      </c>
      <c r="AF246" s="15">
        <f>Q246/G246</f>
        <v>0.11659197641479487</v>
      </c>
      <c r="AG246" s="15">
        <f>Q246/K246</f>
        <v>0.52140124118175235</v>
      </c>
      <c r="AH246" s="15">
        <f>Q246/L246</f>
        <v>0.38813588195762427</v>
      </c>
      <c r="AI246" s="6">
        <f>R246</f>
        <v>259</v>
      </c>
      <c r="AJ246" s="6">
        <f>P246</f>
        <v>64784132</v>
      </c>
    </row>
    <row r="247" spans="1:36" s="2" customFormat="1" x14ac:dyDescent="0.25">
      <c r="A247" s="2" t="s">
        <v>56</v>
      </c>
      <c r="B247" s="2">
        <v>2018</v>
      </c>
      <c r="C247" s="3">
        <v>50942430</v>
      </c>
      <c r="D247" s="3">
        <v>3640211</v>
      </c>
      <c r="E247" s="3">
        <v>2567455</v>
      </c>
      <c r="F247" s="3"/>
      <c r="G247" s="3">
        <v>29548144</v>
      </c>
      <c r="H247" s="3">
        <v>9661953</v>
      </c>
      <c r="I247" s="3">
        <v>4092670</v>
      </c>
      <c r="J247" s="3">
        <f>4049351+K247</f>
        <v>15865371</v>
      </c>
      <c r="K247" s="3">
        <v>11816020</v>
      </c>
      <c r="L247" s="3">
        <f>500000+M247</f>
        <v>2458333</v>
      </c>
      <c r="M247" s="3">
        <v>1958333</v>
      </c>
      <c r="N247" s="3">
        <v>13682773</v>
      </c>
      <c r="O247" s="3">
        <v>13682773</v>
      </c>
      <c r="P247" s="3">
        <v>11568431</v>
      </c>
      <c r="Q247" s="3">
        <v>3398000</v>
      </c>
      <c r="R247" s="3">
        <v>95</v>
      </c>
      <c r="T247" s="2">
        <f>E247/G247</f>
        <v>8.6890567475236352E-2</v>
      </c>
      <c r="U247" s="2">
        <f>D247/C247</f>
        <v>7.1457349011423282E-2</v>
      </c>
      <c r="V247" s="2">
        <f>(E247-F247)/O247</f>
        <v>0.18764142326997604</v>
      </c>
      <c r="W247" s="2">
        <f>H247/K247</f>
        <v>0.81769944532930716</v>
      </c>
      <c r="X247" s="2">
        <f>(H247-I247)/K247</f>
        <v>0.47133324080358702</v>
      </c>
      <c r="Y247" s="2">
        <f>(H247-K247)/G247</f>
        <v>-7.2900247135657653E-2</v>
      </c>
      <c r="Z247" s="2">
        <f>J247/N247</f>
        <v>1.1595143031313901</v>
      </c>
      <c r="AA247" s="2">
        <f>J247/G247</f>
        <v>0.53693291192841075</v>
      </c>
      <c r="AB247" s="2">
        <f>C247/G247</f>
        <v>1.7240483869308341</v>
      </c>
      <c r="AC247" s="2">
        <f>C247/(G247-K247)</f>
        <v>2.8728893391451584</v>
      </c>
      <c r="AD247" s="2">
        <f>Q247/E247</f>
        <v>1.3234896035178805</v>
      </c>
      <c r="AE247" s="2">
        <f>Q247/J247</f>
        <v>0.21417715349990871</v>
      </c>
      <c r="AF247" s="2">
        <f>Q247/G247</f>
        <v>0.1149987626972442</v>
      </c>
      <c r="AG247" s="2">
        <f>Q247/K247</f>
        <v>0.28757568115152143</v>
      </c>
      <c r="AH247" s="2">
        <f>Q247/L247</f>
        <v>1.3822374755576239</v>
      </c>
      <c r="AI247" s="3">
        <f>R247</f>
        <v>95</v>
      </c>
      <c r="AJ247" s="3">
        <f>P247</f>
        <v>11568431</v>
      </c>
    </row>
    <row r="248" spans="1:36" x14ac:dyDescent="0.25">
      <c r="A248" t="s">
        <v>56</v>
      </c>
      <c r="B248">
        <v>2019</v>
      </c>
      <c r="C248" s="1">
        <v>59060012</v>
      </c>
      <c r="D248" s="1">
        <v>2605644</v>
      </c>
      <c r="E248" s="1">
        <v>1310165</v>
      </c>
      <c r="G248" s="1">
        <v>37568265</v>
      </c>
      <c r="H248" s="1">
        <v>10082321</v>
      </c>
      <c r="I248" s="1">
        <v>5087829</v>
      </c>
      <c r="J248" s="1">
        <f>3771506+K248</f>
        <v>22168307</v>
      </c>
      <c r="K248" s="1">
        <v>18396801</v>
      </c>
      <c r="L248" s="1">
        <f>1646315+500000+M248</f>
        <v>3604648</v>
      </c>
      <c r="M248" s="1">
        <v>1458333</v>
      </c>
      <c r="N248" s="1">
        <v>15399958</v>
      </c>
      <c r="O248" s="1">
        <v>15399958</v>
      </c>
      <c r="P248" s="1">
        <v>11451973</v>
      </c>
      <c r="Q248" s="1">
        <v>2145154</v>
      </c>
      <c r="R248" s="1">
        <v>57.5</v>
      </c>
      <c r="S248" s="1"/>
      <c r="T248">
        <f>E248/G248</f>
        <v>3.4874248251815725E-2</v>
      </c>
      <c r="U248">
        <f>D248/C248</f>
        <v>4.4118582298967361E-2</v>
      </c>
      <c r="V248">
        <f>(E248-F248)/O248</f>
        <v>8.5075881375780371E-2</v>
      </c>
      <c r="W248">
        <f>H248/K248</f>
        <v>0.54804751108630245</v>
      </c>
      <c r="X248">
        <f>(H248-I248)/K248</f>
        <v>0.27148698298144336</v>
      </c>
      <c r="Y248">
        <f>(H248-K248)/G248</f>
        <v>-0.22131658196086509</v>
      </c>
      <c r="Z248">
        <f>J248/N248</f>
        <v>1.4395043804664922</v>
      </c>
      <c r="AA248">
        <f>J248/G248</f>
        <v>0.59008067048079005</v>
      </c>
      <c r="AB248">
        <f>C248/G248</f>
        <v>1.5720718537308018</v>
      </c>
      <c r="AC248">
        <f>C248/(G248-K248)</f>
        <v>3.0806208644264204</v>
      </c>
      <c r="AD248">
        <f>Q248/E248</f>
        <v>1.6373159105914141</v>
      </c>
      <c r="AE248">
        <f>Q248/J248</f>
        <v>9.6766703925563649E-2</v>
      </c>
      <c r="AF248">
        <f>Q248/G248</f>
        <v>5.71001615326127E-2</v>
      </c>
      <c r="AG248">
        <f>Q248/K248</f>
        <v>0.11660472926787652</v>
      </c>
      <c r="AH248">
        <f>Q248/L248</f>
        <v>0.59510776086874506</v>
      </c>
      <c r="AI248" s="1">
        <f>R248</f>
        <v>57.5</v>
      </c>
      <c r="AJ248" s="1">
        <f>P248</f>
        <v>11451973</v>
      </c>
    </row>
    <row r="249" spans="1:36" x14ac:dyDescent="0.25">
      <c r="A249" t="s">
        <v>56</v>
      </c>
      <c r="B249">
        <v>2020</v>
      </c>
      <c r="C249" s="1">
        <v>69055313</v>
      </c>
      <c r="D249" s="1">
        <v>4786077</v>
      </c>
      <c r="E249" s="1">
        <v>2135214</v>
      </c>
      <c r="G249" s="1">
        <v>48236209</v>
      </c>
      <c r="H249" s="1">
        <v>10872729</v>
      </c>
      <c r="I249" s="1">
        <v>5620530</v>
      </c>
      <c r="J249" s="1">
        <f>11025510+K249</f>
        <v>32429633</v>
      </c>
      <c r="K249" s="1">
        <v>21404123</v>
      </c>
      <c r="L249" s="1">
        <f>1541067+706335+M249</f>
        <v>10598422</v>
      </c>
      <c r="M249" s="1">
        <v>8351020</v>
      </c>
      <c r="N249" s="1">
        <v>15806576</v>
      </c>
      <c r="O249" s="1">
        <v>15806576</v>
      </c>
      <c r="P249" s="1">
        <v>11688239</v>
      </c>
      <c r="Q249" s="1">
        <v>4924807</v>
      </c>
      <c r="R249" s="1">
        <v>65.5</v>
      </c>
      <c r="T249">
        <f>E249/G249</f>
        <v>4.4265792114799071E-2</v>
      </c>
      <c r="U249">
        <f>D249/C249</f>
        <v>6.9307874978424902E-2</v>
      </c>
      <c r="V249">
        <f>(E249-F249)/O249</f>
        <v>0.13508390431931622</v>
      </c>
      <c r="W249">
        <f>H249/K249</f>
        <v>0.50797358060407338</v>
      </c>
      <c r="X249">
        <f>(H249-I249)/K249</f>
        <v>0.24538258353308845</v>
      </c>
      <c r="Y249">
        <f>(H249-K249)/G249</f>
        <v>-0.21832963697458066</v>
      </c>
      <c r="Z249">
        <f>J249/N249</f>
        <v>2.0516545139187641</v>
      </c>
      <c r="AA249">
        <f>J249/G249</f>
        <v>0.67230890802384569</v>
      </c>
      <c r="AB249">
        <f>C249/G249</f>
        <v>1.4316073844028663</v>
      </c>
      <c r="AC249">
        <f>C249/(G249-K249)</f>
        <v>2.5736095583474201</v>
      </c>
      <c r="AD249">
        <f>Q249/E249</f>
        <v>2.3064699838049019</v>
      </c>
      <c r="AE249">
        <f>Q249/J249</f>
        <v>0.15186132387005427</v>
      </c>
      <c r="AF249">
        <f>Q249/G249</f>
        <v>0.10209772082213177</v>
      </c>
      <c r="AG249">
        <f>Q249/K249</f>
        <v>0.23008683887679024</v>
      </c>
      <c r="AH249">
        <f>Q249/L249</f>
        <v>0.4646736089580128</v>
      </c>
      <c r="AI249" s="1">
        <f>R249</f>
        <v>65.5</v>
      </c>
      <c r="AJ249" s="1">
        <f>P249</f>
        <v>11688239</v>
      </c>
    </row>
    <row r="250" spans="1:36" x14ac:dyDescent="0.25">
      <c r="A250" t="s">
        <v>56</v>
      </c>
      <c r="B250">
        <v>2021</v>
      </c>
      <c r="C250" s="1">
        <v>68766324</v>
      </c>
      <c r="D250" s="1">
        <v>4112478</v>
      </c>
      <c r="E250" s="1">
        <v>2338255</v>
      </c>
      <c r="G250" s="1">
        <v>54974872</v>
      </c>
      <c r="H250" s="1">
        <v>12525999</v>
      </c>
      <c r="I250" s="1">
        <v>7108717</v>
      </c>
      <c r="J250" s="1">
        <f>16335935+K250</f>
        <v>38192202</v>
      </c>
      <c r="K250" s="1">
        <v>21856267</v>
      </c>
      <c r="L250" s="1">
        <f>3071103+1700000+M250</f>
        <v>9912770</v>
      </c>
      <c r="M250" s="1">
        <v>5141667</v>
      </c>
      <c r="N250" s="1">
        <v>16782670</v>
      </c>
      <c r="O250" s="1">
        <v>16782670</v>
      </c>
      <c r="P250" s="1">
        <v>12362751</v>
      </c>
      <c r="Q250" s="1">
        <v>6494995</v>
      </c>
      <c r="R250" s="5">
        <v>62.18</v>
      </c>
      <c r="T250">
        <f>E250/G250</f>
        <v>4.2533159513313649E-2</v>
      </c>
      <c r="U250">
        <f>D250/C250</f>
        <v>5.9803662036667829E-2</v>
      </c>
      <c r="V250">
        <f>(E250-F250)/O250</f>
        <v>0.1393255661941753</v>
      </c>
      <c r="W250">
        <f>H250/K250</f>
        <v>0.57310788708794602</v>
      </c>
      <c r="X250">
        <f>(H250-I250)/K250</f>
        <v>0.24785943546535188</v>
      </c>
      <c r="Y250">
        <f>(H250-K250)/G250</f>
        <v>-0.16971877624380827</v>
      </c>
      <c r="Z250">
        <f>J250/N250</f>
        <v>2.2756928426764036</v>
      </c>
      <c r="AA250">
        <f>J250/G250</f>
        <v>0.6947210718380572</v>
      </c>
      <c r="AB250">
        <f>C250/G250</f>
        <v>1.2508682876060175</v>
      </c>
      <c r="AC250">
        <f>C250/(G250-K250)</f>
        <v>2.0763653541566742</v>
      </c>
      <c r="AD250">
        <f>Q250/E250</f>
        <v>2.7777103010578403</v>
      </c>
      <c r="AE250">
        <f>Q250/J250</f>
        <v>0.17006076266563525</v>
      </c>
      <c r="AF250">
        <f>Q250/G250</f>
        <v>0.11814479531666759</v>
      </c>
      <c r="AG250">
        <f>Q250/K250</f>
        <v>0.29716854209367044</v>
      </c>
      <c r="AH250">
        <f>Q250/L250</f>
        <v>0.65521493992093027</v>
      </c>
      <c r="AI250" s="1">
        <f>R250</f>
        <v>62.18</v>
      </c>
      <c r="AJ250" s="1">
        <f>P250</f>
        <v>12362751</v>
      </c>
    </row>
    <row r="251" spans="1:36" x14ac:dyDescent="0.25">
      <c r="A251" t="s">
        <v>56</v>
      </c>
      <c r="B251">
        <v>2022</v>
      </c>
      <c r="C251" s="1">
        <v>84543205</v>
      </c>
      <c r="D251" s="1">
        <v>4744285</v>
      </c>
      <c r="E251" s="1">
        <v>2068048</v>
      </c>
      <c r="G251" s="1">
        <v>63535407</v>
      </c>
      <c r="H251" s="1">
        <v>16203615</v>
      </c>
      <c r="I251" s="1">
        <v>9074881</v>
      </c>
      <c r="J251" s="1">
        <f>20991236+K251</f>
        <v>45428253</v>
      </c>
      <c r="K251" s="1">
        <v>24437017</v>
      </c>
      <c r="L251" s="1">
        <f>2000000+2179283+M251</f>
        <v>12487021</v>
      </c>
      <c r="M251" s="1">
        <v>8307738</v>
      </c>
      <c r="N251" s="1">
        <v>18107154</v>
      </c>
      <c r="O251" s="1">
        <v>18107154</v>
      </c>
      <c r="P251" s="1">
        <v>13312296</v>
      </c>
      <c r="Q251" s="1">
        <v>6377298</v>
      </c>
      <c r="R251" s="5">
        <v>38.9</v>
      </c>
      <c r="T251">
        <f>E251/G251</f>
        <v>3.2549535725804039E-2</v>
      </c>
      <c r="U251">
        <f>D251/C251</f>
        <v>5.6116692051123448E-2</v>
      </c>
      <c r="V251">
        <f>(E251-F251)/O251</f>
        <v>0.1142116535817832</v>
      </c>
      <c r="W251">
        <f>H251/K251</f>
        <v>0.66307663492643154</v>
      </c>
      <c r="X251">
        <f>(H251-I251)/K251</f>
        <v>0.29171866598938817</v>
      </c>
      <c r="Y251">
        <f>(H251-K251)/G251</f>
        <v>-0.12958761718485567</v>
      </c>
      <c r="Z251">
        <f>J251/N251</f>
        <v>2.5088566099343939</v>
      </c>
      <c r="AA251">
        <f>J251/G251</f>
        <v>0.71500687797592921</v>
      </c>
      <c r="AB251">
        <f>C251/G251</f>
        <v>1.3306470988688244</v>
      </c>
      <c r="AC251">
        <f>C251/(G251-K251)</f>
        <v>2.1623193435842243</v>
      </c>
      <c r="AD251">
        <f>Q251/E251</f>
        <v>3.0837282306793652</v>
      </c>
      <c r="AE251">
        <f>Q251/J251</f>
        <v>0.14038175758156493</v>
      </c>
      <c r="AF251">
        <f>Q251/G251</f>
        <v>0.10037392221316847</v>
      </c>
      <c r="AG251">
        <f>Q251/K251</f>
        <v>0.26096875899378391</v>
      </c>
      <c r="AH251">
        <f>Q251/L251</f>
        <v>0.51071412468994803</v>
      </c>
      <c r="AI251" s="1">
        <f>R251</f>
        <v>38.9</v>
      </c>
      <c r="AJ251" s="1">
        <f>P251</f>
        <v>13312296</v>
      </c>
    </row>
    <row r="252" spans="1:36" x14ac:dyDescent="0.25">
      <c r="A252" t="s">
        <v>56</v>
      </c>
      <c r="B252">
        <v>2023</v>
      </c>
      <c r="C252" s="1">
        <v>126149112</v>
      </c>
      <c r="D252" s="1">
        <v>6185004</v>
      </c>
      <c r="E252" s="1">
        <v>2512668</v>
      </c>
      <c r="G252" s="1">
        <v>71730040</v>
      </c>
      <c r="H252" s="1">
        <v>22429752</v>
      </c>
      <c r="I252" s="1">
        <v>14490380</v>
      </c>
      <c r="J252" s="1">
        <f>19600888+K252</f>
        <v>52652577</v>
      </c>
      <c r="K252" s="1">
        <v>33051689</v>
      </c>
      <c r="L252" s="1">
        <f>1185340+2170096+M252</f>
        <v>10205846</v>
      </c>
      <c r="M252" s="1">
        <v>6850410</v>
      </c>
      <c r="N252" s="1">
        <v>19077463</v>
      </c>
      <c r="O252" s="1">
        <v>19077463</v>
      </c>
      <c r="P252" s="1">
        <v>14531921</v>
      </c>
      <c r="Q252" s="1">
        <v>3124960</v>
      </c>
      <c r="R252" s="5">
        <v>40</v>
      </c>
      <c r="T252">
        <f>E252/G252</f>
        <v>3.5029507860305113E-2</v>
      </c>
      <c r="U252">
        <f>D252/C252</f>
        <v>4.902931064627708E-2</v>
      </c>
      <c r="V252">
        <f>(E252-F252)/O252</f>
        <v>0.13170870780878988</v>
      </c>
      <c r="W252">
        <f>H252/K252</f>
        <v>0.67862649923881346</v>
      </c>
      <c r="X252">
        <f>(H252-I252)/K252</f>
        <v>0.24021078015105371</v>
      </c>
      <c r="Y252">
        <f>(H252-K252)/G252</f>
        <v>-0.14808212849177277</v>
      </c>
      <c r="Z252">
        <f>J252/N252</f>
        <v>2.7599360040693042</v>
      </c>
      <c r="AA252">
        <f>J252/G252</f>
        <v>0.73403802646701433</v>
      </c>
      <c r="AB252">
        <f>C252/G252</f>
        <v>1.7586650167767925</v>
      </c>
      <c r="AC252">
        <f>C252/(G252-K252)</f>
        <v>3.2614914736153047</v>
      </c>
      <c r="AD252">
        <f>Q252/E252</f>
        <v>1.2436820144961451</v>
      </c>
      <c r="AE252">
        <f>Q252/J252</f>
        <v>5.9350561322003288E-2</v>
      </c>
      <c r="AF252">
        <f>Q252/G252</f>
        <v>4.3565568902512813E-2</v>
      </c>
      <c r="AG252">
        <f>Q252/K252</f>
        <v>9.4547664417391805E-2</v>
      </c>
      <c r="AH252">
        <f>Q252/L252</f>
        <v>0.30619313675710957</v>
      </c>
      <c r="AI252" s="1">
        <f>R252</f>
        <v>40</v>
      </c>
      <c r="AJ252" s="1">
        <f>P252</f>
        <v>14531921</v>
      </c>
    </row>
    <row r="253" spans="1:36" x14ac:dyDescent="0.25">
      <c r="A253" s="15" t="s">
        <v>56</v>
      </c>
      <c r="B253" s="15">
        <v>2024</v>
      </c>
      <c r="C253" s="6">
        <v>139624941</v>
      </c>
      <c r="D253" s="6">
        <v>8155396</v>
      </c>
      <c r="E253" s="6">
        <v>3426852</v>
      </c>
      <c r="F253" s="6"/>
      <c r="G253" s="6">
        <v>73743741</v>
      </c>
      <c r="H253" s="6">
        <v>23428722</v>
      </c>
      <c r="I253" s="6">
        <v>12559344</v>
      </c>
      <c r="J253" s="6">
        <f>17879259+K253</f>
        <v>53293044</v>
      </c>
      <c r="K253" s="6">
        <v>35413785</v>
      </c>
      <c r="L253" s="6">
        <f>900000+4503050+M253</f>
        <v>8566620</v>
      </c>
      <c r="M253" s="6">
        <v>3163570</v>
      </c>
      <c r="N253" s="6">
        <v>20450697</v>
      </c>
      <c r="O253" s="6">
        <v>20450697</v>
      </c>
      <c r="P253" s="6">
        <v>16066477</v>
      </c>
      <c r="Q253" s="6">
        <v>13963650</v>
      </c>
      <c r="R253" s="11">
        <v>53.9</v>
      </c>
      <c r="S253" s="15"/>
      <c r="T253" s="15">
        <f>E253/G253</f>
        <v>4.6469733614409391E-2</v>
      </c>
      <c r="U253" s="15">
        <f>D253/C253</f>
        <v>5.8409306686833265E-2</v>
      </c>
      <c r="V253" s="15">
        <f>(E253-F253)/O253</f>
        <v>0.16756651374767326</v>
      </c>
      <c r="W253" s="15">
        <f>H253/K253</f>
        <v>0.66157068497479155</v>
      </c>
      <c r="X253" s="15">
        <f>(H253-I253)/K253</f>
        <v>0.30692505757291971</v>
      </c>
      <c r="Y253" s="15">
        <f>(H253-K253)/G253</f>
        <v>-0.16252312179280409</v>
      </c>
      <c r="Z253" s="15">
        <f>J253/N253</f>
        <v>2.6059280033340673</v>
      </c>
      <c r="AA253" s="15">
        <f>J253/G253</f>
        <v>0.72267887792673824</v>
      </c>
      <c r="AB253" s="15">
        <f>C253/G253</f>
        <v>1.893380225990976</v>
      </c>
      <c r="AC253" s="15">
        <f>C253/(G253-K253)</f>
        <v>3.6427107038682749</v>
      </c>
      <c r="AD253" s="15">
        <f>Q253/E253</f>
        <v>4.0747747495368927</v>
      </c>
      <c r="AE253" s="15">
        <f>Q253/J253</f>
        <v>0.26201637121722676</v>
      </c>
      <c r="AF253" s="15">
        <f>Q253/G253</f>
        <v>0.18935369714970116</v>
      </c>
      <c r="AG253" s="15">
        <f>Q253/K253</f>
        <v>0.39429984679694646</v>
      </c>
      <c r="AH253" s="15">
        <f>Q253/L253</f>
        <v>1.6300069338899121</v>
      </c>
      <c r="AI253" s="6">
        <f>R253</f>
        <v>53.9</v>
      </c>
      <c r="AJ253" s="6">
        <f>P253</f>
        <v>16066477</v>
      </c>
    </row>
    <row r="254" spans="1:36" s="2" customFormat="1" x14ac:dyDescent="0.25">
      <c r="A254" s="2" t="s">
        <v>128</v>
      </c>
      <c r="B254" s="2">
        <v>2018</v>
      </c>
      <c r="C254" s="3">
        <v>178932</v>
      </c>
      <c r="D254" s="3">
        <v>287854</v>
      </c>
      <c r="E254" s="3">
        <v>182199</v>
      </c>
      <c r="F254" s="3"/>
      <c r="G254" s="3">
        <v>1177086</v>
      </c>
      <c r="H254" s="3">
        <v>224837</v>
      </c>
      <c r="I254" s="3">
        <v>5709</v>
      </c>
      <c r="J254" s="3">
        <v>495560</v>
      </c>
      <c r="K254" s="3">
        <v>197655</v>
      </c>
      <c r="L254" s="3">
        <v>297867</v>
      </c>
      <c r="M254" s="3">
        <v>126926</v>
      </c>
      <c r="N254" s="3">
        <v>681526</v>
      </c>
      <c r="O254" s="3">
        <v>681526</v>
      </c>
      <c r="P254" s="3">
        <v>163156</v>
      </c>
      <c r="Q254" s="3">
        <v>138661</v>
      </c>
      <c r="R254" s="4">
        <v>158</v>
      </c>
      <c r="T254" s="2">
        <f>E254/G254</f>
        <v>0.15478818030288355</v>
      </c>
      <c r="U254" s="2">
        <f>D254/C254</f>
        <v>1.6087340442179152</v>
      </c>
      <c r="V254" s="2">
        <f>(E254-F254)/O254</f>
        <v>0.26733976400019954</v>
      </c>
      <c r="W254" s="2">
        <f>H254/K254</f>
        <v>1.1375224507348662</v>
      </c>
      <c r="X254" s="2">
        <f>(H254-I254)/K254</f>
        <v>1.1086387898105285</v>
      </c>
      <c r="Y254" s="2">
        <f>(H254-K254)/G254</f>
        <v>2.3092620250347043E-2</v>
      </c>
      <c r="Z254" s="2">
        <f>J254/N254</f>
        <v>0.72713293403333112</v>
      </c>
      <c r="AA254" s="2">
        <f>J254/G254</f>
        <v>0.42100577188072918</v>
      </c>
      <c r="AB254" s="2">
        <f>C254/G254</f>
        <v>0.15201268216595898</v>
      </c>
      <c r="AC254" s="2">
        <f>C254/(G254-K254)</f>
        <v>0.18268974537256835</v>
      </c>
      <c r="AD254" s="2">
        <f>Q254/E254</f>
        <v>0.76104149858122161</v>
      </c>
      <c r="AE254" s="2">
        <f>Q254/J254</f>
        <v>0.27980668334813141</v>
      </c>
      <c r="AF254" s="2">
        <f>Q254/G254</f>
        <v>0.11780022870036684</v>
      </c>
      <c r="AG254" s="2">
        <f>Q254/K254</f>
        <v>0.70153044446130886</v>
      </c>
      <c r="AH254" s="2">
        <f>Q254/L254</f>
        <v>0.46551313169971831</v>
      </c>
      <c r="AI254" s="3">
        <f>R254</f>
        <v>158</v>
      </c>
      <c r="AJ254" s="3">
        <f>P254</f>
        <v>163156</v>
      </c>
    </row>
    <row r="255" spans="1:36" x14ac:dyDescent="0.25">
      <c r="A255" t="s">
        <v>128</v>
      </c>
      <c r="B255">
        <v>2019</v>
      </c>
      <c r="C255" s="1">
        <v>163772</v>
      </c>
      <c r="D255" s="1">
        <v>166518</v>
      </c>
      <c r="E255" s="1">
        <v>137590</v>
      </c>
      <c r="G255" s="1">
        <v>1150506</v>
      </c>
      <c r="H255" s="1">
        <v>114949</v>
      </c>
      <c r="I255" s="1">
        <v>5724</v>
      </c>
      <c r="J255" s="1">
        <v>332008</v>
      </c>
      <c r="K255" s="1">
        <v>55998</v>
      </c>
      <c r="L255" s="1">
        <v>124909</v>
      </c>
      <c r="M255" s="1">
        <v>96613</v>
      </c>
      <c r="N255" s="1">
        <v>818498</v>
      </c>
      <c r="O255" s="1">
        <v>818498</v>
      </c>
      <c r="P255" s="1">
        <v>301732</v>
      </c>
      <c r="Q255" s="1">
        <v>40893</v>
      </c>
      <c r="R255" s="5">
        <v>139.9</v>
      </c>
      <c r="T255">
        <f>E255/G255</f>
        <v>0.11959085828322495</v>
      </c>
      <c r="U255">
        <f>D255/C255</f>
        <v>1.0167672129545955</v>
      </c>
      <c r="V255">
        <f>(E255-F255)/O255</f>
        <v>0.16810059401489069</v>
      </c>
      <c r="W255">
        <f>H255/K255</f>
        <v>2.0527340262152221</v>
      </c>
      <c r="X255">
        <f>(H255-I255)/K255</f>
        <v>1.9505160898603522</v>
      </c>
      <c r="Y255">
        <f>(H255-K255)/G255</f>
        <v>5.123919388512533E-2</v>
      </c>
      <c r="Z255">
        <f>J255/N255</f>
        <v>0.40563080178570993</v>
      </c>
      <c r="AA255">
        <f>J255/G255</f>
        <v>0.28857563541606912</v>
      </c>
      <c r="AB255">
        <f>C255/G255</f>
        <v>0.14234780174983877</v>
      </c>
      <c r="AC255">
        <f>C255/(G255-K255)</f>
        <v>0.14963070164859463</v>
      </c>
      <c r="AD255">
        <f>Q255/E255</f>
        <v>0.29720909949851004</v>
      </c>
      <c r="AE255">
        <f>Q255/J255</f>
        <v>0.12316871882605239</v>
      </c>
      <c r="AF255">
        <f>Q255/G255</f>
        <v>3.5543491298611223E-2</v>
      </c>
      <c r="AG255">
        <f>Q255/K255</f>
        <v>0.73025822350798242</v>
      </c>
      <c r="AH255">
        <f>Q255/L255</f>
        <v>0.32738233433939906</v>
      </c>
      <c r="AI255" s="1">
        <f>R255</f>
        <v>139.9</v>
      </c>
      <c r="AJ255" s="1">
        <f>P255</f>
        <v>301732</v>
      </c>
    </row>
    <row r="256" spans="1:36" x14ac:dyDescent="0.25">
      <c r="A256" t="s">
        <v>128</v>
      </c>
      <c r="B256">
        <v>2020</v>
      </c>
      <c r="C256" s="1">
        <v>166132</v>
      </c>
      <c r="D256" s="1">
        <v>42014</v>
      </c>
      <c r="E256" s="1">
        <v>23201</v>
      </c>
      <c r="G256" s="1">
        <v>1159880</v>
      </c>
      <c r="H256" s="1">
        <v>139401</v>
      </c>
      <c r="I256" s="1">
        <v>6369</v>
      </c>
      <c r="J256" s="1">
        <v>316997</v>
      </c>
      <c r="K256" s="1">
        <v>64342</v>
      </c>
      <c r="L256" s="1">
        <v>96607</v>
      </c>
      <c r="M256" s="1">
        <v>70920</v>
      </c>
      <c r="N256" s="1">
        <v>842883</v>
      </c>
      <c r="O256" s="1">
        <v>842883</v>
      </c>
      <c r="P256" s="1">
        <v>326117</v>
      </c>
      <c r="Q256" s="1">
        <v>23532</v>
      </c>
      <c r="R256" s="1">
        <v>77.099999999999994</v>
      </c>
      <c r="T256">
        <f>E256/G256</f>
        <v>2.0002931337724593E-2</v>
      </c>
      <c r="U256">
        <f>D256/C256</f>
        <v>0.25289528808417405</v>
      </c>
      <c r="V256">
        <f>(E256-F256)/O256</f>
        <v>2.7525765734983384E-2</v>
      </c>
      <c r="W256">
        <f>H256/K256</f>
        <v>2.1665630536818874</v>
      </c>
      <c r="X256">
        <f>(H256-I256)/K256</f>
        <v>2.0675763886730283</v>
      </c>
      <c r="Y256">
        <f>(H256-K256)/G256</f>
        <v>6.4712728902989958E-2</v>
      </c>
      <c r="Z256">
        <f>J256/N256</f>
        <v>0.37608659802131494</v>
      </c>
      <c r="AA256">
        <f>J256/G256</f>
        <v>0.27330154843604509</v>
      </c>
      <c r="AB256">
        <f>C256/G256</f>
        <v>0.14323205848880918</v>
      </c>
      <c r="AC256">
        <f>C256/(G256-K256)</f>
        <v>0.15164421498843492</v>
      </c>
      <c r="AD256">
        <f>Q256/E256</f>
        <v>1.0142666264385156</v>
      </c>
      <c r="AE256">
        <f>Q256/J256</f>
        <v>7.4234141017107416E-2</v>
      </c>
      <c r="AF256">
        <f>Q256/G256</f>
        <v>2.0288305686795186E-2</v>
      </c>
      <c r="AG256">
        <f>Q256/K256</f>
        <v>0.36573311367380562</v>
      </c>
      <c r="AH256">
        <f>Q256/L256</f>
        <v>0.24358483339716583</v>
      </c>
      <c r="AI256" s="1">
        <f>R256</f>
        <v>77.099999999999994</v>
      </c>
      <c r="AJ256" s="1">
        <f>P256</f>
        <v>326117</v>
      </c>
    </row>
    <row r="257" spans="1:36" x14ac:dyDescent="0.25">
      <c r="A257" t="s">
        <v>128</v>
      </c>
      <c r="B257">
        <v>2021</v>
      </c>
      <c r="C257" s="1">
        <v>121329.735</v>
      </c>
      <c r="D257" s="1">
        <v>83057.244999999995</v>
      </c>
      <c r="E257" s="1">
        <v>67842.501999999993</v>
      </c>
      <c r="G257" s="1">
        <v>1284849.365</v>
      </c>
      <c r="H257" s="1">
        <v>70345.627999999997</v>
      </c>
      <c r="I257" s="1">
        <v>2897.7060000000001</v>
      </c>
      <c r="J257" s="1">
        <v>314760.39</v>
      </c>
      <c r="K257" s="1">
        <v>56839.917000000001</v>
      </c>
      <c r="L257" s="1">
        <v>92372.2</v>
      </c>
      <c r="M257" s="1">
        <v>61078.6</v>
      </c>
      <c r="N257" s="1">
        <v>970088.97499999998</v>
      </c>
      <c r="O257" s="1">
        <v>970088.97499999998</v>
      </c>
      <c r="P257" s="1">
        <v>385001.51500000001</v>
      </c>
      <c r="Q257" s="1">
        <v>40558.767999999996</v>
      </c>
      <c r="R257" s="1">
        <v>110</v>
      </c>
      <c r="T257">
        <f>E257/G257</f>
        <v>5.2801911140766288E-2</v>
      </c>
      <c r="U257">
        <f>D257/C257</f>
        <v>0.68455803517579594</v>
      </c>
      <c r="V257">
        <f>(E257-F257)/O257</f>
        <v>6.9934308860689812E-2</v>
      </c>
      <c r="W257">
        <f>H257/K257</f>
        <v>1.2376096186065859</v>
      </c>
      <c r="X257">
        <f>(H257-I257)/K257</f>
        <v>1.1866294949023235</v>
      </c>
      <c r="Y257">
        <f>(H257-K257)/G257</f>
        <v>1.0511513153139159E-2</v>
      </c>
      <c r="Z257">
        <f>J257/N257</f>
        <v>0.32446548524067087</v>
      </c>
      <c r="AA257">
        <f>J257/G257</f>
        <v>0.24497843760852075</v>
      </c>
      <c r="AB257">
        <f>C257/G257</f>
        <v>9.4431096986999724E-2</v>
      </c>
      <c r="AC257">
        <f>C257/(G257-K257)</f>
        <v>9.8801955634465116E-2</v>
      </c>
      <c r="AD257">
        <f>Q257/E257</f>
        <v>0.59783714934334231</v>
      </c>
      <c r="AE257">
        <f>Q257/J257</f>
        <v>0.12885601012249348</v>
      </c>
      <c r="AF257">
        <f>Q257/G257</f>
        <v>3.156694403627619E-2</v>
      </c>
      <c r="AG257">
        <f>Q257/K257</f>
        <v>0.71356135161140355</v>
      </c>
      <c r="AH257">
        <f>Q257/L257</f>
        <v>0.43907980972630289</v>
      </c>
      <c r="AI257" s="1">
        <f>R257</f>
        <v>110</v>
      </c>
      <c r="AJ257" s="1">
        <f>P257</f>
        <v>385001.51500000001</v>
      </c>
    </row>
    <row r="258" spans="1:36" x14ac:dyDescent="0.25">
      <c r="A258" t="s">
        <v>128</v>
      </c>
      <c r="B258">
        <v>2022</v>
      </c>
      <c r="C258" s="1">
        <v>427689.34700000001</v>
      </c>
      <c r="D258" s="1">
        <v>126386.802</v>
      </c>
      <c r="E258" s="1">
        <v>75447.145999999993</v>
      </c>
      <c r="G258" s="1">
        <v>1451146.7660000001</v>
      </c>
      <c r="H258" s="1">
        <v>238648.76</v>
      </c>
      <c r="I258" s="1">
        <v>4197.0529999999999</v>
      </c>
      <c r="J258" s="1">
        <v>401063.5</v>
      </c>
      <c r="K258" s="1">
        <v>131860.32699999999</v>
      </c>
      <c r="L258" s="1">
        <v>61078.6</v>
      </c>
      <c r="M258" s="1">
        <v>33480</v>
      </c>
      <c r="N258" s="1">
        <v>1050083.2660000001</v>
      </c>
      <c r="O258" s="1">
        <v>1050083.2660000001</v>
      </c>
      <c r="P258" s="1">
        <v>480804.24099999998</v>
      </c>
      <c r="Q258" s="1">
        <v>123972.503</v>
      </c>
      <c r="R258" s="1">
        <v>122.75</v>
      </c>
      <c r="T258">
        <f>E258/G258</f>
        <v>5.1991395886141531E-2</v>
      </c>
      <c r="U258">
        <f>D258/C258</f>
        <v>0.29551075538011939</v>
      </c>
      <c r="V258">
        <f>(E258-F258)/O258</f>
        <v>7.1848727089419195E-2</v>
      </c>
      <c r="W258">
        <f>H258/K258</f>
        <v>1.8098602167124918</v>
      </c>
      <c r="X258">
        <f>(H258-I258)/K258</f>
        <v>1.7780306809037416</v>
      </c>
      <c r="Y258">
        <f>(H258-K258)/G258</f>
        <v>7.3588995615072067E-2</v>
      </c>
      <c r="Z258">
        <f>J258/N258</f>
        <v>0.38193495028993252</v>
      </c>
      <c r="AA258">
        <f>J258/G258</f>
        <v>0.27637693815457948</v>
      </c>
      <c r="AB258">
        <f>C258/G258</f>
        <v>0.29472508020598104</v>
      </c>
      <c r="AC258">
        <f>C258/(G258-K258)</f>
        <v>0.32418232641289207</v>
      </c>
      <c r="AD258">
        <f>Q258/E258</f>
        <v>1.6431702134895865</v>
      </c>
      <c r="AE258">
        <f>Q258/J258</f>
        <v>0.30910941284858878</v>
      </c>
      <c r="AF258">
        <f>Q258/G258</f>
        <v>8.5430713077852799E-2</v>
      </c>
      <c r="AG258">
        <f>Q258/K258</f>
        <v>0.94018046079925166</v>
      </c>
      <c r="AH258">
        <f>Q258/L258</f>
        <v>2.029720769631262</v>
      </c>
      <c r="AI258" s="1">
        <f>R258</f>
        <v>122.75</v>
      </c>
      <c r="AJ258" s="1">
        <f>P258</f>
        <v>480804.24099999998</v>
      </c>
    </row>
    <row r="259" spans="1:36" x14ac:dyDescent="0.25">
      <c r="A259" t="s">
        <v>128</v>
      </c>
      <c r="B259">
        <v>2023</v>
      </c>
      <c r="C259" s="1">
        <v>446814.848</v>
      </c>
      <c r="D259" s="1">
        <v>56455.705000000002</v>
      </c>
      <c r="E259" s="1">
        <v>-44209.974000000002</v>
      </c>
      <c r="G259" s="1">
        <v>1631951.7509999999</v>
      </c>
      <c r="H259" s="1">
        <v>272615.53999999998</v>
      </c>
      <c r="I259" s="1">
        <v>5912.4110000000001</v>
      </c>
      <c r="J259" s="1">
        <v>661342.97699999996</v>
      </c>
      <c r="K259" s="1">
        <v>314699.908</v>
      </c>
      <c r="L259" s="1">
        <v>165993.98800000001</v>
      </c>
      <c r="M259" s="1">
        <v>-8520</v>
      </c>
      <c r="N259" s="1">
        <v>970608.77399999998</v>
      </c>
      <c r="O259" s="1">
        <v>970608.77399999998</v>
      </c>
      <c r="P259" s="1">
        <v>422588.61300000001</v>
      </c>
      <c r="Q259" s="1">
        <v>-211050.39799999999</v>
      </c>
      <c r="R259" s="1">
        <v>100</v>
      </c>
      <c r="T259">
        <f>E259/G259</f>
        <v>-2.7090245758129648E-2</v>
      </c>
      <c r="U259">
        <f>D259/C259</f>
        <v>0.12635145240294254</v>
      </c>
      <c r="V259">
        <f>(E259-F259)/O259</f>
        <v>-4.5548706321502923E-2</v>
      </c>
      <c r="W259">
        <f>H259/K259</f>
        <v>0.86627143214798774</v>
      </c>
      <c r="X259">
        <f>(H259-I259)/K259</f>
        <v>0.84748397511447626</v>
      </c>
      <c r="Y259">
        <f>(H259-K259)/G259</f>
        <v>-2.5787752593918457E-2</v>
      </c>
      <c r="Z259">
        <f>J259/N259</f>
        <v>0.68136925475598464</v>
      </c>
      <c r="AA259">
        <f>J259/G259</f>
        <v>0.40524664812838573</v>
      </c>
      <c r="AB259">
        <f>C259/G259</f>
        <v>0.27379170231363048</v>
      </c>
      <c r="AC259">
        <f>C259/(G259-K259)</f>
        <v>0.33920229481888076</v>
      </c>
      <c r="AD259">
        <f>Q259/E259</f>
        <v>4.7738186410152599</v>
      </c>
      <c r="AE259">
        <f>Q259/J259</f>
        <v>-0.31912397249211283</v>
      </c>
      <c r="AF259">
        <f>Q259/G259</f>
        <v>-0.1293239201898439</v>
      </c>
      <c r="AG259">
        <f>Q259/K259</f>
        <v>-0.67064016427993356</v>
      </c>
      <c r="AH259">
        <f>Q259/L259</f>
        <v>-1.271433987115244</v>
      </c>
      <c r="AI259" s="1">
        <f>R259</f>
        <v>100</v>
      </c>
      <c r="AJ259" s="1">
        <f>P259</f>
        <v>422588.61300000001</v>
      </c>
    </row>
    <row r="260" spans="1:36" x14ac:dyDescent="0.25">
      <c r="A260" t="s">
        <v>128</v>
      </c>
      <c r="B260">
        <v>2024</v>
      </c>
      <c r="C260" s="1">
        <v>217474.86199999999</v>
      </c>
      <c r="D260" s="1">
        <v>114949.37600000002</v>
      </c>
      <c r="E260" s="1">
        <v>89241.42</v>
      </c>
      <c r="G260" s="1">
        <v>1527337.3459999999</v>
      </c>
      <c r="H260" s="1">
        <v>146104.91800000001</v>
      </c>
      <c r="I260" s="1">
        <v>8303.7129999999997</v>
      </c>
      <c r="J260" s="1">
        <v>484478.74800000002</v>
      </c>
      <c r="K260" s="1">
        <v>118927.292</v>
      </c>
      <c r="L260" s="1">
        <v>8520</v>
      </c>
      <c r="M260" s="1">
        <v>0</v>
      </c>
      <c r="N260" s="1">
        <v>1042858.598</v>
      </c>
      <c r="O260" s="1">
        <v>1042858.598</v>
      </c>
      <c r="P260" s="1">
        <v>497163.25400000002</v>
      </c>
      <c r="Q260" s="1">
        <v>199241.454</v>
      </c>
      <c r="R260" s="1">
        <v>99.1</v>
      </c>
      <c r="T260">
        <f>E260/G260</f>
        <v>5.8429410001475862E-2</v>
      </c>
      <c r="U260">
        <f>D260/C260</f>
        <v>0.52856396800472516</v>
      </c>
      <c r="V260">
        <f>(E260-F260)/O260</f>
        <v>8.5573844978741792E-2</v>
      </c>
      <c r="W260">
        <f>H260/K260</f>
        <v>1.2285230374202081</v>
      </c>
      <c r="X260">
        <f>(H260-I260)/K260</f>
        <v>1.1587012760704247</v>
      </c>
      <c r="Y260">
        <f>(H260-K260)/G260</f>
        <v>1.7794121299512834E-2</v>
      </c>
      <c r="Z260">
        <f>J260/N260</f>
        <v>0.46456801423427496</v>
      </c>
      <c r="AA260">
        <f>J260/G260</f>
        <v>0.31720480695952291</v>
      </c>
      <c r="AB260">
        <f>C260/G260</f>
        <v>0.14238823045187296</v>
      </c>
      <c r="AC260">
        <f>C260/(G260-K260)</f>
        <v>0.15441160859534733</v>
      </c>
      <c r="AD260">
        <f>Q260/E260</f>
        <v>2.2326118746205519</v>
      </c>
      <c r="AE260">
        <f>Q260/J260</f>
        <v>0.41124911014672616</v>
      </c>
      <c r="AF260">
        <f>Q260/G260</f>
        <v>0.13045019459636784</v>
      </c>
      <c r="AG260">
        <f>Q260/K260</f>
        <v>1.6753215401558121</v>
      </c>
      <c r="AH260">
        <f>Q260/L260</f>
        <v>23.385147183098592</v>
      </c>
      <c r="AI260" s="1">
        <f>R260</f>
        <v>99.1</v>
      </c>
      <c r="AJ260" s="1">
        <f>P260</f>
        <v>497163.25400000002</v>
      </c>
    </row>
    <row r="261" spans="1:36" s="2" customFormat="1" x14ac:dyDescent="0.25">
      <c r="A261" s="2" t="s">
        <v>69</v>
      </c>
      <c r="B261" s="2">
        <v>2018</v>
      </c>
      <c r="C261" s="3">
        <v>19241</v>
      </c>
      <c r="D261" s="3">
        <v>28067</v>
      </c>
      <c r="E261" s="3">
        <v>23419</v>
      </c>
      <c r="F261" s="3"/>
      <c r="G261" s="3">
        <v>1124631</v>
      </c>
      <c r="H261" s="3">
        <v>247344</v>
      </c>
      <c r="I261" s="3">
        <v>0</v>
      </c>
      <c r="J261" s="3">
        <f>6000+K261</f>
        <v>39988</v>
      </c>
      <c r="K261" s="3">
        <v>33988</v>
      </c>
      <c r="L261" s="3">
        <v>7000</v>
      </c>
      <c r="M261" s="3">
        <v>6000</v>
      </c>
      <c r="N261" s="3">
        <v>1084643</v>
      </c>
      <c r="O261" s="3">
        <v>1084643</v>
      </c>
      <c r="P261" s="3">
        <v>224041</v>
      </c>
      <c r="Q261" s="3">
        <v>53492</v>
      </c>
      <c r="R261" s="3">
        <v>64.7</v>
      </c>
      <c r="T261" s="2">
        <f>E261/G261</f>
        <v>2.0823719068743436E-2</v>
      </c>
      <c r="U261" s="2">
        <f>D261/C261</f>
        <v>1.4587079673613637</v>
      </c>
      <c r="V261" s="2">
        <f>(E261-F261)/O261</f>
        <v>2.1591436076202033E-2</v>
      </c>
      <c r="W261" s="2">
        <f>H261/K261</f>
        <v>7.2773920207131928</v>
      </c>
      <c r="X261" s="2">
        <f>(H261-I261)/K261</f>
        <v>7.2773920207131928</v>
      </c>
      <c r="Y261" s="2">
        <f>(H261-K261)/G261</f>
        <v>0.18971200331486504</v>
      </c>
      <c r="Z261" s="2">
        <f>J261/N261</f>
        <v>3.6867430112949608E-2</v>
      </c>
      <c r="AA261" s="2">
        <f>J261/G261</f>
        <v>3.5556551437760472E-2</v>
      </c>
      <c r="AB261" s="2">
        <f>C261/G261</f>
        <v>1.7108722772180385E-2</v>
      </c>
      <c r="AC261" s="2">
        <f>C261/(G261-K261)</f>
        <v>1.7641886483478093E-2</v>
      </c>
      <c r="AD261" s="2">
        <f>Q261/E261</f>
        <v>2.2841282719159657</v>
      </c>
      <c r="AE261" s="2">
        <f>Q261/J261</f>
        <v>1.3377013103931179</v>
      </c>
      <c r="AF261" s="2">
        <f>Q261/G261</f>
        <v>4.7564045451352489E-2</v>
      </c>
      <c r="AG261" s="2">
        <f>Q261/K261</f>
        <v>1.573849593974344</v>
      </c>
      <c r="AH261" s="2">
        <f>Q261/L261</f>
        <v>7.6417142857142855</v>
      </c>
      <c r="AI261" s="3">
        <f>R261</f>
        <v>64.7</v>
      </c>
      <c r="AJ261" s="3">
        <f>P261</f>
        <v>224041</v>
      </c>
    </row>
    <row r="262" spans="1:36" x14ac:dyDescent="0.25">
      <c r="A262" t="s">
        <v>69</v>
      </c>
      <c r="B262">
        <v>2019</v>
      </c>
      <c r="C262" s="1">
        <v>22236</v>
      </c>
      <c r="D262" s="1">
        <v>-23261</v>
      </c>
      <c r="E262" s="1">
        <v>-28317</v>
      </c>
      <c r="G262" s="1">
        <v>945193</v>
      </c>
      <c r="H262" s="1">
        <v>207712</v>
      </c>
      <c r="I262" s="1">
        <v>0</v>
      </c>
      <c r="J262" s="1">
        <f>K262</f>
        <v>30052</v>
      </c>
      <c r="K262" s="1">
        <v>30052</v>
      </c>
      <c r="L262" s="1">
        <v>6898</v>
      </c>
      <c r="M262" s="1">
        <v>0</v>
      </c>
      <c r="N262" s="1">
        <v>915141</v>
      </c>
      <c r="O262" s="1">
        <v>915141</v>
      </c>
      <c r="P262" s="1">
        <v>187315</v>
      </c>
      <c r="Q262" s="1">
        <v>2261</v>
      </c>
      <c r="R262" s="1">
        <v>50.2</v>
      </c>
      <c r="T262">
        <f>E262/G262</f>
        <v>-2.9958960762510936E-2</v>
      </c>
      <c r="U262">
        <f>D262/C262</f>
        <v>-1.046096420219464</v>
      </c>
      <c r="V262">
        <f>(E262-F262)/O262</f>
        <v>-3.094277275305117E-2</v>
      </c>
      <c r="W262">
        <f>H262/K262</f>
        <v>6.9117529615333426</v>
      </c>
      <c r="X262">
        <f>(H262-I262)/K262</f>
        <v>6.9117529615333426</v>
      </c>
      <c r="Y262">
        <f>(H262-K262)/G262</f>
        <v>0.18796161207287823</v>
      </c>
      <c r="Z262">
        <f>J262/N262</f>
        <v>3.2838655464021392E-2</v>
      </c>
      <c r="AA262">
        <f>J262/G262</f>
        <v>3.1794564707948537E-2</v>
      </c>
      <c r="AB262">
        <f>C262/G262</f>
        <v>2.3525354081124172E-2</v>
      </c>
      <c r="AC262">
        <f>C262/(G262-K262)</f>
        <v>2.4297895078463319E-2</v>
      </c>
      <c r="AD262">
        <f>Q262/E262</f>
        <v>-7.9846028887240877E-2</v>
      </c>
      <c r="AE262">
        <f>Q262/J262</f>
        <v>7.5236257154265934E-2</v>
      </c>
      <c r="AF262">
        <f>Q262/G262</f>
        <v>2.3921040464751644E-3</v>
      </c>
      <c r="AG262">
        <f>Q262/K262</f>
        <v>7.5236257154265934E-2</v>
      </c>
      <c r="AH262">
        <f>Q262/L262</f>
        <v>0.32777616700492895</v>
      </c>
      <c r="AI262" s="1">
        <f>R262</f>
        <v>50.2</v>
      </c>
      <c r="AJ262" s="1">
        <f>P262</f>
        <v>187315</v>
      </c>
    </row>
    <row r="263" spans="1:36" x14ac:dyDescent="0.25">
      <c r="A263" t="s">
        <v>69</v>
      </c>
      <c r="B263">
        <v>2020</v>
      </c>
      <c r="C263" s="1">
        <v>12515</v>
      </c>
      <c r="D263" s="1">
        <v>6046</v>
      </c>
      <c r="E263" s="1">
        <v>1666</v>
      </c>
      <c r="G263" s="1">
        <v>639727</v>
      </c>
      <c r="H263" s="1">
        <v>153613</v>
      </c>
      <c r="I263" s="1">
        <v>0</v>
      </c>
      <c r="J263" s="1">
        <v>25984</v>
      </c>
      <c r="K263" s="1">
        <v>25984</v>
      </c>
      <c r="L263" s="1">
        <v>1886</v>
      </c>
      <c r="M263" s="1">
        <v>0</v>
      </c>
      <c r="N263" s="1">
        <v>613743</v>
      </c>
      <c r="O263" s="1">
        <v>613743</v>
      </c>
      <c r="P263" s="1">
        <v>181194</v>
      </c>
      <c r="Q263" s="1">
        <v>49922</v>
      </c>
      <c r="R263" s="1">
        <v>55</v>
      </c>
      <c r="T263">
        <f>E263/G263</f>
        <v>2.604235869363025E-3</v>
      </c>
      <c r="U263">
        <f>D263/C263</f>
        <v>0.48310027966440272</v>
      </c>
      <c r="V263">
        <f>(E263-F263)/O263</f>
        <v>2.7144912447066606E-3</v>
      </c>
      <c r="W263">
        <f>H263/K263</f>
        <v>5.9118303571428568</v>
      </c>
      <c r="X263">
        <f>(H263-I263)/K263</f>
        <v>5.9118303571428568</v>
      </c>
      <c r="Y263">
        <f>(H263-K263)/G263</f>
        <v>0.1995054140281714</v>
      </c>
      <c r="Z263">
        <f>J263/N263</f>
        <v>4.2336939077105562E-2</v>
      </c>
      <c r="AA263">
        <f>J263/G263</f>
        <v>4.0617325828048528E-2</v>
      </c>
      <c r="AB263">
        <f>C263/G263</f>
        <v>1.956303235598935E-2</v>
      </c>
      <c r="AC263">
        <f>C263/(G263-K263)</f>
        <v>2.0391271265008316E-2</v>
      </c>
      <c r="AD263">
        <f>Q263/E263</f>
        <v>29.965186074429774</v>
      </c>
      <c r="AE263">
        <f>Q263/J263</f>
        <v>1.921259236453202</v>
      </c>
      <c r="AF263">
        <f>Q263/G263</f>
        <v>7.8036412407167438E-2</v>
      </c>
      <c r="AG263">
        <f>Q263/K263</f>
        <v>1.921259236453202</v>
      </c>
      <c r="AH263">
        <f>Q263/L263</f>
        <v>26.469777306468718</v>
      </c>
      <c r="AI263" s="1">
        <f>R263</f>
        <v>55</v>
      </c>
      <c r="AJ263" s="1">
        <f>P263</f>
        <v>181194</v>
      </c>
    </row>
    <row r="264" spans="1:36" x14ac:dyDescent="0.25">
      <c r="A264" t="s">
        <v>69</v>
      </c>
      <c r="B264">
        <v>2021</v>
      </c>
      <c r="C264" s="1">
        <v>17222</v>
      </c>
      <c r="D264" s="1">
        <v>115029</v>
      </c>
      <c r="E264" s="1">
        <v>111305</v>
      </c>
      <c r="G264" s="1">
        <v>1349275</v>
      </c>
      <c r="H264" s="1">
        <v>259223</v>
      </c>
      <c r="I264" s="1">
        <v>0</v>
      </c>
      <c r="J264" s="1">
        <v>20849</v>
      </c>
      <c r="K264" s="1">
        <v>20849</v>
      </c>
      <c r="L264" s="1">
        <v>0</v>
      </c>
      <c r="M264" s="1">
        <v>0</v>
      </c>
      <c r="N264" s="1">
        <v>1328426</v>
      </c>
      <c r="O264" s="1">
        <v>1328426</v>
      </c>
      <c r="P264" s="1">
        <v>292068</v>
      </c>
      <c r="Q264" s="1">
        <v>4112</v>
      </c>
      <c r="R264" s="1">
        <v>65.8</v>
      </c>
      <c r="T264">
        <f>E264/G264</f>
        <v>8.249244964888551E-2</v>
      </c>
      <c r="U264">
        <f>D264/C264</f>
        <v>6.6791894088955983</v>
      </c>
      <c r="V264">
        <f>(E264-F264)/O264</f>
        <v>8.3787128526541937E-2</v>
      </c>
      <c r="W264">
        <f>H264/K264</f>
        <v>12.433354117703487</v>
      </c>
      <c r="X264">
        <f>(H264-I264)/K264</f>
        <v>12.433354117703487</v>
      </c>
      <c r="Y264">
        <f>(H264-K264)/G264</f>
        <v>0.1766682107057494</v>
      </c>
      <c r="Z264">
        <f>J264/N264</f>
        <v>1.5694513657516489E-2</v>
      </c>
      <c r="AA264">
        <f>J264/G264</f>
        <v>1.5452002001074652E-2</v>
      </c>
      <c r="AB264">
        <f>C264/G264</f>
        <v>1.2763891719627208E-2</v>
      </c>
      <c r="AC264">
        <f>C264/(G264-K264)</f>
        <v>1.2964214792543957E-2</v>
      </c>
      <c r="AD264">
        <f>Q264/E264</f>
        <v>3.6943533533983199E-2</v>
      </c>
      <c r="AE264">
        <f>Q264/J264</f>
        <v>0.19722768478104466</v>
      </c>
      <c r="AF264">
        <f>Q264/G264</f>
        <v>3.0475625799040226E-3</v>
      </c>
      <c r="AG264">
        <f>Q264/K264</f>
        <v>0.19722768478104466</v>
      </c>
      <c r="AH264" t="e">
        <f>Q264/L264</f>
        <v>#DIV/0!</v>
      </c>
      <c r="AI264" s="1">
        <f>R264</f>
        <v>65.8</v>
      </c>
      <c r="AJ264" s="1">
        <f>P264</f>
        <v>292068</v>
      </c>
    </row>
    <row r="265" spans="1:36" x14ac:dyDescent="0.25">
      <c r="A265" t="s">
        <v>69</v>
      </c>
      <c r="B265">
        <v>2022</v>
      </c>
      <c r="C265" s="1">
        <v>41227</v>
      </c>
      <c r="D265" s="1">
        <v>56149</v>
      </c>
      <c r="E265" s="1">
        <v>50856</v>
      </c>
      <c r="G265" s="1">
        <v>1143804</v>
      </c>
      <c r="H265" s="1">
        <v>301424</v>
      </c>
      <c r="I265" s="1">
        <v>0</v>
      </c>
      <c r="J265" s="1">
        <v>20434</v>
      </c>
      <c r="K265" s="1">
        <v>20434</v>
      </c>
      <c r="L265" s="1">
        <v>0</v>
      </c>
      <c r="M265" s="1">
        <v>0</v>
      </c>
      <c r="N265" s="1">
        <v>1123370</v>
      </c>
      <c r="O265" s="1">
        <v>1123370</v>
      </c>
      <c r="P265" s="1">
        <v>334587</v>
      </c>
      <c r="Q265" s="1">
        <v>30588</v>
      </c>
      <c r="R265" s="1">
        <v>70.5</v>
      </c>
      <c r="T265">
        <f>E265/G265</f>
        <v>4.446216309787341E-2</v>
      </c>
      <c r="U265">
        <f>D265/C265</f>
        <v>1.3619472675673709</v>
      </c>
      <c r="V265">
        <f>(E265-F265)/O265</f>
        <v>4.5270925874823079E-2</v>
      </c>
      <c r="W265">
        <f>H265/K265</f>
        <v>14.751101105999805</v>
      </c>
      <c r="X265">
        <f>(H265-I265)/K265</f>
        <v>14.751101105999805</v>
      </c>
      <c r="Y265">
        <f>(H265-K265)/G265</f>
        <v>0.24566271843777429</v>
      </c>
      <c r="Z265">
        <f>J265/N265</f>
        <v>1.8189910715080516E-2</v>
      </c>
      <c r="AA265">
        <f>J265/G265</f>
        <v>1.7864948889844762E-2</v>
      </c>
      <c r="AB265">
        <f>C265/G265</f>
        <v>3.6043762742567785E-2</v>
      </c>
      <c r="AC265">
        <f>C265/(G265-K265)</f>
        <v>3.6699395568690639E-2</v>
      </c>
      <c r="AD265">
        <f>Q265/E265</f>
        <v>0.60146295422369045</v>
      </c>
      <c r="AE265">
        <f>Q265/J265</f>
        <v>1.496916903200548</v>
      </c>
      <c r="AF265">
        <f>Q265/G265</f>
        <v>2.6742343968022494E-2</v>
      </c>
      <c r="AG265">
        <f>Q265/K265</f>
        <v>1.496916903200548</v>
      </c>
      <c r="AH265" t="e">
        <f>Q265/L265</f>
        <v>#DIV/0!</v>
      </c>
      <c r="AI265" s="1">
        <f>R265</f>
        <v>70.5</v>
      </c>
      <c r="AJ265" s="1">
        <f>P265</f>
        <v>334587</v>
      </c>
    </row>
    <row r="266" spans="1:36" x14ac:dyDescent="0.25">
      <c r="A266" t="s">
        <v>69</v>
      </c>
      <c r="B266">
        <v>2023</v>
      </c>
      <c r="C266" s="1">
        <v>50857</v>
      </c>
      <c r="D266" s="1">
        <v>86460</v>
      </c>
      <c r="E266" s="1">
        <v>83281</v>
      </c>
      <c r="G266" s="1">
        <v>1791104</v>
      </c>
      <c r="H266" s="1">
        <v>413212</v>
      </c>
      <c r="I266" s="1">
        <v>0</v>
      </c>
      <c r="J266" s="1">
        <v>782</v>
      </c>
      <c r="K266" s="1">
        <v>782</v>
      </c>
      <c r="L266" s="1">
        <v>0</v>
      </c>
      <c r="M266" s="1">
        <v>0</v>
      </c>
      <c r="N266" s="1">
        <v>1790322</v>
      </c>
      <c r="O266" s="1">
        <v>1790322</v>
      </c>
      <c r="P266" s="1">
        <v>406938</v>
      </c>
      <c r="Q266" s="1">
        <v>3233</v>
      </c>
      <c r="R266" s="1">
        <v>67.5</v>
      </c>
      <c r="T266">
        <f>E266/G266</f>
        <v>4.6497020831844496E-2</v>
      </c>
      <c r="U266">
        <f>D266/C266</f>
        <v>1.7000609552274024</v>
      </c>
      <c r="V266">
        <f>(E266-F266)/O266</f>
        <v>4.6517330402017068E-2</v>
      </c>
      <c r="W266">
        <f>H266/K266</f>
        <v>528.40409207161122</v>
      </c>
      <c r="X266">
        <f>(H266-I266)/K266</f>
        <v>528.40409207161122</v>
      </c>
      <c r="Y266">
        <f>(H266-K266)/G266</f>
        <v>0.23026580254412921</v>
      </c>
      <c r="Z266">
        <f>J266/N266</f>
        <v>4.3679293445536614E-4</v>
      </c>
      <c r="AA266">
        <f>J266/G266</f>
        <v>4.366022296862717E-4</v>
      </c>
      <c r="AB266">
        <f>C266/G266</f>
        <v>2.8394219431144143E-2</v>
      </c>
      <c r="AC266">
        <f>C266/(G266-K266)</f>
        <v>2.8406621825571042E-2</v>
      </c>
      <c r="AD266">
        <f>Q266/E266</f>
        <v>3.8820379198136433E-2</v>
      </c>
      <c r="AE266">
        <f>Q266/J266</f>
        <v>4.1342710997442458</v>
      </c>
      <c r="AF266">
        <f>Q266/G266</f>
        <v>1.8050319802758522E-3</v>
      </c>
      <c r="AG266">
        <f>Q266/K266</f>
        <v>4.1342710997442458</v>
      </c>
      <c r="AH266" t="e">
        <f>Q266/L266</f>
        <v>#DIV/0!</v>
      </c>
      <c r="AI266" s="1">
        <f>R266</f>
        <v>67.5</v>
      </c>
      <c r="AJ266" s="1">
        <f>P266</f>
        <v>406938</v>
      </c>
    </row>
    <row r="267" spans="1:36" x14ac:dyDescent="0.25">
      <c r="A267" s="15" t="s">
        <v>69</v>
      </c>
      <c r="B267" s="15">
        <v>2024</v>
      </c>
      <c r="C267" s="6">
        <v>70276</v>
      </c>
      <c r="D267" s="6">
        <v>49666</v>
      </c>
      <c r="E267" s="6">
        <v>50486</v>
      </c>
      <c r="F267" s="6"/>
      <c r="G267" s="6">
        <v>2056023</v>
      </c>
      <c r="H267" s="6">
        <v>455403</v>
      </c>
      <c r="I267" s="6">
        <v>0</v>
      </c>
      <c r="J267" s="6">
        <v>794</v>
      </c>
      <c r="K267" s="6">
        <v>794</v>
      </c>
      <c r="L267" s="6">
        <v>0</v>
      </c>
      <c r="M267" s="6">
        <v>0</v>
      </c>
      <c r="N267" s="6">
        <v>2055229</v>
      </c>
      <c r="O267" s="6">
        <v>2055229</v>
      </c>
      <c r="P267" s="6">
        <v>447092</v>
      </c>
      <c r="Q267" s="6">
        <v>56824</v>
      </c>
      <c r="R267" s="6">
        <v>65</v>
      </c>
      <c r="S267" s="15"/>
      <c r="T267" s="15">
        <f>E267/G267</f>
        <v>2.4555172777736434E-2</v>
      </c>
      <c r="U267" s="15">
        <f>D267/C267</f>
        <v>0.70672775912117936</v>
      </c>
      <c r="V267" s="15">
        <f>(E267-F267)/O267</f>
        <v>2.4564659218023879E-2</v>
      </c>
      <c r="W267" s="15">
        <f>H267/K267</f>
        <v>573.55541561712846</v>
      </c>
      <c r="X267" s="15">
        <f>(H267-I267)/K267</f>
        <v>573.55541561712846</v>
      </c>
      <c r="Y267" s="15">
        <f>(H267-K267)/G267</f>
        <v>0.22111085333189365</v>
      </c>
      <c r="Z267" s="15">
        <f>J267/N267</f>
        <v>3.8633164479481364E-4</v>
      </c>
      <c r="AA267" s="15">
        <f>J267/G267</f>
        <v>3.861824502936008E-4</v>
      </c>
      <c r="AB267" s="15">
        <f>C267/G267</f>
        <v>3.4180551482157547E-2</v>
      </c>
      <c r="AC267" s="15">
        <f>C267/(G267-K267)</f>
        <v>3.419375651083164E-2</v>
      </c>
      <c r="AD267" s="15">
        <f>Q267/E267</f>
        <v>1.125539753595056</v>
      </c>
      <c r="AE267" s="15">
        <f>Q267/J267</f>
        <v>71.566750629722918</v>
      </c>
      <c r="AF267" s="15">
        <f>Q267/G267</f>
        <v>2.7637823117737496E-2</v>
      </c>
      <c r="AG267" s="15">
        <f>Q267/K267</f>
        <v>71.566750629722918</v>
      </c>
      <c r="AH267" s="15" t="e">
        <f>Q267/L267</f>
        <v>#DIV/0!</v>
      </c>
      <c r="AI267" s="6">
        <f>R267</f>
        <v>65</v>
      </c>
      <c r="AJ267" s="6">
        <f>P267</f>
        <v>447092</v>
      </c>
    </row>
    <row r="268" spans="1:36" s="2" customFormat="1" x14ac:dyDescent="0.25">
      <c r="A268" s="2" t="s">
        <v>203</v>
      </c>
      <c r="B268" s="2">
        <v>2018</v>
      </c>
      <c r="C268" s="3">
        <v>43293386</v>
      </c>
      <c r="D268" s="3">
        <v>-155716</v>
      </c>
      <c r="E268" s="3">
        <v>-308277</v>
      </c>
      <c r="F268" s="3"/>
      <c r="G268" s="3">
        <v>44602650</v>
      </c>
      <c r="H268" s="3">
        <v>19512494</v>
      </c>
      <c r="I268" s="3">
        <v>7485684</v>
      </c>
      <c r="J268" s="3">
        <v>36316429</v>
      </c>
      <c r="K268" s="3">
        <v>24671381</v>
      </c>
      <c r="L268" s="3">
        <v>19597402</v>
      </c>
      <c r="M268" s="3">
        <v>7055392</v>
      </c>
      <c r="N268" s="3">
        <v>8286221</v>
      </c>
      <c r="O268" s="3">
        <v>8286221</v>
      </c>
      <c r="P268" s="3">
        <v>3647788</v>
      </c>
      <c r="Q268" s="3">
        <v>-484935</v>
      </c>
      <c r="R268" s="3">
        <v>19.2</v>
      </c>
      <c r="T268" s="2">
        <f>E268/G268</f>
        <v>-6.9116296901641497E-3</v>
      </c>
      <c r="U268" s="2">
        <f>D268/C268</f>
        <v>-3.5967618702773675E-3</v>
      </c>
      <c r="V268" s="2">
        <f>(E268-F268)/O268</f>
        <v>-3.7203569636870652E-2</v>
      </c>
      <c r="W268" s="2">
        <f>H268/K268</f>
        <v>0.79089589674773375</v>
      </c>
      <c r="X268" s="2">
        <f>(H268-I268)/K268</f>
        <v>0.487480210370064</v>
      </c>
      <c r="Y268" s="2">
        <f>(H268-K268)/G268</f>
        <v>-0.11566323974023965</v>
      </c>
      <c r="Z268" s="2">
        <f>J268/N268</f>
        <v>4.3827492653164812</v>
      </c>
      <c r="AA268" s="2">
        <f>J268/G268</f>
        <v>0.81422132989855989</v>
      </c>
      <c r="AB268" s="2">
        <f>C268/G268</f>
        <v>0.97064604905762331</v>
      </c>
      <c r="AC268" s="2">
        <f>C268/(G268-K268)</f>
        <v>2.1721339469152716</v>
      </c>
      <c r="AD268" s="2">
        <f>Q268/E268</f>
        <v>1.5730495625687289</v>
      </c>
      <c r="AE268" s="2">
        <f>Q268/J268</f>
        <v>-1.3353047459594664E-2</v>
      </c>
      <c r="AF268" s="2">
        <f>Q268/G268</f>
        <v>-1.0872336060749754E-2</v>
      </c>
      <c r="AG268" s="2">
        <f>Q268/K268</f>
        <v>-1.9655770384316953E-2</v>
      </c>
      <c r="AH268" s="2">
        <f>Q268/L268</f>
        <v>-2.4744861589306583E-2</v>
      </c>
      <c r="AI268" s="3">
        <f>R268</f>
        <v>19.2</v>
      </c>
      <c r="AJ268" s="3">
        <f>P268</f>
        <v>3647788</v>
      </c>
    </row>
    <row r="269" spans="1:36" x14ac:dyDescent="0.25">
      <c r="A269" t="s">
        <v>203</v>
      </c>
      <c r="B269">
        <v>2019</v>
      </c>
      <c r="C269" s="1">
        <v>41689356</v>
      </c>
      <c r="D269" s="1">
        <v>-3360071</v>
      </c>
      <c r="E269" s="1">
        <v>-3164621</v>
      </c>
      <c r="G269" s="1">
        <v>48741190</v>
      </c>
      <c r="H269" s="1">
        <v>16999784</v>
      </c>
      <c r="I269" s="1">
        <v>6990030</v>
      </c>
      <c r="J269" s="1">
        <v>38991710</v>
      </c>
      <c r="K269" s="1">
        <v>25292317</v>
      </c>
      <c r="L269" s="1">
        <v>18550081</v>
      </c>
      <c r="M269" s="1">
        <v>7700093</v>
      </c>
      <c r="N269" s="1">
        <v>9749480</v>
      </c>
      <c r="O269" s="1">
        <v>9749480</v>
      </c>
      <c r="P269" s="1">
        <v>1343022</v>
      </c>
      <c r="Q269" s="1">
        <v>1684826</v>
      </c>
      <c r="R269" s="1">
        <v>13.5</v>
      </c>
      <c r="T269">
        <f>E269/G269</f>
        <v>-6.4927036044872932E-2</v>
      </c>
      <c r="U269">
        <f>D269/C269</f>
        <v>-8.0597814943459425E-2</v>
      </c>
      <c r="V269">
        <f>(E269-F269)/O269</f>
        <v>-0.32459382449115237</v>
      </c>
      <c r="W269">
        <f>H269/K269</f>
        <v>0.67213233172745701</v>
      </c>
      <c r="X269">
        <f>(H269-I269)/K269</f>
        <v>0.39576263416277757</v>
      </c>
      <c r="Y269">
        <f>(H269-K269)/G269</f>
        <v>-0.17013398729083143</v>
      </c>
      <c r="Z269">
        <f>J269/N269</f>
        <v>3.9993630429520342</v>
      </c>
      <c r="AA269">
        <f>J269/G269</f>
        <v>0.79997451847195356</v>
      </c>
      <c r="AB269">
        <f>C269/G269</f>
        <v>0.85532084875235914</v>
      </c>
      <c r="AC269">
        <f>C269/(G269-K269)</f>
        <v>1.7778831417612266</v>
      </c>
      <c r="AD269">
        <f>Q269/E269</f>
        <v>-0.53239424247010936</v>
      </c>
      <c r="AE269">
        <f>Q269/J269</f>
        <v>4.3209851529979068E-2</v>
      </c>
      <c r="AF269">
        <f>Q269/G269</f>
        <v>3.4566780170939608E-2</v>
      </c>
      <c r="AG269">
        <f>Q269/K269</f>
        <v>6.6614142152338199E-2</v>
      </c>
      <c r="AH269">
        <f>Q269/L269</f>
        <v>9.0825802863071056E-2</v>
      </c>
      <c r="AI269" s="1">
        <f>R269</f>
        <v>13.5</v>
      </c>
      <c r="AJ269" s="1">
        <f>P269</f>
        <v>1343022</v>
      </c>
    </row>
    <row r="270" spans="1:36" x14ac:dyDescent="0.25">
      <c r="A270" t="s">
        <v>203</v>
      </c>
      <c r="B270">
        <v>2020</v>
      </c>
      <c r="C270" s="1">
        <v>36230793</v>
      </c>
      <c r="D270" s="1">
        <v>-3708626</v>
      </c>
      <c r="E270" s="1">
        <v>-3706249</v>
      </c>
      <c r="G270" s="1">
        <v>46609277</v>
      </c>
      <c r="H270" s="1">
        <v>15300504</v>
      </c>
      <c r="I270" s="1">
        <v>6536676</v>
      </c>
      <c r="J270" s="1">
        <v>40651197</v>
      </c>
      <c r="K270" s="1">
        <v>25332555</v>
      </c>
      <c r="L270" s="1">
        <v>20173097</v>
      </c>
      <c r="M270" s="1">
        <v>9052878</v>
      </c>
      <c r="N270" s="1">
        <v>5958080</v>
      </c>
      <c r="O270" s="1">
        <v>5958080</v>
      </c>
      <c r="P270" s="1">
        <v>-1539898</v>
      </c>
      <c r="Q270" s="1">
        <v>-1941991</v>
      </c>
      <c r="R270" s="1">
        <v>7.1</v>
      </c>
      <c r="T270">
        <f>E270/G270</f>
        <v>-7.9517410235734831E-2</v>
      </c>
      <c r="U270">
        <f>D270/C270</f>
        <v>-0.10236116002208398</v>
      </c>
      <c r="V270">
        <f>(E270-F270)/O270</f>
        <v>-0.6220542523766045</v>
      </c>
      <c r="W270">
        <f>H270/K270</f>
        <v>0.60398581982749078</v>
      </c>
      <c r="X270">
        <f>(H270-I270)/K270</f>
        <v>0.34595120784303046</v>
      </c>
      <c r="Y270">
        <f>(H270-K270)/G270</f>
        <v>-0.21523721554402142</v>
      </c>
      <c r="Z270">
        <f>J270/N270</f>
        <v>6.8228686086793058</v>
      </c>
      <c r="AA270">
        <f>J270/G270</f>
        <v>0.87216965412271896</v>
      </c>
      <c r="AB270">
        <f>C270/G270</f>
        <v>0.77733007958909128</v>
      </c>
      <c r="AC270">
        <f>C270/(G270-K270)</f>
        <v>1.7028371663642548</v>
      </c>
      <c r="AD270">
        <f>Q270/E270</f>
        <v>0.52397747695850982</v>
      </c>
      <c r="AE270">
        <f>Q270/J270</f>
        <v>-4.7772049615168774E-2</v>
      </c>
      <c r="AF270">
        <f>Q270/G270</f>
        <v>-4.1665331989595121E-2</v>
      </c>
      <c r="AG270">
        <f>Q270/K270</f>
        <v>-7.6659894748082061E-2</v>
      </c>
      <c r="AH270">
        <f>Q270/L270</f>
        <v>-9.6266378930314964E-2</v>
      </c>
      <c r="AI270" s="1">
        <f>R270</f>
        <v>7.1</v>
      </c>
      <c r="AJ270" s="1">
        <f>P270</f>
        <v>-1539898</v>
      </c>
    </row>
    <row r="271" spans="1:36" x14ac:dyDescent="0.25">
      <c r="A271" t="s">
        <v>203</v>
      </c>
      <c r="B271">
        <v>2021</v>
      </c>
      <c r="C271" s="1">
        <v>43231519</v>
      </c>
      <c r="D271" s="1">
        <v>493199</v>
      </c>
      <c r="E271" s="1">
        <v>-54672</v>
      </c>
      <c r="G271" s="1">
        <v>49895348</v>
      </c>
      <c r="H271" s="1">
        <v>18871185</v>
      </c>
      <c r="I271" s="1">
        <v>7919221</v>
      </c>
      <c r="J271" s="1">
        <v>43371995</v>
      </c>
      <c r="K271" s="1">
        <v>27861510</v>
      </c>
      <c r="L271" s="1">
        <v>20368666</v>
      </c>
      <c r="M271" s="1">
        <v>9318695</v>
      </c>
      <c r="N271" s="1">
        <v>6523353</v>
      </c>
      <c r="O271" s="1">
        <v>6523353</v>
      </c>
      <c r="P271" s="1">
        <v>-1741206</v>
      </c>
      <c r="Q271" s="1">
        <v>1527870</v>
      </c>
      <c r="R271" s="1">
        <v>12.9</v>
      </c>
      <c r="T271">
        <f>E271/G271</f>
        <v>-1.095733413864555E-3</v>
      </c>
      <c r="U271">
        <f>D271/C271</f>
        <v>1.1408319934351601E-2</v>
      </c>
      <c r="V271">
        <f>(E271-F271)/O271</f>
        <v>-8.3809660461422221E-3</v>
      </c>
      <c r="W271">
        <f>H271/K271</f>
        <v>0.67732097075858411</v>
      </c>
      <c r="X271">
        <f>(H271-I271)/K271</f>
        <v>0.39308580188223824</v>
      </c>
      <c r="Y271">
        <f>(H271-K271)/G271</f>
        <v>-0.1801836315481756</v>
      </c>
      <c r="Z271">
        <f>J271/N271</f>
        <v>6.6487272726157851</v>
      </c>
      <c r="AA271">
        <f>J271/G271</f>
        <v>0.8692592944737052</v>
      </c>
      <c r="AB271">
        <f>C271/G271</f>
        <v>0.86644388170215791</v>
      </c>
      <c r="AC271">
        <f>C271/(G271-K271)</f>
        <v>1.962051232290988</v>
      </c>
      <c r="AD271">
        <f>Q271/E271</f>
        <v>-27.946115013169447</v>
      </c>
      <c r="AE271">
        <f>Q271/J271</f>
        <v>3.5227109105772057E-2</v>
      </c>
      <c r="AF271">
        <f>Q271/G271</f>
        <v>3.0621492007631652E-2</v>
      </c>
      <c r="AG271">
        <f>Q271/K271</f>
        <v>5.4838018470642833E-2</v>
      </c>
      <c r="AH271">
        <f>Q271/L271</f>
        <v>7.501080335845263E-2</v>
      </c>
      <c r="AI271" s="1">
        <f>R271</f>
        <v>12.9</v>
      </c>
      <c r="AJ271" s="1">
        <f>P271</f>
        <v>-1741206</v>
      </c>
    </row>
    <row r="272" spans="1:36" x14ac:dyDescent="0.25">
      <c r="A272" t="s">
        <v>203</v>
      </c>
      <c r="B272">
        <v>2022</v>
      </c>
      <c r="C272" s="1">
        <v>51556263</v>
      </c>
      <c r="D272" s="1">
        <v>403895</v>
      </c>
      <c r="E272" s="1">
        <v>-148300</v>
      </c>
      <c r="G272" s="1">
        <v>55778697</v>
      </c>
      <c r="H272" s="1">
        <v>22678911</v>
      </c>
      <c r="I272" s="1">
        <v>9146007</v>
      </c>
      <c r="J272" s="1">
        <v>47220426</v>
      </c>
      <c r="K272" s="1">
        <v>31384802</v>
      </c>
      <c r="L272" s="1">
        <v>25692108</v>
      </c>
      <c r="M272" s="1">
        <v>10217894</v>
      </c>
      <c r="N272" s="1">
        <v>8558271</v>
      </c>
      <c r="O272" s="1">
        <v>8558271</v>
      </c>
      <c r="P272" s="1">
        <v>-2113609</v>
      </c>
      <c r="Q272" s="1">
        <v>-1346915</v>
      </c>
      <c r="R272" s="1">
        <v>13.2</v>
      </c>
      <c r="T272">
        <f>E272/G272</f>
        <v>-2.658721124303065E-3</v>
      </c>
      <c r="U272">
        <f>D272/C272</f>
        <v>7.8340627597465705E-3</v>
      </c>
      <c r="V272">
        <f>(E272-F272)/O272</f>
        <v>-1.7328266422037816E-2</v>
      </c>
      <c r="W272">
        <f>H272/K272</f>
        <v>0.72260806360989627</v>
      </c>
      <c r="X272">
        <f>(H272-I272)/K272</f>
        <v>0.4311929066813931</v>
      </c>
      <c r="Y272">
        <f>(H272-K272)/G272</f>
        <v>-0.15607913895873185</v>
      </c>
      <c r="Z272">
        <f>J272/N272</f>
        <v>5.5175193681060115</v>
      </c>
      <c r="AA272">
        <f>J272/G272</f>
        <v>0.84656739113142065</v>
      </c>
      <c r="AB272">
        <f>C272/G272</f>
        <v>0.92430023956995622</v>
      </c>
      <c r="AC272">
        <f>C272/(G272-K272)</f>
        <v>2.113490404053965</v>
      </c>
      <c r="AD272">
        <f>Q272/E272</f>
        <v>9.0823668240053941</v>
      </c>
      <c r="AE272">
        <f>Q272/J272</f>
        <v>-2.852399086785028E-2</v>
      </c>
      <c r="AF272">
        <f>Q272/G272</f>
        <v>-2.4147480533652479E-2</v>
      </c>
      <c r="AG272">
        <f>Q272/K272</f>
        <v>-4.2916154130907054E-2</v>
      </c>
      <c r="AH272">
        <f>Q272/L272</f>
        <v>-5.2425242802186571E-2</v>
      </c>
      <c r="AI272" s="1">
        <f>R272</f>
        <v>13.2</v>
      </c>
      <c r="AJ272" s="1">
        <f>P272</f>
        <v>-2113609</v>
      </c>
    </row>
    <row r="273" spans="1:36" x14ac:dyDescent="0.25">
      <c r="A273" t="s">
        <v>203</v>
      </c>
      <c r="B273">
        <v>2023</v>
      </c>
      <c r="C273" s="1">
        <v>77080849</v>
      </c>
      <c r="D273" s="1">
        <v>6845840</v>
      </c>
      <c r="E273" s="1">
        <v>4586021</v>
      </c>
      <c r="G273" s="1">
        <v>63789211</v>
      </c>
      <c r="H273" s="1">
        <v>28564723</v>
      </c>
      <c r="I273" s="1">
        <v>13634248</v>
      </c>
      <c r="J273" s="1">
        <v>52150929</v>
      </c>
      <c r="K273" s="1">
        <v>31416805</v>
      </c>
      <c r="L273" s="1">
        <v>27415313</v>
      </c>
      <c r="M273" s="1">
        <v>12301269</v>
      </c>
      <c r="N273" s="1">
        <v>11638282</v>
      </c>
      <c r="O273" s="1">
        <v>11638282</v>
      </c>
      <c r="P273" s="1">
        <v>293785</v>
      </c>
      <c r="Q273" s="1">
        <v>786743</v>
      </c>
      <c r="R273" s="1">
        <v>26.1</v>
      </c>
      <c r="T273">
        <f>E273/G273</f>
        <v>7.1893364537774271E-2</v>
      </c>
      <c r="U273">
        <f>D273/C273</f>
        <v>8.8813759692761035E-2</v>
      </c>
      <c r="V273">
        <f>(E273-F273)/O273</f>
        <v>0.39404621747436608</v>
      </c>
      <c r="W273">
        <f>H273/K273</f>
        <v>0.90921794880160478</v>
      </c>
      <c r="X273">
        <f>(H273-I273)/K273</f>
        <v>0.47523849099232085</v>
      </c>
      <c r="Y273">
        <f>(H273-K273)/G273</f>
        <v>-4.4711040555118327E-2</v>
      </c>
      <c r="Z273">
        <f>J273/N273</f>
        <v>4.4809817290902556</v>
      </c>
      <c r="AA273">
        <f>J273/G273</f>
        <v>0.81755093349563457</v>
      </c>
      <c r="AB273">
        <f>C273/G273</f>
        <v>1.2083681204334069</v>
      </c>
      <c r="AC273">
        <f>C273/(G273-K273)</f>
        <v>2.3810664242874009</v>
      </c>
      <c r="AD273">
        <f>Q273/E273</f>
        <v>0.17155241984282235</v>
      </c>
      <c r="AE273">
        <f>Q273/J273</f>
        <v>1.5085886581234248E-2</v>
      </c>
      <c r="AF273">
        <f>Q273/G273</f>
        <v>1.2333480657097327E-2</v>
      </c>
      <c r="AG273">
        <f>Q273/K273</f>
        <v>2.5042107241649812E-2</v>
      </c>
      <c r="AH273">
        <f>Q273/L273</f>
        <v>2.8697210205114201E-2</v>
      </c>
      <c r="AI273" s="1">
        <f>R273</f>
        <v>26.1</v>
      </c>
      <c r="AJ273" s="1">
        <f>P273</f>
        <v>293785</v>
      </c>
    </row>
    <row r="274" spans="1:36" x14ac:dyDescent="0.25">
      <c r="A274" t="s">
        <v>203</v>
      </c>
      <c r="B274">
        <v>2024</v>
      </c>
      <c r="C274" s="1">
        <v>75895448</v>
      </c>
      <c r="D274" s="1">
        <v>1412383</v>
      </c>
      <c r="E274" s="1">
        <v>60831</v>
      </c>
      <c r="G274" s="1">
        <v>68595346</v>
      </c>
      <c r="H274" s="1">
        <v>32084844</v>
      </c>
      <c r="I274" s="1">
        <v>13184177</v>
      </c>
      <c r="J274" s="1">
        <v>56796537</v>
      </c>
      <c r="K274" s="1">
        <v>35661933</v>
      </c>
      <c r="L274" s="1">
        <v>29010409</v>
      </c>
      <c r="M274" s="1">
        <v>11072679</v>
      </c>
      <c r="N274" s="1">
        <v>11798809</v>
      </c>
      <c r="O274" s="1">
        <v>11798809</v>
      </c>
      <c r="P274" s="1">
        <v>1545159</v>
      </c>
      <c r="Q274" s="1">
        <v>1433448</v>
      </c>
      <c r="R274" s="1">
        <v>30</v>
      </c>
      <c r="T274">
        <f>E274/G274</f>
        <v>8.8680943456426328E-4</v>
      </c>
      <c r="U274">
        <f>D274/C274</f>
        <v>1.8609587758148551E-2</v>
      </c>
      <c r="V274">
        <f>(E274-F274)/O274</f>
        <v>5.1556898666636607E-3</v>
      </c>
      <c r="W274">
        <f>H274/K274</f>
        <v>0.8996944725346212</v>
      </c>
      <c r="X274">
        <f>(H274-I274)/K274</f>
        <v>0.52999558380640777</v>
      </c>
      <c r="Y274">
        <f>(H274-K274)/G274</f>
        <v>-5.2147692352189606E-2</v>
      </c>
      <c r="Z274">
        <f>J274/N274</f>
        <v>4.8137517100242917</v>
      </c>
      <c r="AA274">
        <f>J274/G274</f>
        <v>0.82799403038217778</v>
      </c>
      <c r="AB274">
        <f>C274/G274</f>
        <v>1.1064227010386389</v>
      </c>
      <c r="AC274">
        <f>C274/(G274-K274)</f>
        <v>2.3045120771418377</v>
      </c>
      <c r="AD274">
        <f>Q274/E274</f>
        <v>23.56443260837402</v>
      </c>
      <c r="AE274">
        <f>Q274/J274</f>
        <v>2.5238299299832311E-2</v>
      </c>
      <c r="AF274">
        <f>Q274/G274</f>
        <v>2.0897161157259852E-2</v>
      </c>
      <c r="AG274">
        <f>Q274/K274</f>
        <v>4.0195465568285377E-2</v>
      </c>
      <c r="AH274">
        <f>Q274/L274</f>
        <v>4.9411506056326195E-2</v>
      </c>
      <c r="AI274" s="1">
        <f>R274</f>
        <v>30</v>
      </c>
      <c r="AJ274" s="1">
        <f>P274</f>
        <v>1545159</v>
      </c>
    </row>
    <row r="275" spans="1:36" s="2" customFormat="1" x14ac:dyDescent="0.25">
      <c r="A275" s="2" t="s">
        <v>59</v>
      </c>
      <c r="B275" s="2">
        <v>2018</v>
      </c>
      <c r="C275" s="3">
        <v>5733000</v>
      </c>
      <c r="D275" s="3">
        <f>603001+121724-64451</f>
        <v>660274</v>
      </c>
      <c r="E275" s="3">
        <v>487873</v>
      </c>
      <c r="F275" s="3"/>
      <c r="G275" s="3">
        <v>8093000</v>
      </c>
      <c r="H275" s="3">
        <v>1500151</v>
      </c>
      <c r="I275" s="3">
        <v>305000</v>
      </c>
      <c r="J275" s="3">
        <f>1167674+K275</f>
        <v>2522465</v>
      </c>
      <c r="K275" s="3">
        <v>1354791</v>
      </c>
      <c r="L275" s="3">
        <f>424164+M275</f>
        <v>708224</v>
      </c>
      <c r="M275" s="3">
        <v>284060</v>
      </c>
      <c r="N275" s="3">
        <v>5009252</v>
      </c>
      <c r="O275" s="3">
        <v>5570439</v>
      </c>
      <c r="P275" s="3">
        <v>2102179</v>
      </c>
      <c r="Q275" s="3">
        <v>910869</v>
      </c>
      <c r="R275" s="3">
        <v>72.5</v>
      </c>
      <c r="T275" s="2">
        <f>E275/G275</f>
        <v>6.0283331273940442E-2</v>
      </c>
      <c r="U275" s="2">
        <f>D275/C275</f>
        <v>0.11517076574219431</v>
      </c>
      <c r="V275" s="2">
        <f>(E275-F275)/O275</f>
        <v>8.7582504718209817E-2</v>
      </c>
      <c r="W275" s="2">
        <f>H275/K275</f>
        <v>1.1072933020665181</v>
      </c>
      <c r="X275" s="2">
        <f>(H275-I275)/K275</f>
        <v>0.88216632676184004</v>
      </c>
      <c r="Y275" s="2">
        <f>(H275-K275)/G275</f>
        <v>1.7961201037934017E-2</v>
      </c>
      <c r="Z275" s="2">
        <f>J275/N275</f>
        <v>0.50356121033639356</v>
      </c>
      <c r="AA275" s="2">
        <f>J275/G275</f>
        <v>0.31168478932410726</v>
      </c>
      <c r="AB275" s="2">
        <f>C275/G275</f>
        <v>0.70838996663783516</v>
      </c>
      <c r="AC275" s="2">
        <f>C275/(G275-K275)</f>
        <v>0.85081955754118044</v>
      </c>
      <c r="AD275" s="2">
        <f>Q275/E275</f>
        <v>1.8670207205563742</v>
      </c>
      <c r="AE275" s="2">
        <f>Q275/J275</f>
        <v>0.36110273086048766</v>
      </c>
      <c r="AF275" s="2">
        <f>Q275/G275</f>
        <v>0.11255022859261089</v>
      </c>
      <c r="AG275" s="2">
        <f>Q275/K275</f>
        <v>0.67233174711080901</v>
      </c>
      <c r="AH275" s="2">
        <f>Q275/L275</f>
        <v>1.2861312240195193</v>
      </c>
      <c r="AI275" s="3">
        <f>R275</f>
        <v>72.5</v>
      </c>
      <c r="AJ275" s="3">
        <f>P275</f>
        <v>2102179</v>
      </c>
    </row>
    <row r="276" spans="1:36" x14ac:dyDescent="0.25">
      <c r="A276" t="s">
        <v>59</v>
      </c>
      <c r="B276">
        <v>2019</v>
      </c>
      <c r="C276" s="1">
        <v>5806000</v>
      </c>
      <c r="D276" s="1">
        <f>549261+135809-61461</f>
        <v>623609</v>
      </c>
      <c r="E276" s="1">
        <v>376000</v>
      </c>
      <c r="G276" s="1">
        <v>8797000</v>
      </c>
      <c r="H276" s="1">
        <v>1756372</v>
      </c>
      <c r="I276" s="1">
        <v>309297</v>
      </c>
      <c r="J276" s="1">
        <f>1556954+K276</f>
        <v>3089415</v>
      </c>
      <c r="K276" s="1">
        <v>1532461</v>
      </c>
      <c r="L276" s="1">
        <f>222367+M276</f>
        <v>814944</v>
      </c>
      <c r="M276" s="1">
        <v>592577</v>
      </c>
      <c r="N276" s="1">
        <v>5143061</v>
      </c>
      <c r="O276" s="1">
        <v>5707805</v>
      </c>
      <c r="P276" s="1">
        <v>2169903</v>
      </c>
      <c r="Q276" s="1">
        <v>853618</v>
      </c>
      <c r="R276" s="1">
        <v>72.3</v>
      </c>
      <c r="T276">
        <f>E276/G276</f>
        <v>4.2741843810389903E-2</v>
      </c>
      <c r="U276">
        <f>D276/C276</f>
        <v>0.10740768170857734</v>
      </c>
      <c r="V276">
        <f>(E276-F276)/O276</f>
        <v>6.5874710155655283E-2</v>
      </c>
      <c r="W276">
        <f>H276/K276</f>
        <v>1.1461120380877556</v>
      </c>
      <c r="X276">
        <f>(H276-I276)/K276</f>
        <v>0.94428177943843272</v>
      </c>
      <c r="Y276">
        <f>(H276-K276)/G276</f>
        <v>2.5453109014436738E-2</v>
      </c>
      <c r="Z276">
        <f>J276/N276</f>
        <v>0.60069577242035432</v>
      </c>
      <c r="AA276">
        <f>J276/G276</f>
        <v>0.35118961009435035</v>
      </c>
      <c r="AB276">
        <f>C276/G276</f>
        <v>0.65999772649766963</v>
      </c>
      <c r="AC276">
        <f>C276/(G276-K276)</f>
        <v>0.79922483725395377</v>
      </c>
      <c r="AD276">
        <f>Q276/E276</f>
        <v>2.2702606382978723</v>
      </c>
      <c r="AE276">
        <f>Q276/J276</f>
        <v>0.27630408993288375</v>
      </c>
      <c r="AF276">
        <f>Q276/G276</f>
        <v>9.7035125611003747E-2</v>
      </c>
      <c r="AG276">
        <f>Q276/K276</f>
        <v>0.55702428968828566</v>
      </c>
      <c r="AH276">
        <f>Q276/L276</f>
        <v>1.0474560215180431</v>
      </c>
      <c r="AI276" s="1">
        <f>R276</f>
        <v>72.3</v>
      </c>
      <c r="AJ276" s="1">
        <f>P276</f>
        <v>2169903</v>
      </c>
    </row>
    <row r="277" spans="1:36" x14ac:dyDescent="0.25">
      <c r="A277" t="s">
        <v>59</v>
      </c>
      <c r="B277">
        <v>2020</v>
      </c>
      <c r="C277" s="1">
        <v>5976000</v>
      </c>
      <c r="D277" s="1">
        <f>575664+140725-70790</f>
        <v>645599</v>
      </c>
      <c r="E277" s="1">
        <v>467000</v>
      </c>
      <c r="G277" s="1">
        <v>9814000</v>
      </c>
      <c r="H277" s="1">
        <v>1846831</v>
      </c>
      <c r="I277" s="1">
        <v>379749</v>
      </c>
      <c r="J277" s="1">
        <f>1835289+K277</f>
        <v>3320489</v>
      </c>
      <c r="K277" s="1">
        <v>1485200</v>
      </c>
      <c r="L277" s="1">
        <f>344892+M277</f>
        <v>1005342</v>
      </c>
      <c r="M277" s="1">
        <v>660450</v>
      </c>
      <c r="N277" s="1">
        <v>5905826</v>
      </c>
      <c r="O277" s="1">
        <v>6493585</v>
      </c>
      <c r="P277" s="1">
        <v>2439752</v>
      </c>
      <c r="Q277" s="1">
        <v>638069</v>
      </c>
      <c r="R277" s="1">
        <v>80</v>
      </c>
      <c r="T277">
        <f>E277/G277</f>
        <v>4.7585082535153859E-2</v>
      </c>
      <c r="U277">
        <f>D277/C277</f>
        <v>0.10803196117804552</v>
      </c>
      <c r="V277">
        <f>(E277-F277)/O277</f>
        <v>7.1917130521891984E-2</v>
      </c>
      <c r="W277">
        <f>H277/K277</f>
        <v>1.2434897656881228</v>
      </c>
      <c r="X277">
        <f>(H277-I277)/K277</f>
        <v>0.98780096956638841</v>
      </c>
      <c r="Y277">
        <f>(H277-K277)/G277</f>
        <v>3.6848481760749952E-2</v>
      </c>
      <c r="Z277">
        <f>J277/N277</f>
        <v>0.5622395580228744</v>
      </c>
      <c r="AA277">
        <f>J277/G277</f>
        <v>0.338342062359894</v>
      </c>
      <c r="AB277">
        <f>C277/G277</f>
        <v>0.60892602404727936</v>
      </c>
      <c r="AC277">
        <f>C277/(G277-K277)</f>
        <v>0.71751032561713568</v>
      </c>
      <c r="AD277">
        <f>Q277/E277</f>
        <v>1.3663147751605995</v>
      </c>
      <c r="AE277">
        <f>Q277/J277</f>
        <v>0.19216115457693128</v>
      </c>
      <c r="AF277">
        <f>Q277/G277</f>
        <v>6.5016201345017316E-2</v>
      </c>
      <c r="AG277">
        <f>Q277/K277</f>
        <v>0.4296182332345812</v>
      </c>
      <c r="AH277">
        <f>Q277/L277</f>
        <v>0.63467854720085304</v>
      </c>
      <c r="AI277" s="1">
        <f>R277</f>
        <v>80</v>
      </c>
      <c r="AJ277" s="1">
        <f>P277</f>
        <v>2439752</v>
      </c>
    </row>
    <row r="278" spans="1:36" x14ac:dyDescent="0.25">
      <c r="A278" t="s">
        <v>59</v>
      </c>
      <c r="B278">
        <v>2021</v>
      </c>
      <c r="C278" s="1">
        <v>5546000</v>
      </c>
      <c r="D278" s="1">
        <f>696338+70785-50308</f>
        <v>716815</v>
      </c>
      <c r="E278" s="1">
        <v>600000</v>
      </c>
      <c r="G278" s="1">
        <v>10883000</v>
      </c>
      <c r="H278" s="1">
        <v>2691217</v>
      </c>
      <c r="I278" s="1">
        <v>536000</v>
      </c>
      <c r="J278" s="1">
        <f>1708719+K278</f>
        <v>3676206</v>
      </c>
      <c r="K278" s="1">
        <v>1967487</v>
      </c>
      <c r="L278" s="1">
        <f>829175+M278</f>
        <v>1652319</v>
      </c>
      <c r="M278" s="1">
        <v>823144</v>
      </c>
      <c r="N278" s="1">
        <v>6627903</v>
      </c>
      <c r="O278" s="1">
        <v>7220529</v>
      </c>
      <c r="P278" s="1">
        <v>2951438</v>
      </c>
      <c r="Q278" s="1">
        <v>1264510</v>
      </c>
      <c r="R278" s="1">
        <v>101.25</v>
      </c>
      <c r="T278">
        <f>E278/G278</f>
        <v>5.513185702471745E-2</v>
      </c>
      <c r="U278">
        <f>D278/C278</f>
        <v>0.12924900829426614</v>
      </c>
      <c r="V278">
        <f>(E278-F278)/O278</f>
        <v>8.3096404709405644E-2</v>
      </c>
      <c r="W278">
        <f>H278/K278</f>
        <v>1.3678448701312893</v>
      </c>
      <c r="X278">
        <f>(H278-I278)/K278</f>
        <v>1.0954161323556395</v>
      </c>
      <c r="Y278">
        <f>(H278-K278)/G278</f>
        <v>6.6500964807497939E-2</v>
      </c>
      <c r="Z278">
        <f>J278/N278</f>
        <v>0.5546559748988481</v>
      </c>
      <c r="AA278">
        <f>J278/G278</f>
        <v>0.33779343930901407</v>
      </c>
      <c r="AB278">
        <f>C278/G278</f>
        <v>0.50960213176513824</v>
      </c>
      <c r="AC278">
        <f>C278/(G278-K278)</f>
        <v>0.62206179274260498</v>
      </c>
      <c r="AD278">
        <f>Q278/E278</f>
        <v>2.1075166666666667</v>
      </c>
      <c r="AE278">
        <f>Q278/J278</f>
        <v>0.3439714749391084</v>
      </c>
      <c r="AF278">
        <f>Q278/G278</f>
        <v>0.11619130754387577</v>
      </c>
      <c r="AG278">
        <f>Q278/K278</f>
        <v>0.64270310299381905</v>
      </c>
      <c r="AH278">
        <f>Q278/L278</f>
        <v>0.76529411088294697</v>
      </c>
      <c r="AI278" s="1">
        <f>R278</f>
        <v>101.25</v>
      </c>
      <c r="AJ278" s="1">
        <f>P278</f>
        <v>2951438</v>
      </c>
    </row>
    <row r="279" spans="1:36" x14ac:dyDescent="0.25">
      <c r="A279" t="s">
        <v>59</v>
      </c>
      <c r="B279">
        <v>2022</v>
      </c>
      <c r="C279" s="1">
        <v>7840000</v>
      </c>
      <c r="D279" s="1">
        <f>1388910+80566-81821</f>
        <v>1387655</v>
      </c>
      <c r="E279" s="1">
        <v>1109000</v>
      </c>
      <c r="G279" s="1">
        <v>12802000</v>
      </c>
      <c r="H279" s="1">
        <v>3758833</v>
      </c>
      <c r="I279" s="1">
        <v>835000</v>
      </c>
      <c r="J279" s="1">
        <f>2587291+K279</f>
        <v>4520702</v>
      </c>
      <c r="K279" s="1">
        <v>1933411</v>
      </c>
      <c r="L279" s="1">
        <f>306059+M279</f>
        <v>2007559</v>
      </c>
      <c r="M279" s="1">
        <v>1701500</v>
      </c>
      <c r="N279" s="1">
        <v>7547845</v>
      </c>
      <c r="O279" s="1">
        <v>8282099</v>
      </c>
      <c r="P279" s="1">
        <v>3873949</v>
      </c>
      <c r="Q279" s="1">
        <v>1505233</v>
      </c>
      <c r="R279" s="1">
        <v>104.5</v>
      </c>
      <c r="T279">
        <f>E279/G279</f>
        <v>8.6627089517262931E-2</v>
      </c>
      <c r="U279">
        <f>D279/C279</f>
        <v>0.17699681122448979</v>
      </c>
      <c r="V279">
        <f>(E279-F279)/O279</f>
        <v>0.13390325326949123</v>
      </c>
      <c r="W279">
        <f>H279/K279</f>
        <v>1.9441458644850991</v>
      </c>
      <c r="X279">
        <f>(H279-I279)/K279</f>
        <v>1.5122666623909764</v>
      </c>
      <c r="Y279">
        <f>(H279-K279)/G279</f>
        <v>0.14258881424777378</v>
      </c>
      <c r="Z279">
        <f>J279/N279</f>
        <v>0.59893943238103065</v>
      </c>
      <c r="AA279">
        <f>J279/G279</f>
        <v>0.35312466802062176</v>
      </c>
      <c r="AB279">
        <f>C279/G279</f>
        <v>0.61240431182627719</v>
      </c>
      <c r="AC279">
        <f>C279/(G279-K279)</f>
        <v>0.72134478541786795</v>
      </c>
      <c r="AD279">
        <f>Q279/E279</f>
        <v>1.3572885482416592</v>
      </c>
      <c r="AE279">
        <f>Q279/J279</f>
        <v>0.33296443782403706</v>
      </c>
      <c r="AF279">
        <f>Q279/G279</f>
        <v>0.11757795656928605</v>
      </c>
      <c r="AG279">
        <f>Q279/K279</f>
        <v>0.77853751737214694</v>
      </c>
      <c r="AH279">
        <f>Q279/L279</f>
        <v>0.74978269629933669</v>
      </c>
      <c r="AI279" s="1">
        <f>R279</f>
        <v>104.5</v>
      </c>
      <c r="AJ279" s="1">
        <f>P279</f>
        <v>3873949</v>
      </c>
    </row>
    <row r="280" spans="1:36" x14ac:dyDescent="0.25">
      <c r="A280" t="s">
        <v>59</v>
      </c>
      <c r="B280">
        <v>2023</v>
      </c>
      <c r="C280" s="1">
        <v>7905000</v>
      </c>
      <c r="D280" s="1">
        <f>1060323-207246+87898</f>
        <v>940975</v>
      </c>
      <c r="E280" s="1">
        <v>652000</v>
      </c>
      <c r="G280" s="1">
        <v>14110000</v>
      </c>
      <c r="H280" s="1">
        <v>3252751</v>
      </c>
      <c r="I280" s="1">
        <v>1020000</v>
      </c>
      <c r="J280" s="1">
        <f>3643382+K280</f>
        <v>5609003</v>
      </c>
      <c r="K280" s="1">
        <v>1965621</v>
      </c>
      <c r="L280" s="1">
        <f>420952+M280</f>
        <v>2356803</v>
      </c>
      <c r="M280" s="1">
        <v>1935851</v>
      </c>
      <c r="N280" s="1">
        <v>7771849</v>
      </c>
      <c r="O280" s="1">
        <v>8501349</v>
      </c>
      <c r="P280" s="1">
        <v>4261863</v>
      </c>
      <c r="Q280" s="1">
        <v>108226</v>
      </c>
      <c r="R280" s="1">
        <v>132.25</v>
      </c>
      <c r="T280">
        <f>E280/G280</f>
        <v>4.6208362863217577E-2</v>
      </c>
      <c r="U280">
        <f>D280/C280</f>
        <v>0.11903542061986085</v>
      </c>
      <c r="V280">
        <f>(E280-F280)/O280</f>
        <v>7.6693710609927912E-2</v>
      </c>
      <c r="W280">
        <f>H280/K280</f>
        <v>1.6548210463766921</v>
      </c>
      <c r="X280">
        <f>(H280-I280)/K280</f>
        <v>1.1359010714679991</v>
      </c>
      <c r="Y280">
        <f>(H280-K280)/G280</f>
        <v>9.1221119773210485E-2</v>
      </c>
      <c r="Z280">
        <f>J280/N280</f>
        <v>0.72170766570477629</v>
      </c>
      <c r="AA280">
        <f>J280/G280</f>
        <v>0.39751970233876682</v>
      </c>
      <c r="AB280">
        <f>C280/G280</f>
        <v>0.56024096385542166</v>
      </c>
      <c r="AC280">
        <f>C280/(G280-K280)</f>
        <v>0.65091842077721718</v>
      </c>
      <c r="AD280">
        <f>Q280/E280</f>
        <v>0.16599079754601226</v>
      </c>
      <c r="AE280">
        <f>Q280/J280</f>
        <v>1.9295051188241475E-2</v>
      </c>
      <c r="AF280">
        <f>Q280/G280</f>
        <v>7.670163004961021E-3</v>
      </c>
      <c r="AG280">
        <f>Q280/K280</f>
        <v>5.5059444318106082E-2</v>
      </c>
      <c r="AH280">
        <f>Q280/L280</f>
        <v>4.592068153341624E-2</v>
      </c>
      <c r="AI280" s="1">
        <f>R280</f>
        <v>132.25</v>
      </c>
      <c r="AJ280" s="1">
        <f>P280</f>
        <v>4261863</v>
      </c>
    </row>
    <row r="281" spans="1:36" x14ac:dyDescent="0.25">
      <c r="A281" s="15" t="s">
        <v>59</v>
      </c>
      <c r="B281" s="15">
        <v>2024</v>
      </c>
      <c r="C281" s="6">
        <v>9153000</v>
      </c>
      <c r="D281" s="6">
        <f>658886+144668-99655</f>
        <v>703899</v>
      </c>
      <c r="E281" s="6">
        <v>454000</v>
      </c>
      <c r="F281" s="6"/>
      <c r="G281" s="6">
        <v>15043000</v>
      </c>
      <c r="H281" s="6">
        <v>2733861</v>
      </c>
      <c r="I281" s="6">
        <v>814000</v>
      </c>
      <c r="J281" s="6">
        <f>3885228+K281</f>
        <v>6206883</v>
      </c>
      <c r="K281" s="6">
        <v>2321655</v>
      </c>
      <c r="L281" s="6">
        <f>488625+M281</f>
        <v>2477676</v>
      </c>
      <c r="M281" s="6">
        <v>1989051</v>
      </c>
      <c r="N281" s="6">
        <v>8103124</v>
      </c>
      <c r="O281" s="6">
        <v>8836168</v>
      </c>
      <c r="P281" s="6">
        <v>4595642</v>
      </c>
      <c r="Q281" s="6">
        <v>1725433</v>
      </c>
      <c r="R281" s="6">
        <v>119.75</v>
      </c>
      <c r="S281" s="15"/>
      <c r="T281" s="15">
        <f>E281/G281</f>
        <v>3.0180150235990161E-2</v>
      </c>
      <c r="U281" s="15">
        <f>D281/C281</f>
        <v>7.6903638151425757E-2</v>
      </c>
      <c r="V281" s="15">
        <f>(E281-F281)/O281</f>
        <v>5.1379738366223913E-2</v>
      </c>
      <c r="W281" s="15">
        <f>H281/K281</f>
        <v>1.1775483437461638</v>
      </c>
      <c r="X281" s="15">
        <f>(H281-I281)/K281</f>
        <v>0.82693638805076553</v>
      </c>
      <c r="Y281" s="15">
        <f>(H281-K281)/G281</f>
        <v>2.7401848035631192E-2</v>
      </c>
      <c r="Z281" s="15">
        <f>J281/N281</f>
        <v>0.76598642696323049</v>
      </c>
      <c r="AA281" s="15">
        <f>J281/G281</f>
        <v>0.41260938642557998</v>
      </c>
      <c r="AB281" s="15">
        <f>C281/G281</f>
        <v>0.60845576015422453</v>
      </c>
      <c r="AC281" s="15">
        <f>C281/(G281-K281)</f>
        <v>0.71949939255636886</v>
      </c>
      <c r="AD281" s="15">
        <f>Q281/E281</f>
        <v>3.8005132158590307</v>
      </c>
      <c r="AE281" s="15">
        <f>Q281/J281</f>
        <v>0.27798703471613689</v>
      </c>
      <c r="AF281" s="15">
        <f>Q281/G281</f>
        <v>0.11470005982849166</v>
      </c>
      <c r="AG281" s="15">
        <f>Q281/K281</f>
        <v>0.7431909564513246</v>
      </c>
      <c r="AH281" s="15">
        <f>Q281/L281</f>
        <v>0.69639169931823208</v>
      </c>
      <c r="AI281" s="6">
        <f>R281</f>
        <v>119.75</v>
      </c>
      <c r="AJ281" s="6">
        <f>P281</f>
        <v>4595642</v>
      </c>
    </row>
    <row r="282" spans="1:36" s="2" customFormat="1" x14ac:dyDescent="0.25">
      <c r="A282" s="2" t="s">
        <v>64</v>
      </c>
      <c r="B282" s="2">
        <v>2018</v>
      </c>
      <c r="C282" s="3">
        <v>726180</v>
      </c>
      <c r="D282" s="3">
        <v>318790</v>
      </c>
      <c r="E282" s="3">
        <v>308460</v>
      </c>
      <c r="F282" s="3"/>
      <c r="G282" s="3">
        <v>2027060</v>
      </c>
      <c r="H282" s="3">
        <v>1557904</v>
      </c>
      <c r="I282" s="3">
        <v>81398</v>
      </c>
      <c r="J282" s="3">
        <v>105919</v>
      </c>
      <c r="K282" s="3">
        <v>94929</v>
      </c>
      <c r="L282" s="3">
        <v>0</v>
      </c>
      <c r="M282" s="3">
        <v>0</v>
      </c>
      <c r="N282" s="3">
        <v>1921141</v>
      </c>
      <c r="O282" s="3">
        <v>1921141</v>
      </c>
      <c r="P282" s="3">
        <v>1794891</v>
      </c>
      <c r="Q282" s="3">
        <v>68953</v>
      </c>
      <c r="R282" s="3">
        <v>64</v>
      </c>
      <c r="T282" s="2">
        <f>E282/G282</f>
        <v>0.15217112468303848</v>
      </c>
      <c r="U282" s="2">
        <f>D282/C282</f>
        <v>0.43899584125148033</v>
      </c>
      <c r="V282" s="2">
        <f>(E282-F282)/O282</f>
        <v>0.16056083337974672</v>
      </c>
      <c r="W282" s="2">
        <f>H282/K282</f>
        <v>16.411254727217184</v>
      </c>
      <c r="X282" s="2">
        <f>(H282-I282)/K282</f>
        <v>15.55379283464484</v>
      </c>
      <c r="Y282" s="2">
        <f>(H282-K282)/G282</f>
        <v>0.72172259331248212</v>
      </c>
      <c r="Z282" s="2">
        <f>J282/N282</f>
        <v>5.5133381672662234E-2</v>
      </c>
      <c r="AA282" s="2">
        <f>J282/G282</f>
        <v>5.2252523358953362E-2</v>
      </c>
      <c r="AB282" s="2">
        <f>C282/G282</f>
        <v>0.35824297258097937</v>
      </c>
      <c r="AC282" s="2">
        <f>C282/(G282-K282)</f>
        <v>0.37584408096552457</v>
      </c>
      <c r="AD282" s="2">
        <f>Q282/E282</f>
        <v>0.22353951890034365</v>
      </c>
      <c r="AE282" s="2">
        <f>Q282/J282</f>
        <v>0.65099746032345474</v>
      </c>
      <c r="AF282" s="2">
        <f>Q282/G282</f>
        <v>3.4016260002170631E-2</v>
      </c>
      <c r="AG282" s="2">
        <f>Q282/K282</f>
        <v>0.72636391408315693</v>
      </c>
      <c r="AH282" s="2" t="e">
        <f>Q282/L282</f>
        <v>#DIV/0!</v>
      </c>
      <c r="AI282" s="3">
        <f>R282</f>
        <v>64</v>
      </c>
      <c r="AJ282" s="3">
        <f>P282</f>
        <v>1794891</v>
      </c>
    </row>
    <row r="283" spans="1:36" x14ac:dyDescent="0.25">
      <c r="A283" t="s">
        <v>64</v>
      </c>
      <c r="B283">
        <v>2019</v>
      </c>
      <c r="C283" s="1">
        <v>460005</v>
      </c>
      <c r="D283" s="1">
        <v>90626</v>
      </c>
      <c r="E283" s="1">
        <v>142612</v>
      </c>
      <c r="G283" s="1">
        <v>1928385</v>
      </c>
      <c r="H283" s="1">
        <v>1553381</v>
      </c>
      <c r="I283" s="1">
        <v>72450</v>
      </c>
      <c r="J283" s="1">
        <v>143601</v>
      </c>
      <c r="K283" s="1">
        <v>142464</v>
      </c>
      <c r="L283" s="1">
        <v>32538</v>
      </c>
      <c r="M283" s="1">
        <v>0</v>
      </c>
      <c r="N283" s="1">
        <v>1784784</v>
      </c>
      <c r="O283" s="1">
        <v>1784784</v>
      </c>
      <c r="P283" s="1">
        <v>1658534</v>
      </c>
      <c r="Q283" s="1">
        <v>613456</v>
      </c>
      <c r="R283" s="1">
        <v>59</v>
      </c>
      <c r="T283">
        <f>E283/G283</f>
        <v>7.3954111860442803E-2</v>
      </c>
      <c r="U283">
        <f>D283/C283</f>
        <v>0.19701090205541244</v>
      </c>
      <c r="V283">
        <f>(E283-F283)/O283</f>
        <v>7.9904346968596759E-2</v>
      </c>
      <c r="W283">
        <f>H283/K283</f>
        <v>10.903673910601977</v>
      </c>
      <c r="X283">
        <f>(H283-I283)/K283</f>
        <v>10.395124382300089</v>
      </c>
      <c r="Y283">
        <f>(H283-K283)/G283</f>
        <v>0.73165731946680768</v>
      </c>
      <c r="Z283">
        <f>J283/N283</f>
        <v>8.0458475647473313E-2</v>
      </c>
      <c r="AA283">
        <f>J283/G283</f>
        <v>7.446697625214882E-2</v>
      </c>
      <c r="AB283">
        <f>C283/G283</f>
        <v>0.23854417038091461</v>
      </c>
      <c r="AC283">
        <f>C283/(G283-K283)</f>
        <v>0.25757298335144724</v>
      </c>
      <c r="AD283">
        <f>Q283/E283</f>
        <v>4.3015735001262163</v>
      </c>
      <c r="AE283">
        <f>Q283/J283</f>
        <v>4.2719479669361631</v>
      </c>
      <c r="AF283">
        <f>Q283/G283</f>
        <v>0.31811904780425071</v>
      </c>
      <c r="AG283">
        <f>Q283/K283</f>
        <v>4.3060422282120392</v>
      </c>
      <c r="AH283">
        <f>Q283/L283</f>
        <v>18.853525109103202</v>
      </c>
      <c r="AI283" s="1">
        <f>R283</f>
        <v>59</v>
      </c>
      <c r="AJ283" s="1">
        <f>P283</f>
        <v>1658534</v>
      </c>
    </row>
    <row r="284" spans="1:36" x14ac:dyDescent="0.25">
      <c r="A284" t="s">
        <v>64</v>
      </c>
      <c r="B284">
        <v>2020</v>
      </c>
      <c r="C284" s="1">
        <v>395850</v>
      </c>
      <c r="D284" s="1">
        <v>274356</v>
      </c>
      <c r="E284" s="1">
        <v>304049</v>
      </c>
      <c r="G284" s="1">
        <v>1841070</v>
      </c>
      <c r="H284" s="1">
        <v>1475101</v>
      </c>
      <c r="I284" s="1">
        <v>61864</v>
      </c>
      <c r="J284" s="1">
        <v>167955</v>
      </c>
      <c r="K284" s="1">
        <v>121726</v>
      </c>
      <c r="L284" s="1">
        <f>19307+M284</f>
        <v>64437</v>
      </c>
      <c r="M284" s="1">
        <v>45130</v>
      </c>
      <c r="N284" s="1">
        <v>1673115</v>
      </c>
      <c r="O284" s="1">
        <v>1673115</v>
      </c>
      <c r="P284" s="1">
        <v>1546865</v>
      </c>
      <c r="Q284" s="1">
        <v>48009</v>
      </c>
      <c r="R284" s="1">
        <v>40</v>
      </c>
      <c r="T284">
        <f>E284/G284</f>
        <v>0.16514798459591434</v>
      </c>
      <c r="U284">
        <f>D284/C284</f>
        <v>0.69308071239105717</v>
      </c>
      <c r="V284">
        <f>(E284-F284)/O284</f>
        <v>0.18172630094165673</v>
      </c>
      <c r="W284">
        <f>H284/K284</f>
        <v>12.118208106731512</v>
      </c>
      <c r="X284">
        <f>(H284-I284)/K284</f>
        <v>11.60998471978049</v>
      </c>
      <c r="Y284">
        <f>(H284-K284)/G284</f>
        <v>0.73510241327054371</v>
      </c>
      <c r="Z284">
        <f>J284/N284</f>
        <v>0.100384611936418</v>
      </c>
      <c r="AA284">
        <f>J284/G284</f>
        <v>9.1226840913164631E-2</v>
      </c>
      <c r="AB284">
        <f>C284/G284</f>
        <v>0.2150108360898825</v>
      </c>
      <c r="AC284">
        <f>C284/(G284-K284)</f>
        <v>0.23023315869308295</v>
      </c>
      <c r="AD284">
        <f>Q284/E284</f>
        <v>0.15789889129712645</v>
      </c>
      <c r="AE284">
        <f>Q284/J284</f>
        <v>0.28584442261319998</v>
      </c>
      <c r="AF284">
        <f>Q284/G284</f>
        <v>2.6076683667649789E-2</v>
      </c>
      <c r="AG284">
        <f>Q284/K284</f>
        <v>0.39440218194962456</v>
      </c>
      <c r="AH284">
        <f>Q284/L284</f>
        <v>0.74505330788211743</v>
      </c>
      <c r="AI284" s="1">
        <f>R284</f>
        <v>40</v>
      </c>
      <c r="AJ284" s="1">
        <f>P284</f>
        <v>1546865</v>
      </c>
    </row>
    <row r="285" spans="1:36" x14ac:dyDescent="0.25">
      <c r="A285" t="s">
        <v>64</v>
      </c>
      <c r="B285">
        <v>2021</v>
      </c>
      <c r="C285" s="1">
        <v>441401</v>
      </c>
      <c r="D285" s="1">
        <v>54661</v>
      </c>
      <c r="E285" s="1">
        <v>45132</v>
      </c>
      <c r="G285" s="1">
        <v>2542235</v>
      </c>
      <c r="H285" s="1">
        <v>2238105</v>
      </c>
      <c r="I285" s="1">
        <v>114092</v>
      </c>
      <c r="J285" s="1">
        <v>161446</v>
      </c>
      <c r="K285" s="1">
        <v>122558</v>
      </c>
      <c r="L285" s="1">
        <f>8241+M285</f>
        <v>45129</v>
      </c>
      <c r="M285" s="1">
        <v>36888</v>
      </c>
      <c r="N285" s="1">
        <v>2380789</v>
      </c>
      <c r="O285" s="1">
        <v>2380789</v>
      </c>
      <c r="P285" s="1">
        <v>2254539</v>
      </c>
      <c r="Q285" s="1">
        <v>76962</v>
      </c>
      <c r="R285" s="1">
        <v>76.900000000000006</v>
      </c>
      <c r="T285">
        <f>E285/G285</f>
        <v>1.7752882798010412E-2</v>
      </c>
      <c r="U285">
        <f>D285/C285</f>
        <v>0.12383524278377257</v>
      </c>
      <c r="V285">
        <f>(E285-F285)/O285</f>
        <v>1.895674081155449E-2</v>
      </c>
      <c r="W285">
        <f>H285/K285</f>
        <v>18.261598590055321</v>
      </c>
      <c r="X285">
        <f>(H285-I285)/K285</f>
        <v>17.330676088056268</v>
      </c>
      <c r="Y285">
        <f>(H285-K285)/G285</f>
        <v>0.8321602841594109</v>
      </c>
      <c r="Z285">
        <f>J285/N285</f>
        <v>6.7811973257604935E-2</v>
      </c>
      <c r="AA285">
        <f>J285/G285</f>
        <v>6.3505537450314384E-2</v>
      </c>
      <c r="AB285">
        <f>C285/G285</f>
        <v>0.17362714304539117</v>
      </c>
      <c r="AC285">
        <f>C285/(G285-K285)</f>
        <v>0.18242145542566218</v>
      </c>
      <c r="AD285">
        <f>Q285/E285</f>
        <v>1.7052645572985907</v>
      </c>
      <c r="AE285">
        <f>Q285/J285</f>
        <v>0.47670428502409473</v>
      </c>
      <c r="AF285">
        <f>Q285/G285</f>
        <v>3.0273361825322993E-2</v>
      </c>
      <c r="AG285">
        <f>Q285/K285</f>
        <v>0.62796390280520242</v>
      </c>
      <c r="AH285">
        <f>Q285/L285</f>
        <v>1.7053779166389682</v>
      </c>
      <c r="AI285" s="1">
        <f>R285</f>
        <v>76.900000000000006</v>
      </c>
      <c r="AJ285" s="1">
        <f>P285</f>
        <v>2254539</v>
      </c>
    </row>
    <row r="286" spans="1:36" x14ac:dyDescent="0.25">
      <c r="A286" t="s">
        <v>64</v>
      </c>
      <c r="B286">
        <v>2022</v>
      </c>
      <c r="C286" s="1">
        <v>639680</v>
      </c>
      <c r="D286" s="1">
        <v>138508</v>
      </c>
      <c r="E286" s="1">
        <v>99274</v>
      </c>
      <c r="G286" s="1">
        <v>2720329</v>
      </c>
      <c r="H286" s="1">
        <v>2458025</v>
      </c>
      <c r="I286" s="1">
        <v>156027</v>
      </c>
      <c r="J286" s="1">
        <v>265329</v>
      </c>
      <c r="K286" s="1">
        <v>262986</v>
      </c>
      <c r="L286" s="1">
        <v>132438</v>
      </c>
      <c r="M286" s="1">
        <v>0</v>
      </c>
      <c r="N286" s="1">
        <v>2455000</v>
      </c>
      <c r="O286" s="1">
        <v>2455000</v>
      </c>
      <c r="P286" s="1">
        <v>2328750</v>
      </c>
      <c r="Q286" s="1">
        <v>-92842</v>
      </c>
      <c r="R286" s="1">
        <v>74.8</v>
      </c>
      <c r="T286">
        <f>E286/G286</f>
        <v>3.6493380028665652E-2</v>
      </c>
      <c r="U286">
        <f>D286/C286</f>
        <v>0.21652701350675338</v>
      </c>
      <c r="V286">
        <f>(E286-F286)/O286</f>
        <v>4.0437474541751527E-2</v>
      </c>
      <c r="W286">
        <f>H286/K286</f>
        <v>9.3466001992501511</v>
      </c>
      <c r="X286">
        <f>(H286-I286)/K286</f>
        <v>8.7533100621325843</v>
      </c>
      <c r="Y286">
        <f>(H286-K286)/G286</f>
        <v>0.80690203280559081</v>
      </c>
      <c r="Z286">
        <f>J286/N286</f>
        <v>0.10807698574338086</v>
      </c>
      <c r="AA286">
        <f>J286/G286</f>
        <v>9.7535628962526225E-2</v>
      </c>
      <c r="AB286">
        <f>C286/G286</f>
        <v>0.23514802805101884</v>
      </c>
      <c r="AC286">
        <f>C286/(G286-K286)</f>
        <v>0.2603136802636018</v>
      </c>
      <c r="AD286">
        <f>Q286/E286</f>
        <v>-0.93520962185466483</v>
      </c>
      <c r="AE286">
        <f>Q286/J286</f>
        <v>-0.34991274983134146</v>
      </c>
      <c r="AF286">
        <f>Q286/G286</f>
        <v>-3.4128960136806982E-2</v>
      </c>
      <c r="AG286">
        <f>Q286/K286</f>
        <v>-0.35303019932619989</v>
      </c>
      <c r="AH286">
        <f>Q286/L286</f>
        <v>-0.70102236518219851</v>
      </c>
      <c r="AI286" s="1">
        <f>R286</f>
        <v>74.8</v>
      </c>
      <c r="AJ286" s="1">
        <f>P286</f>
        <v>2328750</v>
      </c>
    </row>
    <row r="287" spans="1:36" x14ac:dyDescent="0.25">
      <c r="A287" t="s">
        <v>64</v>
      </c>
      <c r="B287">
        <v>2023</v>
      </c>
      <c r="C287" s="1">
        <v>1063645</v>
      </c>
      <c r="D287" s="1">
        <v>264216</v>
      </c>
      <c r="E287" s="1">
        <v>167546</v>
      </c>
      <c r="G287" s="1">
        <v>2790690</v>
      </c>
      <c r="H287" s="1">
        <v>2468556</v>
      </c>
      <c r="I287" s="1">
        <v>194018</v>
      </c>
      <c r="J287" s="1">
        <v>203190</v>
      </c>
      <c r="K287" s="1">
        <v>196051</v>
      </c>
      <c r="L287" s="1">
        <f>9882+M287</f>
        <v>13762</v>
      </c>
      <c r="M287" s="1">
        <v>3880</v>
      </c>
      <c r="N287" s="1">
        <v>2587500</v>
      </c>
      <c r="O287" s="1">
        <v>2587500</v>
      </c>
      <c r="P287" s="1">
        <v>2461250</v>
      </c>
      <c r="Q287" s="1">
        <v>335256</v>
      </c>
      <c r="R287" s="1">
        <v>77.5</v>
      </c>
      <c r="T287">
        <f>E287/G287</f>
        <v>6.0037481769741531E-2</v>
      </c>
      <c r="U287">
        <f>D287/C287</f>
        <v>0.2484061881548825</v>
      </c>
      <c r="V287">
        <f>(E287-F287)/O287</f>
        <v>6.4752077294685989E-2</v>
      </c>
      <c r="W287">
        <f>H287/K287</f>
        <v>12.59139713645939</v>
      </c>
      <c r="X287">
        <f>(H287-I287)/K287</f>
        <v>11.601766887187518</v>
      </c>
      <c r="Y287">
        <f>(H287-K287)/G287</f>
        <v>0.81431653103712698</v>
      </c>
      <c r="Z287">
        <f>J287/N287</f>
        <v>7.8527536231884063E-2</v>
      </c>
      <c r="AA287">
        <f>J287/G287</f>
        <v>7.2809950227363127E-2</v>
      </c>
      <c r="AB287">
        <f>C287/G287</f>
        <v>0.38114050646972614</v>
      </c>
      <c r="AC287">
        <f>C287/(G287-K287)</f>
        <v>0.40993949447302691</v>
      </c>
      <c r="AD287">
        <f>Q287/E287</f>
        <v>2.0009788356630418</v>
      </c>
      <c r="AE287">
        <f>Q287/J287</f>
        <v>1.6499630887346819</v>
      </c>
      <c r="AF287">
        <f>Q287/G287</f>
        <v>0.12013373036775851</v>
      </c>
      <c r="AG287">
        <f>Q287/K287</f>
        <v>1.7100448352724547</v>
      </c>
      <c r="AH287">
        <f>Q287/L287</f>
        <v>24.360994041563725</v>
      </c>
      <c r="AI287" s="1">
        <f>R287</f>
        <v>77.5</v>
      </c>
      <c r="AJ287" s="1">
        <f>P287</f>
        <v>2461250</v>
      </c>
    </row>
    <row r="288" spans="1:36" x14ac:dyDescent="0.25">
      <c r="A288" s="15" t="s">
        <v>64</v>
      </c>
      <c r="B288" s="15">
        <v>2024</v>
      </c>
      <c r="C288" s="6">
        <v>788965</v>
      </c>
      <c r="D288" s="6">
        <v>152923</v>
      </c>
      <c r="E288" s="6">
        <v>111709</v>
      </c>
      <c r="F288" s="6"/>
      <c r="G288" s="6">
        <v>3882907</v>
      </c>
      <c r="H288" s="6">
        <v>3516404</v>
      </c>
      <c r="I288" s="6">
        <v>140046</v>
      </c>
      <c r="J288" s="6">
        <v>339665</v>
      </c>
      <c r="K288" s="6">
        <v>325736</v>
      </c>
      <c r="L288" s="6">
        <v>172871</v>
      </c>
      <c r="M288" s="6">
        <v>0</v>
      </c>
      <c r="N288" s="6">
        <v>3543242</v>
      </c>
      <c r="O288" s="6">
        <v>3543242</v>
      </c>
      <c r="P288" s="6">
        <v>3416992</v>
      </c>
      <c r="Q288" s="6">
        <v>40176</v>
      </c>
      <c r="R288" s="6">
        <v>72</v>
      </c>
      <c r="S288" s="15"/>
      <c r="T288" s="15">
        <f>E288/G288</f>
        <v>2.8769424557425659E-2</v>
      </c>
      <c r="U288" s="15">
        <f>D288/C288</f>
        <v>0.19382735609310933</v>
      </c>
      <c r="V288" s="15">
        <f>(E288-F288)/O288</f>
        <v>3.1527341344452342E-2</v>
      </c>
      <c r="W288" s="15">
        <f>H288/K288</f>
        <v>10.795257509148513</v>
      </c>
      <c r="X288" s="15">
        <f>(H288-I288)/K288</f>
        <v>10.365320382149962</v>
      </c>
      <c r="Y288" s="15">
        <f>(H288-K288)/G288</f>
        <v>0.82172145766045901</v>
      </c>
      <c r="Z288" s="15">
        <f>J288/N288</f>
        <v>9.5862772003718622E-2</v>
      </c>
      <c r="AA288" s="15">
        <f>J288/G288</f>
        <v>8.7476985670787377E-2</v>
      </c>
      <c r="AB288" s="15">
        <f>C288/G288</f>
        <v>0.20318926000545467</v>
      </c>
      <c r="AC288" s="15">
        <f>C288/(G288-K288)</f>
        <v>0.22179563478955608</v>
      </c>
      <c r="AD288" s="15">
        <f>Q288/E288</f>
        <v>0.3596487301828859</v>
      </c>
      <c r="AE288" s="15">
        <f>Q288/J288</f>
        <v>0.11828124769993964</v>
      </c>
      <c r="AF288" s="15">
        <f>Q288/G288</f>
        <v>1.0346887010170473E-2</v>
      </c>
      <c r="AG288" s="15">
        <f>Q288/K288</f>
        <v>0.12333914581133187</v>
      </c>
      <c r="AH288" s="15">
        <f>Q288/L288</f>
        <v>0.23240450972112153</v>
      </c>
      <c r="AI288" s="6">
        <f>R288</f>
        <v>72</v>
      </c>
      <c r="AJ288" s="6">
        <f>P288</f>
        <v>3416992</v>
      </c>
    </row>
    <row r="289" spans="1:36" s="2" customFormat="1" x14ac:dyDescent="0.25">
      <c r="A289" s="2" t="s">
        <v>60</v>
      </c>
      <c r="B289" s="2">
        <v>2018</v>
      </c>
      <c r="C289" s="3">
        <v>1543086</v>
      </c>
      <c r="D289" s="3">
        <v>187603</v>
      </c>
      <c r="E289" s="3">
        <v>-11195</v>
      </c>
      <c r="F289" s="3"/>
      <c r="G289" s="3">
        <v>11269137</v>
      </c>
      <c r="H289" s="3">
        <v>1090520</v>
      </c>
      <c r="I289" s="3">
        <v>81890</v>
      </c>
      <c r="J289" s="3">
        <f>1794672+K289</f>
        <v>2752094</v>
      </c>
      <c r="K289" s="3">
        <v>957422</v>
      </c>
      <c r="L289" s="3">
        <f>263229+M289</f>
        <v>1342188</v>
      </c>
      <c r="M289" s="3">
        <v>1078959</v>
      </c>
      <c r="N289" s="3">
        <v>6404546</v>
      </c>
      <c r="O289" s="3">
        <v>8517042</v>
      </c>
      <c r="P289" s="3">
        <v>1347681</v>
      </c>
      <c r="Q289" s="3">
        <v>-123373</v>
      </c>
      <c r="R289" s="3">
        <v>15</v>
      </c>
      <c r="T289" s="2">
        <f>E289/G289</f>
        <v>-9.9342123536167847E-4</v>
      </c>
      <c r="U289" s="2">
        <f>D289/C289</f>
        <v>0.12157650318906399</v>
      </c>
      <c r="V289" s="2">
        <f>(E289-F289)/O289</f>
        <v>-1.3144234817674962E-3</v>
      </c>
      <c r="W289" s="2">
        <f>H289/K289</f>
        <v>1.1390170687533814</v>
      </c>
      <c r="X289" s="2">
        <f>(H289-I289)/K289</f>
        <v>1.0534852969745838</v>
      </c>
      <c r="Y289" s="2">
        <f>(H289-K289)/G289</f>
        <v>1.1810842303186127E-2</v>
      </c>
      <c r="Z289" s="2">
        <f>J289/N289</f>
        <v>0.42970945949954925</v>
      </c>
      <c r="AA289" s="2">
        <f>J289/G289</f>
        <v>0.24421515152402531</v>
      </c>
      <c r="AB289" s="2">
        <f>C289/G289</f>
        <v>0.13693027247783038</v>
      </c>
      <c r="AC289" s="2">
        <f>C289/(G289-K289)</f>
        <v>0.1496439728987855</v>
      </c>
      <c r="AD289" s="2">
        <f>Q289/E289</f>
        <v>11.020366234926307</v>
      </c>
      <c r="AE289" s="2">
        <f>Q289/J289</f>
        <v>-4.4828774017166562E-2</v>
      </c>
      <c r="AF289" s="2">
        <f>Q289/G289</f>
        <v>-1.0947865839238621E-2</v>
      </c>
      <c r="AG289" s="2">
        <f>Q289/K289</f>
        <v>-0.12885958333942607</v>
      </c>
      <c r="AH289" s="2">
        <f>Q289/L289</f>
        <v>-9.1919313836809749E-2</v>
      </c>
      <c r="AI289" s="3">
        <f>R289</f>
        <v>15</v>
      </c>
      <c r="AJ289" s="3">
        <f>P289</f>
        <v>1347681</v>
      </c>
    </row>
    <row r="290" spans="1:36" x14ac:dyDescent="0.25">
      <c r="A290" t="s">
        <v>60</v>
      </c>
      <c r="B290">
        <v>2019</v>
      </c>
      <c r="C290" s="1">
        <v>1633511</v>
      </c>
      <c r="D290" s="1">
        <v>536715</v>
      </c>
      <c r="E290" s="1">
        <v>210713</v>
      </c>
      <c r="G290" s="1">
        <v>11414608</v>
      </c>
      <c r="H290" s="1">
        <v>1968334</v>
      </c>
      <c r="I290" s="1">
        <v>88738</v>
      </c>
      <c r="J290" s="1">
        <f>1721824+K290</f>
        <v>2782289</v>
      </c>
      <c r="K290" s="1">
        <v>1060465</v>
      </c>
      <c r="L290" s="1">
        <v>1081766</v>
      </c>
      <c r="M290" s="1">
        <v>1081766</v>
      </c>
      <c r="N290" s="1">
        <v>6682985</v>
      </c>
      <c r="O290" s="1">
        <v>8632318</v>
      </c>
      <c r="P290" s="1">
        <v>1675342</v>
      </c>
      <c r="Q290" s="1">
        <v>357564</v>
      </c>
      <c r="R290" s="1">
        <v>9.1999999999999993</v>
      </c>
      <c r="T290">
        <f>E290/G290</f>
        <v>1.8459941856960836E-2</v>
      </c>
      <c r="U290">
        <f>D290/C290</f>
        <v>0.32856528055213585</v>
      </c>
      <c r="V290">
        <f>(E290-F290)/O290</f>
        <v>2.4409781938061134E-2</v>
      </c>
      <c r="W290">
        <f>H290/K290</f>
        <v>1.8561046333448064</v>
      </c>
      <c r="X290">
        <f>(H290-I290)/K290</f>
        <v>1.7724262469765621</v>
      </c>
      <c r="Y290">
        <f>(H290-K290)/G290</f>
        <v>7.9535714235653115E-2</v>
      </c>
      <c r="Z290">
        <f>J290/N290</f>
        <v>0.41632429221373385</v>
      </c>
      <c r="AA290">
        <f>J290/G290</f>
        <v>0.24374809892726934</v>
      </c>
      <c r="AB290">
        <f>C290/G290</f>
        <v>0.14310706070677154</v>
      </c>
      <c r="AC290">
        <f>C290/(G290-K290)</f>
        <v>0.15776399843038674</v>
      </c>
      <c r="AD290">
        <f>Q290/E290</f>
        <v>1.6969242524191672</v>
      </c>
      <c r="AE290">
        <f>Q290/J290</f>
        <v>0.12851432759141843</v>
      </c>
      <c r="AF290">
        <f>Q290/G290</f>
        <v>3.1325123035324559E-2</v>
      </c>
      <c r="AG290">
        <f>Q290/K290</f>
        <v>0.33717661591848858</v>
      </c>
      <c r="AH290">
        <f>Q290/L290</f>
        <v>0.33053728810112354</v>
      </c>
      <c r="AI290" s="1">
        <f>R290</f>
        <v>9.1999999999999993</v>
      </c>
      <c r="AJ290" s="1">
        <f>P290</f>
        <v>1675342</v>
      </c>
    </row>
    <row r="291" spans="1:36" x14ac:dyDescent="0.25">
      <c r="A291" t="s">
        <v>60</v>
      </c>
      <c r="B291">
        <v>2020</v>
      </c>
      <c r="C291" s="1">
        <v>1023144</v>
      </c>
      <c r="D291" s="1">
        <v>-232823</v>
      </c>
      <c r="E291" s="1">
        <v>-413875</v>
      </c>
      <c r="G291" s="1">
        <v>12425114</v>
      </c>
      <c r="H291" s="1">
        <v>1538147</v>
      </c>
      <c r="I291" s="1">
        <v>76405</v>
      </c>
      <c r="J291" s="1">
        <f>2459596+K291</f>
        <v>2895893</v>
      </c>
      <c r="K291" s="1">
        <v>436297</v>
      </c>
      <c r="L291" s="1">
        <v>1536648</v>
      </c>
      <c r="M291" s="1">
        <v>1536648</v>
      </c>
      <c r="N291" s="1">
        <v>7327653</v>
      </c>
      <c r="O291" s="1">
        <v>9529220</v>
      </c>
      <c r="P291" s="1">
        <v>1448391</v>
      </c>
      <c r="Q291" s="1">
        <v>671291</v>
      </c>
      <c r="R291" s="1">
        <v>8.5</v>
      </c>
      <c r="T291">
        <f>E291/G291</f>
        <v>-3.3309553538100334E-2</v>
      </c>
      <c r="U291">
        <f>D291/C291</f>
        <v>-0.22755643389395824</v>
      </c>
      <c r="V291">
        <f>(E291-F291)/O291</f>
        <v>-4.3432201166517304E-2</v>
      </c>
      <c r="W291">
        <f>H291/K291</f>
        <v>3.5254585752365935</v>
      </c>
      <c r="X291">
        <f>(H291-I291)/K291</f>
        <v>3.3503370410523106</v>
      </c>
      <c r="Y291">
        <f>(H291-K291)/G291</f>
        <v>8.867926684616334E-2</v>
      </c>
      <c r="Z291">
        <f>J291/N291</f>
        <v>0.39520061880659468</v>
      </c>
      <c r="AA291">
        <f>J291/G291</f>
        <v>0.23306772074686799</v>
      </c>
      <c r="AB291">
        <f>C291/G291</f>
        <v>8.2344838043337074E-2</v>
      </c>
      <c r="AC291">
        <f>C291/(G291-K291)</f>
        <v>8.5341531195279735E-2</v>
      </c>
      <c r="AD291">
        <f>Q291/E291</f>
        <v>-1.6219655693144066</v>
      </c>
      <c r="AE291">
        <f>Q291/J291</f>
        <v>0.2318079431802211</v>
      </c>
      <c r="AF291">
        <f>Q291/G291</f>
        <v>5.402694896803361E-2</v>
      </c>
      <c r="AG291">
        <f>Q291/K291</f>
        <v>1.5386101669275745</v>
      </c>
      <c r="AH291">
        <f>Q291/L291</f>
        <v>0.43685411362914606</v>
      </c>
      <c r="AI291" s="1">
        <f>R291</f>
        <v>8.5</v>
      </c>
      <c r="AJ291" s="1">
        <f>P291</f>
        <v>1448391</v>
      </c>
    </row>
    <row r="292" spans="1:36" x14ac:dyDescent="0.25">
      <c r="A292" t="s">
        <v>60</v>
      </c>
      <c r="B292">
        <v>2021</v>
      </c>
      <c r="C292" s="1">
        <v>423572</v>
      </c>
      <c r="D292" s="1">
        <v>-223873</v>
      </c>
      <c r="E292" s="1">
        <v>-385225</v>
      </c>
      <c r="G292" s="1">
        <v>12192134</v>
      </c>
      <c r="H292" s="1">
        <v>1602365</v>
      </c>
      <c r="I292" s="1">
        <v>66339</v>
      </c>
      <c r="J292" s="1">
        <f>2262954+K292</f>
        <v>3032572</v>
      </c>
      <c r="K292" s="1">
        <v>769618</v>
      </c>
      <c r="L292" s="1">
        <f>334761+M292</f>
        <v>1725340</v>
      </c>
      <c r="M292" s="1">
        <v>1390579</v>
      </c>
      <c r="N292" s="1">
        <v>7027855</v>
      </c>
      <c r="O292" s="1">
        <v>9159560</v>
      </c>
      <c r="P292" s="1">
        <v>1229398</v>
      </c>
      <c r="Q292" s="1">
        <v>-156243</v>
      </c>
      <c r="R292" s="1">
        <v>10.6</v>
      </c>
      <c r="T292">
        <f>E292/G292</f>
        <v>-3.1596191446058582E-2</v>
      </c>
      <c r="U292">
        <f>D292/C292</f>
        <v>-0.52853588055867717</v>
      </c>
      <c r="V292">
        <f>(E292-F292)/O292</f>
        <v>-4.2057151216870682E-2</v>
      </c>
      <c r="W292">
        <f>H292/K292</f>
        <v>2.0820264079062598</v>
      </c>
      <c r="X292">
        <f>(H292-I292)/K292</f>
        <v>1.9958290996312456</v>
      </c>
      <c r="Y292">
        <f>(H292-K292)/G292</f>
        <v>6.8301988806881556E-2</v>
      </c>
      <c r="Z292">
        <f>J292/N292</f>
        <v>0.43150747987828436</v>
      </c>
      <c r="AA292">
        <f>J292/G292</f>
        <v>0.2487318462871225</v>
      </c>
      <c r="AB292">
        <f>C292/G292</f>
        <v>3.4741416063832631E-2</v>
      </c>
      <c r="AC292">
        <f>C292/(G292-K292)</f>
        <v>3.7082198002611685E-2</v>
      </c>
      <c r="AD292">
        <f>Q292/E292</f>
        <v>0.4055889415276786</v>
      </c>
      <c r="AE292">
        <f>Q292/J292</f>
        <v>-5.1521612677291752E-2</v>
      </c>
      <c r="AF292">
        <f>Q292/G292</f>
        <v>-1.2815065844912793E-2</v>
      </c>
      <c r="AG292">
        <f>Q292/K292</f>
        <v>-0.20301370290195916</v>
      </c>
      <c r="AH292">
        <f>Q292/L292</f>
        <v>-9.055780309967891E-2</v>
      </c>
      <c r="AI292" s="1">
        <f>R292</f>
        <v>10.6</v>
      </c>
      <c r="AJ292" s="1">
        <f>P292</f>
        <v>1229398</v>
      </c>
    </row>
    <row r="293" spans="1:36" x14ac:dyDescent="0.25">
      <c r="A293" t="s">
        <v>60</v>
      </c>
      <c r="B293">
        <v>2022</v>
      </c>
      <c r="C293" s="1">
        <v>561935</v>
      </c>
      <c r="D293" s="1">
        <v>-165482</v>
      </c>
      <c r="E293" s="1">
        <v>-45856</v>
      </c>
      <c r="G293" s="1">
        <v>14008060</v>
      </c>
      <c r="H293" s="1">
        <v>3042945</v>
      </c>
      <c r="I293" s="1">
        <v>65885</v>
      </c>
      <c r="J293" s="1">
        <f>2411673+K293</f>
        <v>3590311</v>
      </c>
      <c r="K293" s="1">
        <v>1178638</v>
      </c>
      <c r="L293" s="1">
        <f>703868+M293</f>
        <v>2061499</v>
      </c>
      <c r="M293" s="1">
        <v>1357631</v>
      </c>
      <c r="N293" s="1">
        <v>7922369</v>
      </c>
      <c r="O293" s="1">
        <v>10417748</v>
      </c>
      <c r="P293" s="1">
        <v>1269036</v>
      </c>
      <c r="Q293" s="1">
        <v>442100</v>
      </c>
      <c r="R293" s="1">
        <v>9.1</v>
      </c>
      <c r="T293">
        <f>E293/G293</f>
        <v>-3.2735439454142827E-3</v>
      </c>
      <c r="U293">
        <f>D293/C293</f>
        <v>-0.29448601706603078</v>
      </c>
      <c r="V293">
        <f>(E293-F293)/O293</f>
        <v>-4.4017190663471605E-3</v>
      </c>
      <c r="W293">
        <f>H293/K293</f>
        <v>2.581746897690385</v>
      </c>
      <c r="X293">
        <f>(H293-I293)/K293</f>
        <v>2.5258476309095754</v>
      </c>
      <c r="Y293">
        <f>(H293-K293)/G293</f>
        <v>0.13308816495646078</v>
      </c>
      <c r="Z293">
        <f>J293/N293</f>
        <v>0.4531865405410932</v>
      </c>
      <c r="AA293">
        <f>J293/G293</f>
        <v>0.25630322828428775</v>
      </c>
      <c r="AB293">
        <f>C293/G293</f>
        <v>4.0115119438380475E-2</v>
      </c>
      <c r="AC293">
        <f>C293/(G293-K293)</f>
        <v>4.3800492337067093E-2</v>
      </c>
      <c r="AD293">
        <f>Q293/E293</f>
        <v>-9.6410502442428463</v>
      </c>
      <c r="AE293">
        <f>Q293/J293</f>
        <v>0.12313696501500845</v>
      </c>
      <c r="AF293">
        <f>Q293/G293</f>
        <v>3.1560401654476065E-2</v>
      </c>
      <c r="AG293">
        <f>Q293/K293</f>
        <v>0.3750939643894054</v>
      </c>
      <c r="AH293">
        <f>Q293/L293</f>
        <v>0.21445559760155111</v>
      </c>
      <c r="AI293" s="1">
        <f>R293</f>
        <v>9.1</v>
      </c>
      <c r="AJ293" s="1">
        <f>P293</f>
        <v>1269036</v>
      </c>
    </row>
    <row r="294" spans="1:36" x14ac:dyDescent="0.25">
      <c r="A294" t="s">
        <v>60</v>
      </c>
      <c r="B294">
        <v>2023</v>
      </c>
      <c r="C294" s="1">
        <v>877861</v>
      </c>
      <c r="D294" s="1">
        <v>-195697</v>
      </c>
      <c r="E294" s="1">
        <v>-152398</v>
      </c>
      <c r="G294" s="1">
        <v>14385133</v>
      </c>
      <c r="H294" s="1">
        <v>3600215</v>
      </c>
      <c r="I294" s="1">
        <v>74867</v>
      </c>
      <c r="J294" s="1">
        <f>3489332+K294</f>
        <v>4610403</v>
      </c>
      <c r="K294" s="1">
        <v>1121071</v>
      </c>
      <c r="L294" s="1">
        <f>376712+M294</f>
        <v>1673123</v>
      </c>
      <c r="M294" s="1">
        <v>1296411</v>
      </c>
      <c r="N294" s="1">
        <v>7499584</v>
      </c>
      <c r="O294" s="1">
        <v>9774729</v>
      </c>
      <c r="P294" s="1">
        <v>1886323</v>
      </c>
      <c r="Q294" s="1">
        <v>-247449</v>
      </c>
      <c r="R294" s="1">
        <v>22.5</v>
      </c>
      <c r="T294">
        <f>E294/G294</f>
        <v>-1.0594132150185891E-2</v>
      </c>
      <c r="U294">
        <f>D294/C294</f>
        <v>-0.22292481383727036</v>
      </c>
      <c r="V294">
        <f>(E294-F294)/O294</f>
        <v>-1.5591020477396356E-2</v>
      </c>
      <c r="W294">
        <f>H294/K294</f>
        <v>3.2114067708468061</v>
      </c>
      <c r="X294">
        <f>(H294-I294)/K294</f>
        <v>3.1446250951099439</v>
      </c>
      <c r="Y294">
        <f>(H294-K294)/G294</f>
        <v>0.17234070759026002</v>
      </c>
      <c r="Z294">
        <f>J294/N294</f>
        <v>0.61475449838284368</v>
      </c>
      <c r="AA294">
        <f>J294/G294</f>
        <v>0.32049776668731528</v>
      </c>
      <c r="AB294">
        <f>C294/G294</f>
        <v>6.1025574111827817E-2</v>
      </c>
      <c r="AC294">
        <f>C294/(G294-K294)</f>
        <v>6.6183421036481879E-2</v>
      </c>
      <c r="AD294">
        <f>Q294/E294</f>
        <v>1.6237024107927926</v>
      </c>
      <c r="AE294">
        <f>Q294/J294</f>
        <v>-5.3671880744481558E-2</v>
      </c>
      <c r="AF294">
        <f>Q294/G294</f>
        <v>-1.720171791251426E-2</v>
      </c>
      <c r="AG294">
        <f>Q294/K294</f>
        <v>-0.22072553834681299</v>
      </c>
      <c r="AH294">
        <f>Q294/L294</f>
        <v>-0.14789647862111752</v>
      </c>
      <c r="AI294" s="1">
        <f>R294</f>
        <v>22.5</v>
      </c>
      <c r="AJ294" s="1">
        <f>P294</f>
        <v>1886323</v>
      </c>
    </row>
    <row r="295" spans="1:36" x14ac:dyDescent="0.25">
      <c r="A295" s="15" t="s">
        <v>60</v>
      </c>
      <c r="B295" s="15">
        <v>2024</v>
      </c>
      <c r="C295" s="6">
        <v>1382590</v>
      </c>
      <c r="D295" s="6">
        <v>-450</v>
      </c>
      <c r="E295" s="6">
        <v>-43984</v>
      </c>
      <c r="F295" s="6"/>
      <c r="G295" s="6">
        <v>13913978</v>
      </c>
      <c r="H295" s="6">
        <v>2947381</v>
      </c>
      <c r="I295" s="6">
        <v>113424</v>
      </c>
      <c r="J295" s="6">
        <f>3229022+K295</f>
        <v>4239856</v>
      </c>
      <c r="K295" s="6">
        <v>1010834</v>
      </c>
      <c r="L295" s="6">
        <f>322934+M295</f>
        <v>1367721</v>
      </c>
      <c r="M295" s="6">
        <v>1044787</v>
      </c>
      <c r="N295" s="6">
        <v>7071073</v>
      </c>
      <c r="O295" s="6">
        <v>9674121</v>
      </c>
      <c r="P295" s="6">
        <v>1629566</v>
      </c>
      <c r="Q295" s="6">
        <v>124654</v>
      </c>
      <c r="R295" s="6">
        <v>19</v>
      </c>
      <c r="S295" s="15"/>
      <c r="T295" s="15">
        <f>E295/G295</f>
        <v>-3.1611376703341056E-3</v>
      </c>
      <c r="U295" s="15">
        <f>D295/C295</f>
        <v>-3.2547609920511504E-4</v>
      </c>
      <c r="V295" s="15">
        <f>(E295-F295)/O295</f>
        <v>-4.5465629383796211E-3</v>
      </c>
      <c r="W295" s="15">
        <f>H295/K295</f>
        <v>2.9157913168729981</v>
      </c>
      <c r="X295" s="15">
        <f>(H295-I295)/K295</f>
        <v>2.8035829819733014</v>
      </c>
      <c r="Y295" s="15">
        <f>(H295-K295)/G295</f>
        <v>0.13917996708058616</v>
      </c>
      <c r="Z295" s="15">
        <f>J295/N295</f>
        <v>0.59960574583235104</v>
      </c>
      <c r="AA295" s="15">
        <f>J295/G295</f>
        <v>0.30471918239341761</v>
      </c>
      <c r="AB295" s="15">
        <f>C295/G295</f>
        <v>9.9366981894034909E-2</v>
      </c>
      <c r="AC295" s="15">
        <f>C295/(G295-K295)</f>
        <v>0.10715140433990351</v>
      </c>
      <c r="AD295" s="15">
        <f>Q295/E295</f>
        <v>-2.8340760276464168</v>
      </c>
      <c r="AE295" s="15">
        <f>Q295/J295</f>
        <v>2.9400526810344503E-2</v>
      </c>
      <c r="AF295" s="15">
        <f>Q295/G295</f>
        <v>8.9589044915839317E-3</v>
      </c>
      <c r="AG295" s="15">
        <f>Q295/K295</f>
        <v>0.12331797307965502</v>
      </c>
      <c r="AH295" s="15">
        <f>Q295/L295</f>
        <v>9.1139932778688051E-2</v>
      </c>
      <c r="AI295" s="6">
        <f>R295</f>
        <v>19</v>
      </c>
      <c r="AJ295" s="6">
        <f>P295</f>
        <v>1629566</v>
      </c>
    </row>
    <row r="296" spans="1:36" s="2" customFormat="1" x14ac:dyDescent="0.25">
      <c r="A296" s="2" t="s">
        <v>46</v>
      </c>
      <c r="B296" s="2">
        <v>2018</v>
      </c>
      <c r="C296" s="3">
        <v>33148257</v>
      </c>
      <c r="D296" s="4">
        <v>1890160</v>
      </c>
      <c r="E296" s="3">
        <v>197230</v>
      </c>
      <c r="F296" s="3"/>
      <c r="G296" s="3">
        <v>34987279</v>
      </c>
      <c r="H296" s="3">
        <v>20167683</v>
      </c>
      <c r="I296" s="3">
        <v>8843024</v>
      </c>
      <c r="J296" s="3">
        <v>24274624</v>
      </c>
      <c r="K296" s="3">
        <v>20953002</v>
      </c>
      <c r="L296" s="3">
        <f>13199171+M296</f>
        <v>14371568</v>
      </c>
      <c r="M296" s="3">
        <v>1172397</v>
      </c>
      <c r="N296" s="3">
        <v>8537930</v>
      </c>
      <c r="O296" s="3">
        <v>10712655</v>
      </c>
      <c r="P296" s="3">
        <v>5611505</v>
      </c>
      <c r="Q296" s="3">
        <v>2236464</v>
      </c>
      <c r="R296" s="3">
        <v>58.9</v>
      </c>
      <c r="T296" s="2">
        <f>E296/G296</f>
        <v>5.6371917347445054E-3</v>
      </c>
      <c r="U296" s="2">
        <f>D296/C296</f>
        <v>5.7021399345371308E-2</v>
      </c>
      <c r="V296" s="2">
        <f>(E296-F296)/O296</f>
        <v>1.8410935477713043E-2</v>
      </c>
      <c r="W296" s="2">
        <f>H296/K296</f>
        <v>0.96251997685104984</v>
      </c>
      <c r="X296" s="2">
        <f>(H296-I296)/K296</f>
        <v>0.54047906834543324</v>
      </c>
      <c r="Y296" s="2">
        <f>(H296-K296)/G296</f>
        <v>-2.2445843816548294E-2</v>
      </c>
      <c r="Z296" s="2">
        <f>J296/N296</f>
        <v>2.8431509745336401</v>
      </c>
      <c r="AA296" s="2">
        <f>J296/G296</f>
        <v>0.69381285695295136</v>
      </c>
      <c r="AB296" s="2">
        <f>C296/G296</f>
        <v>0.94743741003694515</v>
      </c>
      <c r="AC296" s="2">
        <f>C296/(G296-K296)</f>
        <v>2.3619497463246595</v>
      </c>
      <c r="AD296" s="2">
        <f>Q296/E296</f>
        <v>11.33937027835522</v>
      </c>
      <c r="AE296" s="2">
        <f>Q296/J296</f>
        <v>9.2131766901930187E-2</v>
      </c>
      <c r="AF296" s="2">
        <f>Q296/G296</f>
        <v>6.3922204410351541E-2</v>
      </c>
      <c r="AG296" s="2">
        <f>Q296/K296</f>
        <v>0.10673716348616775</v>
      </c>
      <c r="AH296" s="2">
        <f>Q296/L296</f>
        <v>0.15561725762978681</v>
      </c>
      <c r="AI296" s="3">
        <f>R296</f>
        <v>58.9</v>
      </c>
      <c r="AJ296" s="3">
        <f>P296</f>
        <v>5611505</v>
      </c>
    </row>
    <row r="297" spans="1:36" x14ac:dyDescent="0.25">
      <c r="A297" t="s">
        <v>46</v>
      </c>
      <c r="B297">
        <v>2019</v>
      </c>
      <c r="C297" s="1">
        <v>30701977</v>
      </c>
      <c r="D297" s="5">
        <v>2314408</v>
      </c>
      <c r="E297" s="1">
        <v>860114</v>
      </c>
      <c r="G297" s="1">
        <v>37251327</v>
      </c>
      <c r="H297" s="1">
        <v>21711816</v>
      </c>
      <c r="I297" s="1">
        <v>7568212</v>
      </c>
      <c r="J297" s="1">
        <v>25972592</v>
      </c>
      <c r="K297" s="1">
        <v>22716227</v>
      </c>
      <c r="L297" s="1">
        <f>15893869+M297</f>
        <v>17205797</v>
      </c>
      <c r="M297" s="1">
        <v>1311928</v>
      </c>
      <c r="N297" s="1">
        <v>9217396</v>
      </c>
      <c r="O297" s="1">
        <v>11278735</v>
      </c>
      <c r="P297" s="1">
        <v>5848483</v>
      </c>
      <c r="Q297" s="1">
        <v>-1713963</v>
      </c>
      <c r="R297" s="1">
        <v>38.5</v>
      </c>
      <c r="T297">
        <f>E297/G297</f>
        <v>2.3089486181257383E-2</v>
      </c>
      <c r="U297">
        <f>D297/C297</f>
        <v>7.5383028265573901E-2</v>
      </c>
      <c r="V297">
        <f>(E297-F297)/O297</f>
        <v>7.6259793319020261E-2</v>
      </c>
      <c r="W297">
        <f>H297/K297</f>
        <v>0.95578442670078967</v>
      </c>
      <c r="X297">
        <f>(H297-I297)/K297</f>
        <v>0.62262117736365286</v>
      </c>
      <c r="Y297">
        <f>(H297-K297)/G297</f>
        <v>-2.6963093153701611E-2</v>
      </c>
      <c r="Z297">
        <f>J297/N297</f>
        <v>2.8177797720744557</v>
      </c>
      <c r="AA297">
        <f>J297/G297</f>
        <v>0.69722595385662367</v>
      </c>
      <c r="AB297">
        <f>C297/G297</f>
        <v>0.82418478675940865</v>
      </c>
      <c r="AC297">
        <f>C297/(G297-K297)</f>
        <v>2.1122645871029437</v>
      </c>
      <c r="AD297">
        <f>Q297/E297</f>
        <v>-1.992716081821712</v>
      </c>
      <c r="AE297">
        <f>Q297/J297</f>
        <v>-6.5991218743204377E-2</v>
      </c>
      <c r="AF297">
        <f>Q297/G297</f>
        <v>-4.6010790434391775E-2</v>
      </c>
      <c r="AG297">
        <f>Q297/K297</f>
        <v>-7.5451042111878877E-2</v>
      </c>
      <c r="AH297">
        <f>Q297/L297</f>
        <v>-9.9615437750427957E-2</v>
      </c>
      <c r="AI297" s="1">
        <f>R297</f>
        <v>38.5</v>
      </c>
      <c r="AJ297" s="1">
        <f>P297</f>
        <v>5848483</v>
      </c>
    </row>
    <row r="298" spans="1:36" x14ac:dyDescent="0.25">
      <c r="A298" t="s">
        <v>46</v>
      </c>
      <c r="B298">
        <v>2020</v>
      </c>
      <c r="C298" s="1">
        <v>30535563</v>
      </c>
      <c r="D298" s="5">
        <v>3186802</v>
      </c>
      <c r="E298" s="1">
        <v>1336135</v>
      </c>
      <c r="G298" s="1">
        <v>39268872</v>
      </c>
      <c r="H298" s="1">
        <v>25163663</v>
      </c>
      <c r="I298" s="1">
        <v>7513254</v>
      </c>
      <c r="J298" s="1">
        <v>27557124</v>
      </c>
      <c r="K298" s="1">
        <v>24449891</v>
      </c>
      <c r="L298" s="1">
        <f>16135860+M298</f>
        <v>17101221</v>
      </c>
      <c r="M298" s="1">
        <v>965361</v>
      </c>
      <c r="N298" s="1">
        <v>9575528</v>
      </c>
      <c r="O298" s="1">
        <v>11711748</v>
      </c>
      <c r="P298" s="1">
        <v>6206615</v>
      </c>
      <c r="Q298" s="1">
        <v>749221</v>
      </c>
      <c r="R298" s="1">
        <v>35</v>
      </c>
      <c r="T298">
        <f>E298/G298</f>
        <v>3.4025296168425721E-2</v>
      </c>
      <c r="U298">
        <f>D298/C298</f>
        <v>0.10436362349042001</v>
      </c>
      <c r="V298">
        <f>(E298-F298)/O298</f>
        <v>0.11408501958887776</v>
      </c>
      <c r="W298">
        <f>H298/K298</f>
        <v>1.0291932589801729</v>
      </c>
      <c r="X298">
        <f>(H298-I298)/K298</f>
        <v>0.72190133690166558</v>
      </c>
      <c r="Y298">
        <f>(H298-K298)/G298</f>
        <v>1.8176534329786706E-2</v>
      </c>
      <c r="Z298">
        <f>J298/N298</f>
        <v>2.8778699200712481</v>
      </c>
      <c r="AA298">
        <f>J298/G298</f>
        <v>0.701754916718769</v>
      </c>
      <c r="AB298">
        <f>C298/G298</f>
        <v>0.77760224434254188</v>
      </c>
      <c r="AC298">
        <f>C298/(G298-K298)</f>
        <v>2.0605710338652838</v>
      </c>
      <c r="AD298">
        <f>Q298/E298</f>
        <v>0.56073750032743697</v>
      </c>
      <c r="AE298">
        <f>Q298/J298</f>
        <v>2.7187924255085545E-2</v>
      </c>
      <c r="AF298">
        <f>Q298/G298</f>
        <v>1.9079259521383757E-2</v>
      </c>
      <c r="AG298">
        <f>Q298/K298</f>
        <v>3.064312229449203E-2</v>
      </c>
      <c r="AH298">
        <f>Q298/L298</f>
        <v>4.3810965310605597E-2</v>
      </c>
      <c r="AI298" s="1">
        <f>R298</f>
        <v>35</v>
      </c>
      <c r="AJ298" s="1">
        <f>P298</f>
        <v>6206615</v>
      </c>
    </row>
    <row r="299" spans="1:36" x14ac:dyDescent="0.25">
      <c r="A299" t="s">
        <v>46</v>
      </c>
      <c r="B299">
        <v>2021</v>
      </c>
      <c r="C299" s="1">
        <v>37233343</v>
      </c>
      <c r="D299" s="5">
        <v>5393707</v>
      </c>
      <c r="E299" s="1">
        <v>3936864</v>
      </c>
      <c r="G299" s="1">
        <v>40031179</v>
      </c>
      <c r="H299" s="1">
        <v>25744060</v>
      </c>
      <c r="I299" s="1">
        <v>8297159</v>
      </c>
      <c r="J299" s="1">
        <v>23728192</v>
      </c>
      <c r="K299" s="1">
        <v>21229346</v>
      </c>
      <c r="L299" s="1">
        <f>9512128+M299</f>
        <v>9841004</v>
      </c>
      <c r="M299" s="1">
        <v>328876</v>
      </c>
      <c r="N299" s="1">
        <v>13224467</v>
      </c>
      <c r="O299" s="1">
        <v>16302987</v>
      </c>
      <c r="P299" s="1">
        <v>9397491</v>
      </c>
      <c r="Q299" s="1">
        <v>8117296</v>
      </c>
      <c r="R299" s="1">
        <v>50.9</v>
      </c>
      <c r="T299">
        <f>E299/G299</f>
        <v>9.8344942575885663E-2</v>
      </c>
      <c r="U299">
        <f>D299/C299</f>
        <v>0.14486228110110877</v>
      </c>
      <c r="V299">
        <f>(E299-F299)/O299</f>
        <v>0.24148114698245174</v>
      </c>
      <c r="W299">
        <f>H299/K299</f>
        <v>1.2126638286454985</v>
      </c>
      <c r="X299">
        <f>(H299-I299)/K299</f>
        <v>0.82182941481098848</v>
      </c>
      <c r="Y299">
        <f>(H299-K299)/G299</f>
        <v>0.11277994085560158</v>
      </c>
      <c r="Z299">
        <f>J299/N299</f>
        <v>1.7942645249899296</v>
      </c>
      <c r="AA299">
        <f>J299/G299</f>
        <v>0.59274277182792945</v>
      </c>
      <c r="AB299">
        <f>C299/G299</f>
        <v>0.93010857861568352</v>
      </c>
      <c r="AC299">
        <f>C299/(G299-K299)</f>
        <v>1.9803038884559818</v>
      </c>
      <c r="AD299">
        <f>Q299/E299</f>
        <v>2.061868532923667</v>
      </c>
      <c r="AE299">
        <f>Q299/J299</f>
        <v>0.34209500664863129</v>
      </c>
      <c r="AF299">
        <f>Q299/G299</f>
        <v>0.20277434246940365</v>
      </c>
      <c r="AG299">
        <f>Q299/K299</f>
        <v>0.38236203790733825</v>
      </c>
      <c r="AH299">
        <f>Q299/L299</f>
        <v>0.8248442943423252</v>
      </c>
      <c r="AI299" s="1">
        <f>R299</f>
        <v>50.9</v>
      </c>
      <c r="AJ299" s="1">
        <f>P299</f>
        <v>9397491</v>
      </c>
    </row>
    <row r="300" spans="1:36" x14ac:dyDescent="0.25">
      <c r="A300" t="s">
        <v>46</v>
      </c>
      <c r="B300">
        <v>2022</v>
      </c>
      <c r="C300" s="1">
        <v>41759591</v>
      </c>
      <c r="D300" s="5">
        <v>7028402</v>
      </c>
      <c r="E300" s="1">
        <v>4572886</v>
      </c>
      <c r="G300" s="1">
        <v>46127162</v>
      </c>
      <c r="H300" s="1">
        <v>29833305</v>
      </c>
      <c r="I300" s="1">
        <v>9542017</v>
      </c>
      <c r="J300" s="1">
        <v>26013061</v>
      </c>
      <c r="K300" s="1">
        <v>23317313</v>
      </c>
      <c r="L300" s="1">
        <f>10951443+M300</f>
        <v>11289509</v>
      </c>
      <c r="M300" s="1">
        <v>338066</v>
      </c>
      <c r="N300" s="1">
        <v>16510662</v>
      </c>
      <c r="O300" s="1">
        <v>20114101</v>
      </c>
      <c r="P300" s="1">
        <v>12133713</v>
      </c>
      <c r="Q300" s="1">
        <v>2573654</v>
      </c>
      <c r="R300" s="1">
        <v>38.1</v>
      </c>
      <c r="T300">
        <f>E300/G300</f>
        <v>9.9136513102627041E-2</v>
      </c>
      <c r="U300">
        <f>D300/C300</f>
        <v>0.16830629399603075</v>
      </c>
      <c r="V300">
        <f>(E300-F300)/O300</f>
        <v>0.22734727244334707</v>
      </c>
      <c r="W300">
        <f>H300/K300</f>
        <v>1.2794486654615822</v>
      </c>
      <c r="X300">
        <f>(H300-I300)/K300</f>
        <v>0.87022411201496497</v>
      </c>
      <c r="Y300">
        <f>(H300-K300)/G300</f>
        <v>0.141261497943446</v>
      </c>
      <c r="Z300">
        <f>J300/N300</f>
        <v>1.575531071982456</v>
      </c>
      <c r="AA300">
        <f>J300/G300</f>
        <v>0.5639423687067503</v>
      </c>
      <c r="AB300">
        <f>C300/G300</f>
        <v>0.90531455197698918</v>
      </c>
      <c r="AC300">
        <f>C300/(G300-K300)</f>
        <v>1.8307701642391407</v>
      </c>
      <c r="AD300">
        <f>Q300/E300</f>
        <v>0.56280738247137585</v>
      </c>
      <c r="AE300">
        <f>Q300/J300</f>
        <v>9.893699169044351E-2</v>
      </c>
      <c r="AF300">
        <f>Q300/G300</f>
        <v>5.5794761446628781E-2</v>
      </c>
      <c r="AG300">
        <f>Q300/K300</f>
        <v>0.11037523920530637</v>
      </c>
      <c r="AH300">
        <f>Q300/L300</f>
        <v>0.22796863884868687</v>
      </c>
      <c r="AI300" s="1">
        <f>R300</f>
        <v>38.1</v>
      </c>
      <c r="AJ300" s="1">
        <f>P300</f>
        <v>12133713</v>
      </c>
    </row>
    <row r="301" spans="1:36" x14ac:dyDescent="0.25">
      <c r="A301" t="s">
        <v>46</v>
      </c>
      <c r="B301">
        <v>2023</v>
      </c>
      <c r="C301" s="1">
        <v>68274718</v>
      </c>
      <c r="D301" s="5">
        <v>16843086</v>
      </c>
      <c r="E301" s="1">
        <v>9997624</v>
      </c>
      <c r="G301" s="1">
        <v>55802767</v>
      </c>
      <c r="H301" s="1">
        <v>35601536</v>
      </c>
      <c r="I301" s="1">
        <v>17894323</v>
      </c>
      <c r="J301" s="1">
        <v>27973752</v>
      </c>
      <c r="K301" s="1">
        <v>24901516</v>
      </c>
      <c r="L301" s="1">
        <f>14982952+M301</f>
        <v>15289932</v>
      </c>
      <c r="M301" s="1">
        <v>306980</v>
      </c>
      <c r="N301" s="1">
        <v>22996023</v>
      </c>
      <c r="O301" s="1">
        <v>27829015</v>
      </c>
      <c r="P301" s="1">
        <v>18822460</v>
      </c>
      <c r="Q301" s="1">
        <v>2377786</v>
      </c>
      <c r="R301" s="1">
        <v>71.2</v>
      </c>
      <c r="T301">
        <f>E301/G301</f>
        <v>0.17916000473596588</v>
      </c>
      <c r="U301">
        <f>D301/C301</f>
        <v>0.24669579741069014</v>
      </c>
      <c r="V301">
        <f>(E301-F301)/O301</f>
        <v>0.35925180966699682</v>
      </c>
      <c r="W301">
        <f>H301/K301</f>
        <v>1.4296935174549212</v>
      </c>
      <c r="X301">
        <f>(H301-I301)/K301</f>
        <v>0.71108975855124645</v>
      </c>
      <c r="Y301">
        <f>(H301-K301)/G301</f>
        <v>0.19174712250379986</v>
      </c>
      <c r="Z301">
        <f>J301/N301</f>
        <v>1.2164604288315419</v>
      </c>
      <c r="AA301">
        <f>J301/G301</f>
        <v>0.50129686221473568</v>
      </c>
      <c r="AB301">
        <f>C301/G301</f>
        <v>1.223500583761375</v>
      </c>
      <c r="AC301">
        <f>C301/(G301-K301)</f>
        <v>2.2094483488710539</v>
      </c>
      <c r="AD301">
        <f>Q301/E301</f>
        <v>0.23783510962204621</v>
      </c>
      <c r="AE301">
        <f>Q301/J301</f>
        <v>8.5000610572367977E-2</v>
      </c>
      <c r="AF301">
        <f>Q301/G301</f>
        <v>4.2610539366264757E-2</v>
      </c>
      <c r="AG301">
        <f>Q301/K301</f>
        <v>9.5487600032062303E-2</v>
      </c>
      <c r="AH301">
        <f>Q301/L301</f>
        <v>0.15551318344646661</v>
      </c>
      <c r="AI301" s="1">
        <f>R301</f>
        <v>71.2</v>
      </c>
      <c r="AJ301" s="1">
        <f>P301</f>
        <v>18822460</v>
      </c>
    </row>
    <row r="302" spans="1:36" x14ac:dyDescent="0.25">
      <c r="A302" s="15" t="s">
        <v>46</v>
      </c>
      <c r="B302" s="15">
        <v>2024</v>
      </c>
      <c r="C302" s="6">
        <v>76424242</v>
      </c>
      <c r="D302" s="11">
        <v>10673653</v>
      </c>
      <c r="E302" s="6">
        <v>10974197</v>
      </c>
      <c r="F302" s="6"/>
      <c r="G302" s="6">
        <v>78487258</v>
      </c>
      <c r="H302" s="6">
        <v>39194574</v>
      </c>
      <c r="I302" s="6">
        <v>18449041</v>
      </c>
      <c r="J302" s="6">
        <v>38492382</v>
      </c>
      <c r="K302" s="6">
        <v>34940076</v>
      </c>
      <c r="L302" s="6">
        <f>25025619+M302</f>
        <v>25425607</v>
      </c>
      <c r="M302" s="6">
        <v>399988</v>
      </c>
      <c r="N302" s="6">
        <v>34893140</v>
      </c>
      <c r="O302" s="6">
        <v>39994876</v>
      </c>
      <c r="P302" s="6">
        <v>31472225</v>
      </c>
      <c r="Q302" s="6">
        <v>2919827</v>
      </c>
      <c r="R302" s="6">
        <v>70.5</v>
      </c>
      <c r="S302" s="15"/>
      <c r="T302" s="15">
        <f>E302/G302</f>
        <v>0.13982138349131779</v>
      </c>
      <c r="U302" s="15">
        <f>D302/C302</f>
        <v>0.13966318435974806</v>
      </c>
      <c r="V302" s="15">
        <f>(E302-F302)/O302</f>
        <v>0.27439007436852658</v>
      </c>
      <c r="W302" s="15">
        <f>H302/K302</f>
        <v>1.1217655622729612</v>
      </c>
      <c r="X302" s="15">
        <f>(H302-I302)/K302</f>
        <v>0.59374607542353375</v>
      </c>
      <c r="Y302" s="15">
        <f>(H302-K302)/G302</f>
        <v>5.4206225423240037E-2</v>
      </c>
      <c r="Z302" s="15">
        <f>J302/N302</f>
        <v>1.1031504186782846</v>
      </c>
      <c r="AA302" s="15">
        <f>J302/G302</f>
        <v>0.49042842087820165</v>
      </c>
      <c r="AB302" s="15">
        <f>C302/G302</f>
        <v>0.97371527490487697</v>
      </c>
      <c r="AC302" s="15">
        <f>C302/(G302-K302)</f>
        <v>1.754975603243397</v>
      </c>
      <c r="AD302" s="15">
        <f>Q302/E302</f>
        <v>0.26606292925122449</v>
      </c>
      <c r="AE302" s="15">
        <f>Q302/J302</f>
        <v>7.5854671711405128E-2</v>
      </c>
      <c r="AF302" s="15">
        <f>Q302/G302</f>
        <v>3.7201286863658811E-2</v>
      </c>
      <c r="AG302" s="15">
        <f>Q302/K302</f>
        <v>8.3566704319704393E-2</v>
      </c>
      <c r="AH302" s="15">
        <f>Q302/L302</f>
        <v>0.11483804496781531</v>
      </c>
      <c r="AI302" s="6">
        <f>R302</f>
        <v>70.5</v>
      </c>
      <c r="AJ302" s="6">
        <f>P302</f>
        <v>31472225</v>
      </c>
    </row>
    <row r="303" spans="1:36" s="2" customFormat="1" x14ac:dyDescent="0.25">
      <c r="A303" s="2" t="s">
        <v>54</v>
      </c>
      <c r="B303" s="2">
        <v>2018</v>
      </c>
      <c r="C303" s="3">
        <v>2274260</v>
      </c>
      <c r="D303" s="3">
        <v>136630</v>
      </c>
      <c r="E303" s="3">
        <v>83302</v>
      </c>
      <c r="F303" s="3"/>
      <c r="G303" s="3">
        <v>1837030</v>
      </c>
      <c r="H303" s="3">
        <v>1205480</v>
      </c>
      <c r="I303" s="3">
        <v>562578</v>
      </c>
      <c r="J303" s="3">
        <v>521981</v>
      </c>
      <c r="K303" s="3">
        <v>374297</v>
      </c>
      <c r="L303" s="3">
        <v>196067</v>
      </c>
      <c r="M303" s="3">
        <v>0</v>
      </c>
      <c r="N303" s="3">
        <v>1315049</v>
      </c>
      <c r="O303" s="3">
        <v>1315049</v>
      </c>
      <c r="P303" s="3">
        <v>956197</v>
      </c>
      <c r="Q303" s="3">
        <v>130177</v>
      </c>
      <c r="R303" s="3">
        <v>39.299999999999997</v>
      </c>
      <c r="T303" s="2">
        <f>E303/G303</f>
        <v>4.5346020478707477E-2</v>
      </c>
      <c r="U303" s="2">
        <f>D303/C303</f>
        <v>6.0076684284118789E-2</v>
      </c>
      <c r="V303" s="2">
        <f>(E303-F303)/O303</f>
        <v>6.3345168126815052E-2</v>
      </c>
      <c r="W303" s="2">
        <f>H303/K303</f>
        <v>3.2206509803712025</v>
      </c>
      <c r="X303" s="2">
        <f>(H303-I303)/K303</f>
        <v>1.7176253082445223</v>
      </c>
      <c r="Y303" s="2">
        <f>(H303-K303)/G303</f>
        <v>0.4524602211177825</v>
      </c>
      <c r="Z303" s="2">
        <f>J303/N303</f>
        <v>0.39692893572787019</v>
      </c>
      <c r="AA303" s="2">
        <f>J303/G303</f>
        <v>0.28414397151924575</v>
      </c>
      <c r="AB303" s="2">
        <f>C303/G303</f>
        <v>1.2380091778577378</v>
      </c>
      <c r="AC303" s="2">
        <f>C303/(G303-K303)</f>
        <v>1.5548018674631665</v>
      </c>
      <c r="AD303" s="2">
        <f>Q303/E303</f>
        <v>1.5627115795539124</v>
      </c>
      <c r="AE303" s="2">
        <f>Q303/J303</f>
        <v>0.2493903034784791</v>
      </c>
      <c r="AF303" s="2">
        <f>Q303/G303</f>
        <v>7.0862751288765014E-2</v>
      </c>
      <c r="AG303" s="2">
        <f>Q303/K303</f>
        <v>0.34779065822061089</v>
      </c>
      <c r="AH303" s="2">
        <f>Q303/L303</f>
        <v>0.66394140778407384</v>
      </c>
      <c r="AI303" s="3">
        <f>R303</f>
        <v>39.299999999999997</v>
      </c>
      <c r="AJ303" s="3">
        <f>P303</f>
        <v>956197</v>
      </c>
    </row>
    <row r="304" spans="1:36" x14ac:dyDescent="0.25">
      <c r="A304" t="s">
        <v>54</v>
      </c>
      <c r="B304">
        <v>2019</v>
      </c>
      <c r="C304" s="1">
        <v>2769967</v>
      </c>
      <c r="D304" s="1">
        <v>200337</v>
      </c>
      <c r="E304" s="1">
        <v>129495</v>
      </c>
      <c r="G304" s="1">
        <v>2255670</v>
      </c>
      <c r="H304" s="1">
        <v>1338430</v>
      </c>
      <c r="I304" s="1">
        <v>588529</v>
      </c>
      <c r="J304" s="1">
        <v>625780</v>
      </c>
      <c r="K304" s="1">
        <v>385469</v>
      </c>
      <c r="L304" s="1">
        <v>93529</v>
      </c>
      <c r="M304" s="1">
        <v>0</v>
      </c>
      <c r="N304" s="1">
        <v>1629890</v>
      </c>
      <c r="O304" s="1">
        <v>1629890</v>
      </c>
      <c r="P304" s="1">
        <v>1049168</v>
      </c>
      <c r="Q304" s="1">
        <v>148436</v>
      </c>
      <c r="R304" s="1">
        <v>28.2</v>
      </c>
      <c r="T304">
        <f>E304/G304</f>
        <v>5.7408663501310034E-2</v>
      </c>
      <c r="U304">
        <f>D304/C304</f>
        <v>7.2324688344662588E-2</v>
      </c>
      <c r="V304">
        <f>(E304-F304)/O304</f>
        <v>7.9450146942431701E-2</v>
      </c>
      <c r="W304">
        <f>H304/K304</f>
        <v>3.4722117731905806</v>
      </c>
      <c r="X304">
        <f>(H304-I304)/K304</f>
        <v>1.9454249239238435</v>
      </c>
      <c r="Y304">
        <f>(H304-K304)/G304</f>
        <v>0.42247358877850039</v>
      </c>
      <c r="Z304">
        <f>J304/N304</f>
        <v>0.38394002049218046</v>
      </c>
      <c r="AA304">
        <f>J304/G304</f>
        <v>0.27742533260627661</v>
      </c>
      <c r="AB304">
        <f>C304/G304</f>
        <v>1.2280018797075813</v>
      </c>
      <c r="AC304">
        <f>C304/(G304-K304)</f>
        <v>1.4811065762450133</v>
      </c>
      <c r="AD304">
        <f>Q304/E304</f>
        <v>1.146268195683231</v>
      </c>
      <c r="AE304">
        <f>Q304/J304</f>
        <v>0.23720157243759787</v>
      </c>
      <c r="AF304">
        <f>Q304/G304</f>
        <v>6.5805725128232406E-2</v>
      </c>
      <c r="AG304">
        <f>Q304/K304</f>
        <v>0.38507895576557388</v>
      </c>
      <c r="AH304">
        <f>Q304/L304</f>
        <v>1.5870585593773054</v>
      </c>
      <c r="AI304" s="1">
        <f>R304</f>
        <v>28.2</v>
      </c>
      <c r="AJ304" s="1">
        <f>P304</f>
        <v>1049168</v>
      </c>
    </row>
    <row r="305" spans="1:36" x14ac:dyDescent="0.25">
      <c r="A305" t="s">
        <v>54</v>
      </c>
      <c r="B305">
        <v>2020</v>
      </c>
      <c r="C305" s="1">
        <v>3182456</v>
      </c>
      <c r="D305" s="1">
        <v>288366</v>
      </c>
      <c r="E305" s="1">
        <v>193905</v>
      </c>
      <c r="G305" s="1">
        <v>2576180</v>
      </c>
      <c r="H305" s="1">
        <v>1667995</v>
      </c>
      <c r="I305" s="1">
        <v>906247</v>
      </c>
      <c r="J305" s="1">
        <v>801071</v>
      </c>
      <c r="K305" s="1">
        <v>558524</v>
      </c>
      <c r="L305" s="1">
        <v>331982</v>
      </c>
      <c r="M305" s="1">
        <v>0</v>
      </c>
      <c r="N305" s="1">
        <v>1775109</v>
      </c>
      <c r="O305" s="1">
        <v>1775109</v>
      </c>
      <c r="P305" s="1">
        <v>1196356</v>
      </c>
      <c r="Q305" s="1">
        <v>-161947</v>
      </c>
      <c r="R305" s="1">
        <v>32.799999999999997</v>
      </c>
      <c r="T305">
        <f>E305/G305</f>
        <v>7.5268420684890036E-2</v>
      </c>
      <c r="U305">
        <f>D305/C305</f>
        <v>9.061115063334732E-2</v>
      </c>
      <c r="V305">
        <f>(E305-F305)/O305</f>
        <v>0.1092355455355136</v>
      </c>
      <c r="W305">
        <f>H305/K305</f>
        <v>2.9864338864578781</v>
      </c>
      <c r="X305">
        <f>(H305-I305)/K305</f>
        <v>1.3638590284392433</v>
      </c>
      <c r="Y305">
        <f>(H305-K305)/G305</f>
        <v>0.43066517091197043</v>
      </c>
      <c r="Z305">
        <f>J305/N305</f>
        <v>0.45127989323472528</v>
      </c>
      <c r="AA305">
        <f>J305/G305</f>
        <v>0.31095303899572235</v>
      </c>
      <c r="AB305">
        <f>C305/G305</f>
        <v>1.2353391455565994</v>
      </c>
      <c r="AC305">
        <f>C305/(G305-K305)</f>
        <v>1.5773035641358091</v>
      </c>
      <c r="AD305">
        <f>Q305/E305</f>
        <v>-0.83518733400376477</v>
      </c>
      <c r="AE305">
        <f>Q305/J305</f>
        <v>-0.20216310414432678</v>
      </c>
      <c r="AF305">
        <f>Q305/G305</f>
        <v>-6.286323160648713E-2</v>
      </c>
      <c r="AG305">
        <f>Q305/K305</f>
        <v>-0.28995531078342202</v>
      </c>
      <c r="AH305">
        <f>Q305/L305</f>
        <v>-0.48781861667198823</v>
      </c>
      <c r="AI305" s="1">
        <f>R305</f>
        <v>32.799999999999997</v>
      </c>
      <c r="AJ305" s="1">
        <f>P305</f>
        <v>1196356</v>
      </c>
    </row>
    <row r="306" spans="1:36" x14ac:dyDescent="0.25">
      <c r="A306" t="s">
        <v>54</v>
      </c>
      <c r="B306">
        <v>2021</v>
      </c>
      <c r="C306" s="1">
        <v>4122942</v>
      </c>
      <c r="D306" s="1">
        <v>466335</v>
      </c>
      <c r="E306" s="1">
        <v>403113</v>
      </c>
      <c r="G306" s="1">
        <v>3607830</v>
      </c>
      <c r="H306" s="1">
        <v>2685397</v>
      </c>
      <c r="I306" s="1">
        <v>1325399</v>
      </c>
      <c r="J306" s="1">
        <v>1425840</v>
      </c>
      <c r="K306" s="1">
        <v>1246429</v>
      </c>
      <c r="L306" s="1">
        <v>578659</v>
      </c>
      <c r="M306" s="1">
        <v>0</v>
      </c>
      <c r="N306" s="1">
        <v>2181990</v>
      </c>
      <c r="O306" s="1">
        <v>2181990</v>
      </c>
      <c r="P306" s="1">
        <v>1518462</v>
      </c>
      <c r="Q306" s="1">
        <v>280565</v>
      </c>
      <c r="R306" s="1">
        <v>103</v>
      </c>
      <c r="T306">
        <f>E306/G306</f>
        <v>0.11173281446187874</v>
      </c>
      <c r="U306">
        <f>D306/C306</f>
        <v>0.11310733937076971</v>
      </c>
      <c r="V306">
        <f>(E306-F306)/O306</f>
        <v>0.18474557628586749</v>
      </c>
      <c r="W306">
        <f>H306/K306</f>
        <v>2.1544724970295137</v>
      </c>
      <c r="X306">
        <f>(H306-I306)/K306</f>
        <v>1.0911154987568485</v>
      </c>
      <c r="Y306">
        <f>(H306-K306)/G306</f>
        <v>0.39884584362345232</v>
      </c>
      <c r="Z306">
        <f>J306/N306</f>
        <v>0.65345854013996396</v>
      </c>
      <c r="AA306">
        <f>J306/G306</f>
        <v>0.39520709124321268</v>
      </c>
      <c r="AB306">
        <f>C306/G306</f>
        <v>1.14277612858699</v>
      </c>
      <c r="AC306">
        <f>C306/(G306-K306)</f>
        <v>1.7459728356174999</v>
      </c>
      <c r="AD306">
        <f>Q306/E306</f>
        <v>0.69599591181628973</v>
      </c>
      <c r="AE306">
        <f>Q306/J306</f>
        <v>0.19677172754306232</v>
      </c>
      <c r="AF306">
        <f>Q306/G306</f>
        <v>7.7765582081195619E-2</v>
      </c>
      <c r="AG306">
        <f>Q306/K306</f>
        <v>0.22509505154324874</v>
      </c>
      <c r="AH306">
        <f>Q306/L306</f>
        <v>0.48485377398433271</v>
      </c>
      <c r="AI306" s="1">
        <f>R306</f>
        <v>103</v>
      </c>
      <c r="AJ306" s="1">
        <f>P306</f>
        <v>1518462</v>
      </c>
    </row>
    <row r="307" spans="1:36" x14ac:dyDescent="0.25">
      <c r="A307" t="s">
        <v>54</v>
      </c>
      <c r="B307">
        <v>2022</v>
      </c>
      <c r="C307" s="1">
        <v>6731883</v>
      </c>
      <c r="D307" s="1">
        <v>1036058</v>
      </c>
      <c r="E307" s="1">
        <v>502094</v>
      </c>
      <c r="G307" s="1">
        <v>5264394</v>
      </c>
      <c r="H307" s="1">
        <v>4238722</v>
      </c>
      <c r="I307" s="1">
        <v>1564190</v>
      </c>
      <c r="J307" s="1">
        <v>2613886</v>
      </c>
      <c r="K307" s="1">
        <v>2417512</v>
      </c>
      <c r="L307" s="1">
        <f>596986+M307</f>
        <v>618970</v>
      </c>
      <c r="M307" s="1">
        <v>21984</v>
      </c>
      <c r="N307" s="1">
        <v>2650508</v>
      </c>
      <c r="O307" s="1">
        <v>2650508</v>
      </c>
      <c r="P307" s="1">
        <v>1864868</v>
      </c>
      <c r="Q307" s="1">
        <v>579644</v>
      </c>
      <c r="R307" s="1">
        <v>98.1</v>
      </c>
      <c r="T307">
        <f>E307/G307</f>
        <v>9.5375460119436345E-2</v>
      </c>
      <c r="U307">
        <f>D307/C307</f>
        <v>0.15390315012902037</v>
      </c>
      <c r="V307">
        <f>(E307-F307)/O307</f>
        <v>0.18943311999058293</v>
      </c>
      <c r="W307">
        <f>H307/K307</f>
        <v>1.7533406245760104</v>
      </c>
      <c r="X307">
        <f>(H307-I307)/K307</f>
        <v>1.1063159148744659</v>
      </c>
      <c r="Y307">
        <f>(H307-K307)/G307</f>
        <v>0.34594865049994361</v>
      </c>
      <c r="Z307">
        <f>J307/N307</f>
        <v>0.98618302604632768</v>
      </c>
      <c r="AA307">
        <f>J307/G307</f>
        <v>0.49652172690721857</v>
      </c>
      <c r="AB307">
        <f>C307/G307</f>
        <v>1.2787574410274003</v>
      </c>
      <c r="AC307">
        <f>C307/(G307-K307)</f>
        <v>2.3646512219333293</v>
      </c>
      <c r="AD307">
        <f>Q307/E307</f>
        <v>1.1544531502069333</v>
      </c>
      <c r="AE307">
        <f>Q307/J307</f>
        <v>0.22175565422516513</v>
      </c>
      <c r="AF307">
        <f>Q307/G307</f>
        <v>0.11010650038731903</v>
      </c>
      <c r="AG307">
        <f>Q307/K307</f>
        <v>0.23976882017545312</v>
      </c>
      <c r="AH307">
        <f>Q307/L307</f>
        <v>0.93646541835630159</v>
      </c>
      <c r="AI307" s="1">
        <f>R307</f>
        <v>98.1</v>
      </c>
      <c r="AJ307" s="1">
        <f>P307</f>
        <v>1864868</v>
      </c>
    </row>
    <row r="308" spans="1:36" x14ac:dyDescent="0.25">
      <c r="A308" t="s">
        <v>54</v>
      </c>
      <c r="B308">
        <v>2023</v>
      </c>
      <c r="C308" s="1">
        <v>4333998</v>
      </c>
      <c r="D308" s="1">
        <v>1573175</v>
      </c>
      <c r="E308" s="1">
        <v>643189</v>
      </c>
      <c r="G308" s="1">
        <v>4061052</v>
      </c>
      <c r="H308" s="1">
        <v>2966985</v>
      </c>
      <c r="I308" s="1">
        <v>1294860</v>
      </c>
      <c r="J308" s="1">
        <v>822694</v>
      </c>
      <c r="K308" s="1">
        <v>612410</v>
      </c>
      <c r="L308" s="1">
        <f>17280+M308</f>
        <v>35304</v>
      </c>
      <c r="M308" s="1">
        <v>18024</v>
      </c>
      <c r="N308" s="1">
        <v>3238358</v>
      </c>
      <c r="O308" s="1">
        <v>3238358</v>
      </c>
      <c r="P308" s="1">
        <v>2402494</v>
      </c>
      <c r="Q308" s="1">
        <v>153569</v>
      </c>
      <c r="R308" s="1">
        <v>84.3</v>
      </c>
      <c r="T308">
        <f>E308/G308</f>
        <v>0.15837989762258647</v>
      </c>
      <c r="U308">
        <f>D308/C308</f>
        <v>0.36298470834550456</v>
      </c>
      <c r="V308">
        <f>(E308-F308)/O308</f>
        <v>0.19861577997244281</v>
      </c>
      <c r="W308">
        <f>H308/K308</f>
        <v>4.8447690272856416</v>
      </c>
      <c r="X308">
        <f>(H308-I308)/K308</f>
        <v>2.7304012018092454</v>
      </c>
      <c r="Y308">
        <f>(H308-K308)/G308</f>
        <v>0.57979434885344983</v>
      </c>
      <c r="Z308">
        <f>J308/N308</f>
        <v>0.25404664956746598</v>
      </c>
      <c r="AA308">
        <f>J308/G308</f>
        <v>0.20258149858706562</v>
      </c>
      <c r="AB308">
        <f>C308/G308</f>
        <v>1.0672106636408498</v>
      </c>
      <c r="AC308">
        <f>C308/(G308-K308)</f>
        <v>1.2567259808353548</v>
      </c>
      <c r="AD308">
        <f>Q308/E308</f>
        <v>0.23876185693474236</v>
      </c>
      <c r="AE308">
        <f>Q308/J308</f>
        <v>0.18666600218307172</v>
      </c>
      <c r="AF308">
        <f>Q308/G308</f>
        <v>3.7815078457503128E-2</v>
      </c>
      <c r="AG308">
        <f>Q308/K308</f>
        <v>0.25076174458287748</v>
      </c>
      <c r="AH308">
        <f>Q308/L308</f>
        <v>4.3499036936324496</v>
      </c>
      <c r="AI308" s="1">
        <f>R308</f>
        <v>84.3</v>
      </c>
      <c r="AJ308" s="1">
        <f>P308</f>
        <v>2402494</v>
      </c>
    </row>
    <row r="309" spans="1:36" x14ac:dyDescent="0.25">
      <c r="A309" s="15" t="s">
        <v>54</v>
      </c>
      <c r="B309" s="15">
        <v>2024</v>
      </c>
      <c r="C309" s="6">
        <v>4321998</v>
      </c>
      <c r="D309" s="6">
        <v>1021190</v>
      </c>
      <c r="E309" s="6">
        <v>649934</v>
      </c>
      <c r="F309" s="6"/>
      <c r="G309" s="6">
        <v>4693555</v>
      </c>
      <c r="H309" s="6">
        <v>3193991</v>
      </c>
      <c r="I309" s="6">
        <v>957670</v>
      </c>
      <c r="J309" s="6">
        <v>713628</v>
      </c>
      <c r="K309" s="6">
        <v>488226</v>
      </c>
      <c r="L309" s="6">
        <f>13580+M309</f>
        <v>18024</v>
      </c>
      <c r="M309" s="6">
        <v>4444</v>
      </c>
      <c r="N309" s="6">
        <v>3979927</v>
      </c>
      <c r="O309" s="6">
        <v>3979927</v>
      </c>
      <c r="P309" s="6">
        <v>2907427</v>
      </c>
      <c r="Q309" s="6">
        <v>647100</v>
      </c>
      <c r="R309" s="6">
        <v>111</v>
      </c>
      <c r="S309" s="15"/>
      <c r="T309" s="15">
        <f>E309/G309</f>
        <v>0.13847371555249699</v>
      </c>
      <c r="U309" s="15">
        <f>D309/C309</f>
        <v>0.23627729582475512</v>
      </c>
      <c r="V309" s="15">
        <f>(E309-F309)/O309</f>
        <v>0.16330299525594313</v>
      </c>
      <c r="W309" s="15">
        <f>H309/K309</f>
        <v>6.5420338122099189</v>
      </c>
      <c r="X309" s="15">
        <f>(H309-I309)/K309</f>
        <v>4.5805037011547931</v>
      </c>
      <c r="Y309" s="15">
        <f>(H309-K309)/G309</f>
        <v>0.57648520151569549</v>
      </c>
      <c r="Z309" s="15">
        <f>J309/N309</f>
        <v>0.17930680638112206</v>
      </c>
      <c r="AA309" s="15">
        <f>J309/G309</f>
        <v>0.15204423938784142</v>
      </c>
      <c r="AB309" s="15">
        <f>C309/G309</f>
        <v>0.9208367644567923</v>
      </c>
      <c r="AC309" s="15">
        <f>C309/(G309-K309)</f>
        <v>1.0277431325824924</v>
      </c>
      <c r="AD309" s="15">
        <f>Q309/E309</f>
        <v>0.99563955724735131</v>
      </c>
      <c r="AE309" s="15">
        <f>Q309/J309</f>
        <v>0.90677495838167788</v>
      </c>
      <c r="AF309" s="15">
        <f>Q309/G309</f>
        <v>0.13786990884308375</v>
      </c>
      <c r="AG309" s="15">
        <f>Q309/K309</f>
        <v>1.3254107728797728</v>
      </c>
      <c r="AH309" s="15">
        <f>Q309/L309</f>
        <v>35.902130492676434</v>
      </c>
      <c r="AI309" s="6">
        <f>R309</f>
        <v>111</v>
      </c>
      <c r="AJ309" s="6">
        <f>P309</f>
        <v>2907427</v>
      </c>
    </row>
    <row r="310" spans="1:36" s="2" customFormat="1" x14ac:dyDescent="0.25">
      <c r="A310" s="2" t="s">
        <v>61</v>
      </c>
      <c r="B310" s="2">
        <v>2018</v>
      </c>
      <c r="C310" s="3">
        <v>438631</v>
      </c>
      <c r="D310" s="3">
        <v>385812</v>
      </c>
      <c r="E310" s="3">
        <v>512245</v>
      </c>
      <c r="F310" s="3"/>
      <c r="G310" s="3">
        <v>8599305</v>
      </c>
      <c r="H310" s="3">
        <v>1077923</v>
      </c>
      <c r="I310" s="3">
        <v>0</v>
      </c>
      <c r="J310" s="3">
        <v>78518</v>
      </c>
      <c r="K310" s="3">
        <v>78518</v>
      </c>
      <c r="L310" s="3">
        <v>0</v>
      </c>
      <c r="M310" s="3">
        <v>0</v>
      </c>
      <c r="N310" s="3">
        <v>8520787</v>
      </c>
      <c r="O310" s="3">
        <v>8520787</v>
      </c>
      <c r="P310" s="3">
        <v>7570149</v>
      </c>
      <c r="Q310" s="3">
        <v>297965</v>
      </c>
      <c r="R310" s="3">
        <v>43</v>
      </c>
      <c r="T310" s="2">
        <f>E310/G310</f>
        <v>5.9568186033638768E-2</v>
      </c>
      <c r="U310" s="2">
        <f>D310/C310</f>
        <v>0.87958215447608579</v>
      </c>
      <c r="V310" s="2">
        <f>(E310-F310)/O310</f>
        <v>6.0117099512052116E-2</v>
      </c>
      <c r="W310" s="2">
        <f>H310/K310</f>
        <v>13.728355281591481</v>
      </c>
      <c r="X310" s="2">
        <f>(H310-I310)/K310</f>
        <v>13.728355281591481</v>
      </c>
      <c r="Y310" s="2">
        <f>(H310-K310)/G310</f>
        <v>0.11621927586008404</v>
      </c>
      <c r="Z310" s="2">
        <f>J310/N310</f>
        <v>9.2148765131671515E-3</v>
      </c>
      <c r="AA310" s="2">
        <f>J310/G310</f>
        <v>9.1307378910272397E-3</v>
      </c>
      <c r="AB310" s="2">
        <f>C310/G310</f>
        <v>5.1007726787222922E-2</v>
      </c>
      <c r="AC310" s="2">
        <f>C310/(G310-K310)</f>
        <v>5.1477756690784547E-2</v>
      </c>
      <c r="AD310" s="2">
        <f>Q310/E310</f>
        <v>0.58168454548116622</v>
      </c>
      <c r="AE310" s="2">
        <f>Q310/J310</f>
        <v>3.7948623245625206</v>
      </c>
      <c r="AF310" s="2">
        <f>Q310/G310</f>
        <v>3.4649893218114722E-2</v>
      </c>
      <c r="AG310" s="2">
        <f>Q310/K310</f>
        <v>3.7948623245625206</v>
      </c>
      <c r="AH310" s="2" t="e">
        <f>Q310/L310</f>
        <v>#DIV/0!</v>
      </c>
      <c r="AI310" s="3">
        <f>R310</f>
        <v>43</v>
      </c>
      <c r="AJ310" s="3">
        <f>P310</f>
        <v>7570149</v>
      </c>
    </row>
    <row r="311" spans="1:36" x14ac:dyDescent="0.25">
      <c r="A311" t="s">
        <v>61</v>
      </c>
      <c r="B311">
        <v>2019</v>
      </c>
      <c r="C311" s="1">
        <v>-885000</v>
      </c>
      <c r="D311" s="1">
        <v>-954987</v>
      </c>
      <c r="E311" s="1">
        <v>-1186302</v>
      </c>
      <c r="G311" s="1">
        <v>7286515</v>
      </c>
      <c r="H311" s="1">
        <v>3701957</v>
      </c>
      <c r="I311" s="1">
        <v>0</v>
      </c>
      <c r="J311" s="1">
        <v>62106</v>
      </c>
      <c r="K311" s="1">
        <v>62106</v>
      </c>
      <c r="L311" s="1">
        <v>0</v>
      </c>
      <c r="M311" s="1">
        <v>0</v>
      </c>
      <c r="N311" s="1">
        <v>7224409</v>
      </c>
      <c r="O311" s="1">
        <v>7224409</v>
      </c>
      <c r="P311" s="1">
        <v>6273771</v>
      </c>
      <c r="Q311" s="1">
        <v>-41108</v>
      </c>
      <c r="R311" s="1">
        <v>36.5</v>
      </c>
      <c r="T311">
        <f>E311/G311</f>
        <v>-0.16280787180154024</v>
      </c>
      <c r="U311">
        <f>D311/C311</f>
        <v>1.0790813559322034</v>
      </c>
      <c r="V311">
        <f>(E311-F311)/O311</f>
        <v>-0.16420748050117318</v>
      </c>
      <c r="W311">
        <f>H311/K311</f>
        <v>59.607075000805075</v>
      </c>
      <c r="X311">
        <f>(H311-I311)/K311</f>
        <v>59.607075000805075</v>
      </c>
      <c r="Y311">
        <f>(H311-K311)/G311</f>
        <v>0.49953249255645532</v>
      </c>
      <c r="Z311">
        <f>J311/N311</f>
        <v>8.5966893624101291E-3</v>
      </c>
      <c r="AA311">
        <f>J311/G311</f>
        <v>8.5234162010233965E-3</v>
      </c>
      <c r="AB311">
        <f>C311/G311</f>
        <v>-0.12145723984648354</v>
      </c>
      <c r="AC311">
        <f>C311/(G311-K311)</f>
        <v>-0.1225013700082595</v>
      </c>
      <c r="AD311">
        <f>Q311/E311</f>
        <v>3.4652221778265567E-2</v>
      </c>
      <c r="AE311">
        <f>Q311/J311</f>
        <v>-0.66190062151804974</v>
      </c>
      <c r="AF311">
        <f>Q311/G311</f>
        <v>-5.6416544809144015E-3</v>
      </c>
      <c r="AG311">
        <f>Q311/K311</f>
        <v>-0.66190062151804974</v>
      </c>
      <c r="AH311" t="e">
        <f>Q311/L311</f>
        <v>#DIV/0!</v>
      </c>
      <c r="AI311" s="1">
        <f>R311</f>
        <v>36.5</v>
      </c>
      <c r="AJ311" s="1">
        <f>P311</f>
        <v>6273771</v>
      </c>
    </row>
    <row r="312" spans="1:36" x14ac:dyDescent="0.25">
      <c r="A312" t="s">
        <v>61</v>
      </c>
      <c r="B312">
        <v>2020</v>
      </c>
      <c r="C312" s="1">
        <v>-427844</v>
      </c>
      <c r="D312" s="1">
        <v>-499970</v>
      </c>
      <c r="E312" s="1">
        <v>-645345</v>
      </c>
      <c r="G312" s="1">
        <v>6766173</v>
      </c>
      <c r="H312" s="1">
        <v>3135306</v>
      </c>
      <c r="I312" s="1">
        <v>0</v>
      </c>
      <c r="J312" s="1">
        <v>370535</v>
      </c>
      <c r="K312" s="1">
        <v>370535</v>
      </c>
      <c r="L312" s="1">
        <v>341275</v>
      </c>
      <c r="M312" s="1">
        <v>0</v>
      </c>
      <c r="N312" s="1">
        <v>6395638</v>
      </c>
      <c r="O312" s="1">
        <v>6395638</v>
      </c>
      <c r="P312" s="1">
        <v>5445000</v>
      </c>
      <c r="Q312" s="1">
        <v>373797</v>
      </c>
      <c r="R312" s="1">
        <v>29.1</v>
      </c>
      <c r="T312">
        <f>E312/G312</f>
        <v>-9.5378140641689174E-2</v>
      </c>
      <c r="U312">
        <f>D312/C312</f>
        <v>1.1685801366853339</v>
      </c>
      <c r="V312">
        <f>(E312-F312)/O312</f>
        <v>-0.10090392858382541</v>
      </c>
      <c r="W312">
        <f>H312/K312</f>
        <v>8.4615650343422342</v>
      </c>
      <c r="X312">
        <f>(H312-I312)/K312</f>
        <v>8.4615650343422342</v>
      </c>
      <c r="Y312">
        <f>(H312-K312)/G312</f>
        <v>0.40861665819067883</v>
      </c>
      <c r="Z312">
        <f>J312/N312</f>
        <v>5.7935580469063448E-2</v>
      </c>
      <c r="AA312">
        <f>J312/G312</f>
        <v>5.4762862256108435E-2</v>
      </c>
      <c r="AB312">
        <f>C312/G312</f>
        <v>-6.3232790530185976E-2</v>
      </c>
      <c r="AC312">
        <f>C312/(G312-K312)</f>
        <v>-6.6896218954230993E-2</v>
      </c>
      <c r="AD312">
        <f>Q312/E312</f>
        <v>-0.57922041698626314</v>
      </c>
      <c r="AE312">
        <f>Q312/J312</f>
        <v>1.0088034868500952</v>
      </c>
      <c r="AF312">
        <f>Q312/G312</f>
        <v>5.5244966393853658E-2</v>
      </c>
      <c r="AG312">
        <f>Q312/K312</f>
        <v>1.0088034868500952</v>
      </c>
      <c r="AH312">
        <f>Q312/L312</f>
        <v>1.0952955827411912</v>
      </c>
      <c r="AI312" s="1">
        <f>R312</f>
        <v>29.1</v>
      </c>
      <c r="AJ312" s="1">
        <f>P312</f>
        <v>5445000</v>
      </c>
    </row>
    <row r="313" spans="1:36" x14ac:dyDescent="0.25">
      <c r="A313" t="s">
        <v>61</v>
      </c>
      <c r="B313">
        <v>2021</v>
      </c>
      <c r="C313" s="1">
        <v>1075708</v>
      </c>
      <c r="D313" s="1">
        <v>1016872</v>
      </c>
      <c r="E313" s="1">
        <v>1484197</v>
      </c>
      <c r="G313" s="1">
        <v>9442161</v>
      </c>
      <c r="H313" s="1">
        <v>3768480</v>
      </c>
      <c r="I313" s="1">
        <v>0</v>
      </c>
      <c r="J313" s="1">
        <v>32247</v>
      </c>
      <c r="K313" s="1">
        <v>32247</v>
      </c>
      <c r="L313" s="1">
        <v>0</v>
      </c>
      <c r="M313" s="1">
        <v>0</v>
      </c>
      <c r="N313" s="1">
        <v>9409914</v>
      </c>
      <c r="O313" s="1">
        <v>9409914</v>
      </c>
      <c r="P313" s="1">
        <v>8384740</v>
      </c>
      <c r="Q313" s="1">
        <v>398091</v>
      </c>
      <c r="R313" s="1">
        <v>63.7</v>
      </c>
      <c r="T313">
        <f>E313/G313</f>
        <v>0.15718827501458618</v>
      </c>
      <c r="U313">
        <f>D313/C313</f>
        <v>0.94530485968311107</v>
      </c>
      <c r="V313">
        <f>(E313-F313)/O313</f>
        <v>0.15772694628239961</v>
      </c>
      <c r="W313">
        <f>H313/K313</f>
        <v>116.86296399665085</v>
      </c>
      <c r="X313">
        <f>(H313-I313)/K313</f>
        <v>116.86296399665085</v>
      </c>
      <c r="Y313">
        <f>(H313-K313)/G313</f>
        <v>0.395696811354943</v>
      </c>
      <c r="Z313">
        <f>J313/N313</f>
        <v>3.4269176105116371E-3</v>
      </c>
      <c r="AA313">
        <f>J313/G313</f>
        <v>3.4152139536701397E-3</v>
      </c>
      <c r="AB313">
        <f>C313/G313</f>
        <v>0.11392603875320491</v>
      </c>
      <c r="AC313">
        <f>C313/(G313-K313)</f>
        <v>0.1143164539017041</v>
      </c>
      <c r="AD313">
        <f>Q313/E313</f>
        <v>0.26821978483988312</v>
      </c>
      <c r="AE313">
        <f>Q313/J313</f>
        <v>12.345055353986417</v>
      </c>
      <c r="AF313">
        <f>Q313/G313</f>
        <v>4.2161005303764681E-2</v>
      </c>
      <c r="AG313">
        <f>Q313/K313</f>
        <v>12.345055353986417</v>
      </c>
      <c r="AH313" t="e">
        <f>Q313/L313</f>
        <v>#DIV/0!</v>
      </c>
      <c r="AI313" s="1">
        <f>R313</f>
        <v>63.7</v>
      </c>
      <c r="AJ313" s="1">
        <f>P313</f>
        <v>8384740</v>
      </c>
    </row>
    <row r="314" spans="1:36" x14ac:dyDescent="0.25">
      <c r="A314" t="s">
        <v>61</v>
      </c>
      <c r="B314">
        <v>2022</v>
      </c>
      <c r="C314" s="1">
        <v>-229526</v>
      </c>
      <c r="D314" s="1">
        <v>-290083</v>
      </c>
      <c r="E314" s="1">
        <v>-497777</v>
      </c>
      <c r="G314" s="1">
        <v>9407443</v>
      </c>
      <c r="H314" s="1">
        <v>3424507</v>
      </c>
      <c r="I314" s="1">
        <v>0</v>
      </c>
      <c r="J314" s="1">
        <v>129808</v>
      </c>
      <c r="K314" s="1">
        <v>129808</v>
      </c>
      <c r="L314" s="1">
        <v>0</v>
      </c>
      <c r="M314" s="1">
        <v>0</v>
      </c>
      <c r="N314" s="1">
        <v>9277635</v>
      </c>
      <c r="O314" s="1">
        <v>9277635</v>
      </c>
      <c r="P314" s="1">
        <v>8252461</v>
      </c>
      <c r="Q314" s="1">
        <v>410956</v>
      </c>
      <c r="R314" s="1">
        <v>37.1</v>
      </c>
      <c r="T314">
        <f>E314/G314</f>
        <v>-5.2913102954756146E-2</v>
      </c>
      <c r="U314">
        <f>D314/C314</f>
        <v>1.2638350339395101</v>
      </c>
      <c r="V314">
        <f>(E314-F314)/O314</f>
        <v>-5.3653436463064134E-2</v>
      </c>
      <c r="W314">
        <f>H314/K314</f>
        <v>26.381324725748797</v>
      </c>
      <c r="X314">
        <f>(H314-I314)/K314</f>
        <v>26.381324725748797</v>
      </c>
      <c r="Y314">
        <f>(H314-K314)/G314</f>
        <v>0.35022258439408033</v>
      </c>
      <c r="Z314">
        <f>J314/N314</f>
        <v>1.399149675536923E-2</v>
      </c>
      <c r="AA314">
        <f>J314/G314</f>
        <v>1.3798435983082757E-2</v>
      </c>
      <c r="AB314">
        <f>C314/G314</f>
        <v>-2.4398340760608383E-2</v>
      </c>
      <c r="AC314">
        <f>C314/(G314-K314)</f>
        <v>-2.4739710066196827E-2</v>
      </c>
      <c r="AD314">
        <f>Q314/E314</f>
        <v>-0.82558253997271869</v>
      </c>
      <c r="AE314">
        <f>Q314/J314</f>
        <v>3.1658757549611733</v>
      </c>
      <c r="AF314">
        <f>Q314/G314</f>
        <v>4.3684133935225543E-2</v>
      </c>
      <c r="AG314">
        <f>Q314/K314</f>
        <v>3.1658757549611733</v>
      </c>
      <c r="AH314" t="e">
        <f>Q314/L314</f>
        <v>#DIV/0!</v>
      </c>
      <c r="AI314" s="1">
        <f>R314</f>
        <v>37.1</v>
      </c>
      <c r="AJ314" s="1">
        <f>P314</f>
        <v>8252461</v>
      </c>
    </row>
    <row r="315" spans="1:36" x14ac:dyDescent="0.25">
      <c r="A315" t="s">
        <v>61</v>
      </c>
      <c r="B315">
        <v>2023</v>
      </c>
      <c r="C315" s="1">
        <v>570665</v>
      </c>
      <c r="D315" s="1">
        <v>496966</v>
      </c>
      <c r="E315" s="1">
        <v>656802</v>
      </c>
      <c r="G315" s="1">
        <v>10858365</v>
      </c>
      <c r="H315" s="1">
        <v>2644136</v>
      </c>
      <c r="I315" s="1">
        <v>0</v>
      </c>
      <c r="J315" s="1">
        <v>286158</v>
      </c>
      <c r="K315" s="1">
        <v>286158</v>
      </c>
      <c r="L315" s="1">
        <v>251629</v>
      </c>
      <c r="M315" s="1">
        <v>0</v>
      </c>
      <c r="N315" s="1">
        <v>10572207</v>
      </c>
      <c r="O315" s="1">
        <v>10572207</v>
      </c>
      <c r="P315" s="1">
        <v>9547033</v>
      </c>
      <c r="Q315" s="1">
        <v>-835060</v>
      </c>
      <c r="R315" s="1">
        <v>33.5</v>
      </c>
      <c r="T315">
        <f>E315/G315</f>
        <v>6.0488112160532459E-2</v>
      </c>
      <c r="U315">
        <f>D315/C315</f>
        <v>0.87085417889655048</v>
      </c>
      <c r="V315">
        <f>(E315-F315)/O315</f>
        <v>6.2125344310795277E-2</v>
      </c>
      <c r="W315">
        <f>H315/K315</f>
        <v>9.2401260841912514</v>
      </c>
      <c r="X315">
        <f>(H315-I315)/K315</f>
        <v>9.2401260841912514</v>
      </c>
      <c r="Y315">
        <f>(H315-K315)/G315</f>
        <v>0.21715773967811913</v>
      </c>
      <c r="Z315">
        <f>J315/N315</f>
        <v>2.7067006917287941E-2</v>
      </c>
      <c r="AA315">
        <f>J315/G315</f>
        <v>2.6353691370662159E-2</v>
      </c>
      <c r="AB315">
        <f>C315/G315</f>
        <v>5.2555334067329658E-2</v>
      </c>
      <c r="AC315">
        <f>C315/(G315-K315)</f>
        <v>5.3977849658070447E-2</v>
      </c>
      <c r="AD315">
        <f>Q315/E315</f>
        <v>-1.2714029494429067</v>
      </c>
      <c r="AE315">
        <f>Q315/J315</f>
        <v>-2.9181780694581314</v>
      </c>
      <c r="AF315">
        <f>Q315/G315</f>
        <v>-7.690476420713431E-2</v>
      </c>
      <c r="AG315">
        <f>Q315/K315</f>
        <v>-2.9181780694581314</v>
      </c>
      <c r="AH315">
        <f>Q315/L315</f>
        <v>-3.3186158988033969</v>
      </c>
      <c r="AI315" s="1">
        <f>R315</f>
        <v>33.5</v>
      </c>
      <c r="AJ315" s="1">
        <f>P315</f>
        <v>9547033</v>
      </c>
    </row>
    <row r="316" spans="1:36" x14ac:dyDescent="0.25">
      <c r="A316" s="15" t="s">
        <v>61</v>
      </c>
      <c r="B316" s="15">
        <v>2024</v>
      </c>
      <c r="C316" s="6">
        <v>1188950</v>
      </c>
      <c r="D316" s="6">
        <v>1074503</v>
      </c>
      <c r="E316" s="6">
        <v>1605443</v>
      </c>
      <c r="F316" s="6"/>
      <c r="G316" s="6">
        <v>12429978</v>
      </c>
      <c r="H316" s="6">
        <v>3631706</v>
      </c>
      <c r="I316" s="6">
        <v>0</v>
      </c>
      <c r="J316" s="6">
        <v>692495</v>
      </c>
      <c r="K316" s="6">
        <v>692495</v>
      </c>
      <c r="L316" s="6">
        <v>653153</v>
      </c>
      <c r="M316" s="6">
        <v>0</v>
      </c>
      <c r="N316" s="6">
        <v>11737483</v>
      </c>
      <c r="O316" s="6">
        <v>11737483</v>
      </c>
      <c r="P316" s="6">
        <v>10712309</v>
      </c>
      <c r="Q316" s="6">
        <v>499729</v>
      </c>
      <c r="R316" s="6">
        <v>47.3</v>
      </c>
      <c r="S316" s="15"/>
      <c r="T316" s="15">
        <f>E316/G316</f>
        <v>0.12915895748166248</v>
      </c>
      <c r="U316" s="15">
        <f>D316/C316</f>
        <v>0.90374111611085417</v>
      </c>
      <c r="V316" s="15">
        <f>(E316-F316)/O316</f>
        <v>0.13677915444052188</v>
      </c>
      <c r="W316" s="15">
        <f>H316/K316</f>
        <v>5.2443786597737168</v>
      </c>
      <c r="X316" s="15">
        <f>(H316-I316)/K316</f>
        <v>5.2443786597737168</v>
      </c>
      <c r="Y316" s="15">
        <f>(H316-K316)/G316</f>
        <v>0.23646148046279727</v>
      </c>
      <c r="Z316" s="15">
        <f>J316/N316</f>
        <v>5.8998594502756678E-2</v>
      </c>
      <c r="AA316" s="15">
        <f>J316/G316</f>
        <v>5.5711683480051212E-2</v>
      </c>
      <c r="AB316" s="15">
        <f>C316/G316</f>
        <v>9.565181853097407E-2</v>
      </c>
      <c r="AC316" s="15">
        <f>C316/(G316-K316)</f>
        <v>0.10129514138593428</v>
      </c>
      <c r="AD316" s="15">
        <f>Q316/E316</f>
        <v>0.31127171752594146</v>
      </c>
      <c r="AE316" s="15">
        <f>Q316/J316</f>
        <v>0.72163553527462287</v>
      </c>
      <c r="AF316" s="15">
        <f>Q316/G316</f>
        <v>4.020353052917712E-2</v>
      </c>
      <c r="AG316" s="15">
        <f>Q316/K316</f>
        <v>0.72163553527462287</v>
      </c>
      <c r="AH316" s="15">
        <f>Q316/L316</f>
        <v>0.76510251043783006</v>
      </c>
      <c r="AI316" s="6">
        <f>R316</f>
        <v>47.3</v>
      </c>
      <c r="AJ316" s="6">
        <f>P316</f>
        <v>10712309</v>
      </c>
    </row>
    <row r="317" spans="1:36" s="2" customFormat="1" x14ac:dyDescent="0.25">
      <c r="A317" s="2" t="s">
        <v>70</v>
      </c>
      <c r="B317" s="2">
        <v>2018</v>
      </c>
      <c r="C317" s="3">
        <v>26547</v>
      </c>
      <c r="D317" s="3">
        <f>21884-290</f>
        <v>21594</v>
      </c>
      <c r="E317" s="3">
        <v>21205</v>
      </c>
      <c r="F317" s="3"/>
      <c r="G317" s="3">
        <v>1188659</v>
      </c>
      <c r="H317" s="3">
        <v>302191</v>
      </c>
      <c r="I317" s="3">
        <v>0</v>
      </c>
      <c r="J317" s="3">
        <v>38169</v>
      </c>
      <c r="K317" s="3">
        <v>38169</v>
      </c>
      <c r="L317" s="3">
        <v>6000</v>
      </c>
      <c r="M317" s="3">
        <v>0</v>
      </c>
      <c r="N317" s="3">
        <v>1150490</v>
      </c>
      <c r="O317" s="3">
        <v>1150490</v>
      </c>
      <c r="P317" s="3">
        <v>244028</v>
      </c>
      <c r="Q317" s="3">
        <v>9724</v>
      </c>
      <c r="R317" s="3">
        <v>80</v>
      </c>
      <c r="T317" s="2">
        <f>E317/G317</f>
        <v>1.7839430820782074E-2</v>
      </c>
      <c r="U317" s="2">
        <f>D317/C317</f>
        <v>0.81342524579048481</v>
      </c>
      <c r="V317" s="2">
        <f>(E317-F317)/O317</f>
        <v>1.8431277108014846E-2</v>
      </c>
      <c r="W317" s="2">
        <f>H317/K317</f>
        <v>7.9171841022819569</v>
      </c>
      <c r="X317" s="2">
        <f>(H317-I317)/K317</f>
        <v>7.9171841022819569</v>
      </c>
      <c r="Y317" s="2">
        <f>(H317-K317)/G317</f>
        <v>0.22211752908109053</v>
      </c>
      <c r="Z317" s="2">
        <f>J317/N317</f>
        <v>3.3176298794426726E-2</v>
      </c>
      <c r="AA317" s="2">
        <f>J317/G317</f>
        <v>3.2110975477407731E-2</v>
      </c>
      <c r="AB317" s="2">
        <f>C317/G317</f>
        <v>2.2333570855897277E-2</v>
      </c>
      <c r="AC317" s="2">
        <f>C317/(G317-K317)</f>
        <v>2.3074516075759024E-2</v>
      </c>
      <c r="AD317" s="2">
        <f>Q317/E317</f>
        <v>0.45857109172365007</v>
      </c>
      <c r="AE317" s="2">
        <f>Q317/J317</f>
        <v>0.25476171762425004</v>
      </c>
      <c r="AF317" s="2">
        <f>Q317/G317</f>
        <v>8.1806472672145674E-3</v>
      </c>
      <c r="AG317" s="2">
        <f>Q317/K317</f>
        <v>0.25476171762425004</v>
      </c>
      <c r="AH317" s="2">
        <f>Q317/L317</f>
        <v>1.6206666666666667</v>
      </c>
      <c r="AI317" s="3">
        <f>R317</f>
        <v>80</v>
      </c>
      <c r="AJ317" s="3">
        <f>P317</f>
        <v>244028</v>
      </c>
    </row>
    <row r="318" spans="1:36" x14ac:dyDescent="0.25">
      <c r="A318" t="s">
        <v>70</v>
      </c>
      <c r="B318">
        <v>2019</v>
      </c>
      <c r="C318" s="1">
        <v>22732</v>
      </c>
      <c r="D318" s="1">
        <f>-29683-227</f>
        <v>-29910</v>
      </c>
      <c r="E318" s="1">
        <v>-29683</v>
      </c>
      <c r="G318" s="1">
        <v>973520</v>
      </c>
      <c r="H318" s="1">
        <v>261517</v>
      </c>
      <c r="I318" s="1">
        <v>0</v>
      </c>
      <c r="J318" s="1">
        <v>29776</v>
      </c>
      <c r="K318" s="1">
        <v>29776</v>
      </c>
      <c r="L318" s="1">
        <v>6000</v>
      </c>
      <c r="M318" s="1">
        <v>0</v>
      </c>
      <c r="N318" s="1">
        <v>943744</v>
      </c>
      <c r="O318" s="1">
        <v>943744</v>
      </c>
      <c r="P318" s="1">
        <v>206398</v>
      </c>
      <c r="Q318" s="1">
        <v>2322</v>
      </c>
      <c r="R318" s="1">
        <v>60</v>
      </c>
      <c r="T318">
        <f>E318/G318</f>
        <v>-3.0490385405538663E-2</v>
      </c>
      <c r="U318">
        <f>D318/C318</f>
        <v>-1.3157663206053141</v>
      </c>
      <c r="V318">
        <f>(E318-F318)/O318</f>
        <v>-3.1452385392648857E-2</v>
      </c>
      <c r="W318">
        <f>H318/K318</f>
        <v>8.7828116603976358</v>
      </c>
      <c r="X318">
        <f>(H318-I318)/K318</f>
        <v>8.7828116603976358</v>
      </c>
      <c r="Y318">
        <f>(H318-K318)/G318</f>
        <v>0.23804441613937052</v>
      </c>
      <c r="Z318">
        <f>J318/N318</f>
        <v>3.1550929065509291E-2</v>
      </c>
      <c r="AA318">
        <f>J318/G318</f>
        <v>3.0585915029994248E-2</v>
      </c>
      <c r="AB318">
        <f>C318/G318</f>
        <v>2.3350316377680994E-2</v>
      </c>
      <c r="AC318">
        <f>C318/(G318-K318)</f>
        <v>2.4087040553370406E-2</v>
      </c>
      <c r="AD318">
        <f>Q318/E318</f>
        <v>-7.822659434693259E-2</v>
      </c>
      <c r="AE318">
        <f>Q318/J318</f>
        <v>7.7982267598065549E-2</v>
      </c>
      <c r="AF318">
        <f>Q318/G318</f>
        <v>2.3851590106007069E-3</v>
      </c>
      <c r="AG318">
        <f>Q318/K318</f>
        <v>7.7982267598065549E-2</v>
      </c>
      <c r="AH318">
        <f>Q318/L318</f>
        <v>0.38700000000000001</v>
      </c>
      <c r="AI318" s="1">
        <f>R318</f>
        <v>60</v>
      </c>
      <c r="AJ318" s="1">
        <f>P318</f>
        <v>206398</v>
      </c>
    </row>
    <row r="319" spans="1:36" x14ac:dyDescent="0.25">
      <c r="A319" t="s">
        <v>70</v>
      </c>
      <c r="B319">
        <v>2020</v>
      </c>
      <c r="C319" s="1">
        <v>18967</v>
      </c>
      <c r="D319" s="1">
        <v>10657</v>
      </c>
      <c r="E319" s="1">
        <v>11195</v>
      </c>
      <c r="G319" s="1">
        <v>685668</v>
      </c>
      <c r="H319" s="1">
        <v>217310</v>
      </c>
      <c r="I319" s="1">
        <v>0</v>
      </c>
      <c r="J319" s="1">
        <v>27550</v>
      </c>
      <c r="K319" s="1">
        <v>27550</v>
      </c>
      <c r="L319" s="1">
        <v>3000</v>
      </c>
      <c r="M319" s="1">
        <v>0</v>
      </c>
      <c r="N319" s="1">
        <v>658118</v>
      </c>
      <c r="O319" s="1">
        <v>658118</v>
      </c>
      <c r="P319" s="1">
        <v>210614</v>
      </c>
      <c r="Q319" s="1">
        <v>-29332</v>
      </c>
      <c r="R319" s="1">
        <v>61</v>
      </c>
      <c r="T319">
        <f>E319/G319</f>
        <v>1.6327143748869715E-2</v>
      </c>
      <c r="U319">
        <f>D319/C319</f>
        <v>0.56187061738809507</v>
      </c>
      <c r="V319">
        <f>(E319-F319)/O319</f>
        <v>1.7010627273528454E-2</v>
      </c>
      <c r="W319">
        <f>H319/K319</f>
        <v>7.8878402903811251</v>
      </c>
      <c r="X319">
        <f>(H319-I319)/K319</f>
        <v>7.8878402903811251</v>
      </c>
      <c r="Y319">
        <f>(H319-K319)/G319</f>
        <v>0.27675201409428468</v>
      </c>
      <c r="Z319">
        <f>J319/N319</f>
        <v>4.1861793781662257E-2</v>
      </c>
      <c r="AA319">
        <f>J319/G319</f>
        <v>4.0179795469527525E-2</v>
      </c>
      <c r="AB319">
        <f>C319/G319</f>
        <v>2.7662075523431164E-2</v>
      </c>
      <c r="AC319">
        <f>C319/(G319-K319)</f>
        <v>2.8820059624565807E-2</v>
      </c>
      <c r="AD319">
        <f>Q319/E319</f>
        <v>-2.6200982581509602</v>
      </c>
      <c r="AE319">
        <f>Q319/J319</f>
        <v>-1.064682395644283</v>
      </c>
      <c r="AF319">
        <f>Q319/G319</f>
        <v>-4.2778720896993881E-2</v>
      </c>
      <c r="AG319">
        <f>Q319/K319</f>
        <v>-1.064682395644283</v>
      </c>
      <c r="AH319">
        <f>Q319/L319</f>
        <v>-9.777333333333333</v>
      </c>
      <c r="AI319" s="1">
        <f>R319</f>
        <v>61</v>
      </c>
      <c r="AJ319" s="1">
        <f>P319</f>
        <v>210614</v>
      </c>
    </row>
    <row r="320" spans="1:36" x14ac:dyDescent="0.25">
      <c r="A320" t="s">
        <v>70</v>
      </c>
      <c r="B320">
        <v>2021</v>
      </c>
      <c r="C320" s="1">
        <v>17116</v>
      </c>
      <c r="D320" s="1">
        <v>77006</v>
      </c>
      <c r="E320" s="1">
        <v>74368</v>
      </c>
      <c r="G320" s="1">
        <v>1226751</v>
      </c>
      <c r="H320" s="1">
        <v>283270</v>
      </c>
      <c r="I320" s="1">
        <v>0</v>
      </c>
      <c r="J320" s="1">
        <v>20185</v>
      </c>
      <c r="K320" s="1">
        <v>20185</v>
      </c>
      <c r="L320" s="1">
        <v>0</v>
      </c>
      <c r="M320" s="1">
        <v>0</v>
      </c>
      <c r="N320" s="1">
        <v>1206566</v>
      </c>
      <c r="O320" s="1">
        <v>1206566</v>
      </c>
      <c r="P320" s="1">
        <v>284758</v>
      </c>
      <c r="Q320" s="1">
        <v>3799</v>
      </c>
      <c r="R320" s="1">
        <v>99.5</v>
      </c>
      <c r="T320">
        <f>E320/G320</f>
        <v>6.0621919199576768E-2</v>
      </c>
      <c r="U320">
        <f>D320/C320</f>
        <v>4.4990652021500352</v>
      </c>
      <c r="V320">
        <f>(E320-F320)/O320</f>
        <v>6.1636081242136778E-2</v>
      </c>
      <c r="W320">
        <f>H320/K320</f>
        <v>14.033688382462225</v>
      </c>
      <c r="X320">
        <f>(H320-I320)/K320</f>
        <v>14.033688382462225</v>
      </c>
      <c r="Y320">
        <f>(H320-K320)/G320</f>
        <v>0.21445672349156431</v>
      </c>
      <c r="Z320">
        <f>J320/N320</f>
        <v>1.6729296200953783E-2</v>
      </c>
      <c r="AA320">
        <f>J320/G320</f>
        <v>1.6454031828790031E-2</v>
      </c>
      <c r="AB320">
        <f>C320/G320</f>
        <v>1.3952301648826861E-2</v>
      </c>
      <c r="AC320">
        <f>C320/(G320-K320)</f>
        <v>1.4185713835795141E-2</v>
      </c>
      <c r="AD320">
        <f>Q320/E320</f>
        <v>5.1083799483648884E-2</v>
      </c>
      <c r="AE320">
        <f>Q320/J320</f>
        <v>0.18820906613822144</v>
      </c>
      <c r="AF320">
        <f>Q320/G320</f>
        <v>3.096797964705144E-3</v>
      </c>
      <c r="AG320">
        <f>Q320/K320</f>
        <v>0.18820906613822144</v>
      </c>
      <c r="AH320" t="e">
        <f>Q320/L320</f>
        <v>#DIV/0!</v>
      </c>
      <c r="AI320" s="1">
        <f>R320</f>
        <v>99.5</v>
      </c>
      <c r="AJ320" s="1">
        <f>P320</f>
        <v>284758</v>
      </c>
    </row>
    <row r="321" spans="1:36" x14ac:dyDescent="0.25">
      <c r="A321" t="s">
        <v>70</v>
      </c>
      <c r="B321">
        <v>2022</v>
      </c>
      <c r="C321" s="1">
        <v>46986</v>
      </c>
      <c r="D321" s="1">
        <v>41984</v>
      </c>
      <c r="E321" s="1">
        <v>39443</v>
      </c>
      <c r="G321" s="1">
        <v>1090778</v>
      </c>
      <c r="H321" s="1">
        <v>314748</v>
      </c>
      <c r="I321" s="1">
        <v>0</v>
      </c>
      <c r="J321" s="1">
        <v>19124</v>
      </c>
      <c r="K321" s="1">
        <v>19124</v>
      </c>
      <c r="L321" s="1">
        <v>0</v>
      </c>
      <c r="M321" s="1">
        <v>0</v>
      </c>
      <c r="N321" s="1">
        <v>1071654</v>
      </c>
      <c r="O321" s="1">
        <v>1071654</v>
      </c>
      <c r="P321" s="1">
        <v>315988</v>
      </c>
      <c r="Q321" s="1">
        <v>175</v>
      </c>
      <c r="R321" s="1">
        <v>109.75</v>
      </c>
      <c r="T321">
        <f>E321/G321</f>
        <v>3.6160428611504813E-2</v>
      </c>
      <c r="U321">
        <f>D321/C321</f>
        <v>0.89354275741710298</v>
      </c>
      <c r="V321">
        <f>(E321-F321)/O321</f>
        <v>3.6805722742601625E-2</v>
      </c>
      <c r="W321">
        <f>H321/K321</f>
        <v>16.45827232796486</v>
      </c>
      <c r="X321">
        <f>(H321-I321)/K321</f>
        <v>16.45827232796486</v>
      </c>
      <c r="Y321">
        <f>(H321-K321)/G321</f>
        <v>0.27102123438499859</v>
      </c>
      <c r="Z321">
        <f>J321/N321</f>
        <v>1.7845312013019126E-2</v>
      </c>
      <c r="AA321">
        <f>J321/G321</f>
        <v>1.7532440148224478E-2</v>
      </c>
      <c r="AB321">
        <f>C321/G321</f>
        <v>4.3075676260430629E-2</v>
      </c>
      <c r="AC321">
        <f>C321/(G321-K321)</f>
        <v>4.3844375143469817E-2</v>
      </c>
      <c r="AD321">
        <f>Q321/E321</f>
        <v>4.4367821920239334E-3</v>
      </c>
      <c r="AE321">
        <f>Q321/J321</f>
        <v>9.1508052708638363E-3</v>
      </c>
      <c r="AF321">
        <f>Q321/G321</f>
        <v>1.6043594571947729E-4</v>
      </c>
      <c r="AG321">
        <f>Q321/K321</f>
        <v>9.1508052708638363E-3</v>
      </c>
      <c r="AH321" t="e">
        <f>Q321/L321</f>
        <v>#DIV/0!</v>
      </c>
      <c r="AI321" s="1">
        <f>R321</f>
        <v>109.75</v>
      </c>
      <c r="AJ321" s="1">
        <f>P321</f>
        <v>315988</v>
      </c>
    </row>
    <row r="322" spans="1:36" x14ac:dyDescent="0.25">
      <c r="A322" t="s">
        <v>70</v>
      </c>
      <c r="B322">
        <v>2023</v>
      </c>
      <c r="C322" s="1">
        <v>44670</v>
      </c>
      <c r="D322" s="1">
        <v>58028</v>
      </c>
      <c r="E322" s="1">
        <v>55706</v>
      </c>
      <c r="G322" s="1">
        <v>1614862</v>
      </c>
      <c r="H322" s="1">
        <v>350457</v>
      </c>
      <c r="I322" s="1">
        <v>0</v>
      </c>
      <c r="J322" s="1">
        <v>2549</v>
      </c>
      <c r="K322" s="1">
        <v>2549</v>
      </c>
      <c r="L322" s="1">
        <v>0</v>
      </c>
      <c r="M322" s="1">
        <v>0</v>
      </c>
      <c r="N322" s="1">
        <v>1612313</v>
      </c>
      <c r="O322" s="1">
        <v>1612313</v>
      </c>
      <c r="P322" s="1">
        <v>365574</v>
      </c>
      <c r="Q322" s="1">
        <v>84</v>
      </c>
      <c r="R322" s="1">
        <v>118.5</v>
      </c>
      <c r="T322">
        <f>E322/G322</f>
        <v>3.4495826887994144E-2</v>
      </c>
      <c r="U322">
        <f>D322/C322</f>
        <v>1.2990373852697561</v>
      </c>
      <c r="V322">
        <f>(E322-F322)/O322</f>
        <v>3.4550363359967945E-2</v>
      </c>
      <c r="W322">
        <f>H322/K322</f>
        <v>137.48803452334249</v>
      </c>
      <c r="X322">
        <f>(H322-I322)/K322</f>
        <v>137.48803452334249</v>
      </c>
      <c r="Y322">
        <f>(H322-K322)/G322</f>
        <v>0.2154413194440144</v>
      </c>
      <c r="Z322">
        <f>J322/N322</f>
        <v>1.5809585359666516E-3</v>
      </c>
      <c r="AA322">
        <f>J322/G322</f>
        <v>1.5784630513319404E-3</v>
      </c>
      <c r="AB322">
        <f>C322/G322</f>
        <v>2.7661806395840635E-2</v>
      </c>
      <c r="AC322">
        <f>C322/(G322-K322)</f>
        <v>2.7705538564782396E-2</v>
      </c>
      <c r="AD322">
        <f>Q322/E322</f>
        <v>1.5079165619502387E-3</v>
      </c>
      <c r="AE322">
        <f>Q322/J322</f>
        <v>3.2954099646920358E-2</v>
      </c>
      <c r="AF322">
        <f>Q322/G322</f>
        <v>5.2016828682574734E-5</v>
      </c>
      <c r="AG322">
        <f>Q322/K322</f>
        <v>3.2954099646920358E-2</v>
      </c>
      <c r="AH322" t="e">
        <f>Q322/L322</f>
        <v>#DIV/0!</v>
      </c>
      <c r="AI322" s="1">
        <f>R322</f>
        <v>118.5</v>
      </c>
      <c r="AJ322" s="1">
        <f>P322</f>
        <v>365574</v>
      </c>
    </row>
    <row r="323" spans="1:36" x14ac:dyDescent="0.25">
      <c r="A323" s="15" t="s">
        <v>70</v>
      </c>
      <c r="B323" s="15">
        <v>2024</v>
      </c>
      <c r="C323" s="6">
        <v>49792</v>
      </c>
      <c r="D323" s="6">
        <v>44039</v>
      </c>
      <c r="E323" s="6">
        <v>44048</v>
      </c>
      <c r="F323" s="6"/>
      <c r="G323" s="6">
        <v>1860150</v>
      </c>
      <c r="H323" s="6">
        <v>389382</v>
      </c>
      <c r="I323" s="6">
        <v>0</v>
      </c>
      <c r="J323" s="6">
        <v>612</v>
      </c>
      <c r="K323" s="6">
        <v>612</v>
      </c>
      <c r="L323" s="6">
        <v>0</v>
      </c>
      <c r="M323" s="6">
        <v>0</v>
      </c>
      <c r="N323" s="6">
        <v>1859538</v>
      </c>
      <c r="O323" s="6">
        <v>1859538</v>
      </c>
      <c r="P323" s="6">
        <v>401207</v>
      </c>
      <c r="Q323" s="6">
        <v>-1060</v>
      </c>
      <c r="R323" s="6">
        <v>99</v>
      </c>
      <c r="S323" s="15"/>
      <c r="T323" s="15">
        <f>E323/G323</f>
        <v>2.3679810767948822E-2</v>
      </c>
      <c r="U323" s="15">
        <f>D323/C323</f>
        <v>0.88445935089974292</v>
      </c>
      <c r="V323" s="15">
        <f>(E323-F323)/O323</f>
        <v>2.3687604125325754E-2</v>
      </c>
      <c r="W323" s="15">
        <f>H323/K323</f>
        <v>636.24509803921569</v>
      </c>
      <c r="X323" s="15">
        <f>(H323-I323)/K323</f>
        <v>636.24509803921569</v>
      </c>
      <c r="Y323" s="15">
        <f>(H323-K323)/G323</f>
        <v>0.20899927425207646</v>
      </c>
      <c r="Z323" s="15">
        <f>J323/N323</f>
        <v>3.2911400573690887E-4</v>
      </c>
      <c r="AA323" s="15">
        <f>J323/G323</f>
        <v>3.2900572534473024E-4</v>
      </c>
      <c r="AB323" s="15">
        <f>C323/G323</f>
        <v>2.676773378490982E-2</v>
      </c>
      <c r="AC323" s="15">
        <f>C323/(G323-K323)</f>
        <v>2.6776543421000269E-2</v>
      </c>
      <c r="AD323" s="15">
        <f>Q323/E323</f>
        <v>-2.4064656738103887E-2</v>
      </c>
      <c r="AE323" s="15">
        <f>Q323/J323</f>
        <v>-1.7320261437908497</v>
      </c>
      <c r="AF323" s="15">
        <f>Q323/G323</f>
        <v>-5.6984651775394458E-4</v>
      </c>
      <c r="AG323" s="15">
        <f>Q323/K323</f>
        <v>-1.7320261437908497</v>
      </c>
      <c r="AH323" s="15" t="e">
        <f>Q323/L323</f>
        <v>#DIV/0!</v>
      </c>
      <c r="AI323" s="6">
        <f>R323</f>
        <v>99</v>
      </c>
      <c r="AJ323" s="6">
        <f>P323</f>
        <v>401207</v>
      </c>
    </row>
    <row r="324" spans="1:36" s="2" customFormat="1" x14ac:dyDescent="0.25">
      <c r="A324" s="2" t="s">
        <v>101</v>
      </c>
      <c r="B324" s="2">
        <v>2018</v>
      </c>
      <c r="C324" s="3">
        <v>406067</v>
      </c>
      <c r="D324" s="3">
        <v>70675</v>
      </c>
      <c r="E324" s="3">
        <v>-195540</v>
      </c>
      <c r="F324" s="3"/>
      <c r="G324" s="3">
        <v>9011351</v>
      </c>
      <c r="H324" s="3">
        <v>512847</v>
      </c>
      <c r="I324" s="3">
        <v>22993</v>
      </c>
      <c r="J324" s="3">
        <f>1827573+K324</f>
        <v>4111915</v>
      </c>
      <c r="K324" s="3">
        <v>2284342</v>
      </c>
      <c r="L324" s="3">
        <f>1584241+M324</f>
        <v>3038289</v>
      </c>
      <c r="M324" s="3">
        <v>1454048</v>
      </c>
      <c r="N324" s="3">
        <v>4802435</v>
      </c>
      <c r="O324" s="3">
        <v>4899435</v>
      </c>
      <c r="P324" s="3">
        <v>-691204</v>
      </c>
      <c r="Q324" s="3">
        <v>73482</v>
      </c>
      <c r="R324" s="3">
        <v>7.2</v>
      </c>
      <c r="T324" s="2">
        <f>E324/G324</f>
        <v>-2.1699299028525246E-2</v>
      </c>
      <c r="U324" s="2">
        <f>D324/C324</f>
        <v>0.17404763253354741</v>
      </c>
      <c r="V324" s="2">
        <f>(E324-F324)/O324</f>
        <v>-3.9910724399854269E-2</v>
      </c>
      <c r="W324" s="2">
        <f>H324/K324</f>
        <v>0.22450534989944587</v>
      </c>
      <c r="X324" s="2">
        <f>(H324-I324)/K324</f>
        <v>0.21443986933655293</v>
      </c>
      <c r="Y324" s="2">
        <f>(H324-K324)/G324</f>
        <v>-0.19658484060825063</v>
      </c>
      <c r="Z324" s="2">
        <f>J324/N324</f>
        <v>0.85621460779791914</v>
      </c>
      <c r="AA324" s="2">
        <f>J324/G324</f>
        <v>0.45630394377047351</v>
      </c>
      <c r="AB324" s="2">
        <f>C324/G324</f>
        <v>4.5061722709502712E-2</v>
      </c>
      <c r="AC324" s="2">
        <f>C324/(G324-K324)</f>
        <v>6.0363677230103302E-2</v>
      </c>
      <c r="AD324" s="2">
        <f>Q324/E324</f>
        <v>-0.37579011966860998</v>
      </c>
      <c r="AE324" s="2">
        <f>Q324/J324</f>
        <v>1.7870505591676869E-2</v>
      </c>
      <c r="AF324" s="2">
        <f>Q324/G324</f>
        <v>8.154382178654454E-3</v>
      </c>
      <c r="AG324" s="2">
        <f>Q324/K324</f>
        <v>3.2167687675488173E-2</v>
      </c>
      <c r="AH324" s="2">
        <f>Q324/L324</f>
        <v>2.4185322726047457E-2</v>
      </c>
      <c r="AI324" s="3">
        <f>R324</f>
        <v>7.2</v>
      </c>
      <c r="AJ324" s="3">
        <f>P324</f>
        <v>-691204</v>
      </c>
    </row>
    <row r="325" spans="1:36" x14ac:dyDescent="0.25">
      <c r="A325" t="s">
        <v>101</v>
      </c>
      <c r="B325">
        <v>2019</v>
      </c>
      <c r="C325" s="1">
        <v>1166738</v>
      </c>
      <c r="D325" s="1">
        <v>136618</v>
      </c>
      <c r="E325" s="1">
        <v>-208672</v>
      </c>
      <c r="G325" s="1">
        <v>8350152</v>
      </c>
      <c r="H325" s="1">
        <v>238869</v>
      </c>
      <c r="I325" s="1">
        <v>25653</v>
      </c>
      <c r="J325" s="1">
        <f>2578663+K325</f>
        <v>3653205</v>
      </c>
      <c r="K325" s="1">
        <v>1074542</v>
      </c>
      <c r="L325" s="1">
        <f>615159+M325</f>
        <v>2600995</v>
      </c>
      <c r="M325" s="1">
        <v>1985836</v>
      </c>
      <c r="N325" s="1">
        <v>4611819</v>
      </c>
      <c r="O325" s="1">
        <v>4696946</v>
      </c>
      <c r="P325" s="1">
        <v>-888639</v>
      </c>
      <c r="Q325" s="1">
        <v>-289138</v>
      </c>
      <c r="R325" s="1">
        <v>3.7</v>
      </c>
      <c r="T325">
        <f>E325/G325</f>
        <v>-2.4990203771140931E-2</v>
      </c>
      <c r="U325">
        <f>D325/C325</f>
        <v>0.11709398339644377</v>
      </c>
      <c r="V325">
        <f>(E325-F325)/O325</f>
        <v>-4.4427166077702404E-2</v>
      </c>
      <c r="W325">
        <f>H325/K325</f>
        <v>0.22229843040104527</v>
      </c>
      <c r="X325">
        <f>(H325-I325)/K325</f>
        <v>0.19842500339679603</v>
      </c>
      <c r="Y325">
        <f>(H325-K325)/G325</f>
        <v>-0.10007877700908918</v>
      </c>
      <c r="Z325">
        <f>J325/N325</f>
        <v>0.79213971753878454</v>
      </c>
      <c r="AA325">
        <f>J325/G325</f>
        <v>0.43750161673703664</v>
      </c>
      <c r="AB325">
        <f>C325/G325</f>
        <v>0.13972655827103506</v>
      </c>
      <c r="AC325">
        <f>C325/(G325-K325)</f>
        <v>0.1603629111510925</v>
      </c>
      <c r="AD325">
        <f>Q325/E325</f>
        <v>1.385609952461279</v>
      </c>
      <c r="AE325">
        <f>Q325/J325</f>
        <v>-7.914639337239493E-2</v>
      </c>
      <c r="AF325">
        <f>Q325/G325</f>
        <v>-3.462667505932826E-2</v>
      </c>
      <c r="AG325">
        <f>Q325/K325</f>
        <v>-0.26908022208531635</v>
      </c>
      <c r="AH325">
        <f>Q325/L325</f>
        <v>-0.11116438132330128</v>
      </c>
      <c r="AI325" s="1">
        <f>R325</f>
        <v>3.7</v>
      </c>
      <c r="AJ325" s="1">
        <f>P325</f>
        <v>-888639</v>
      </c>
    </row>
    <row r="326" spans="1:36" x14ac:dyDescent="0.25">
      <c r="A326" t="s">
        <v>101</v>
      </c>
      <c r="B326">
        <v>2020</v>
      </c>
      <c r="C326" s="1">
        <v>936509</v>
      </c>
      <c r="D326" s="1">
        <v>-19392</v>
      </c>
      <c r="E326" s="1">
        <v>-310605</v>
      </c>
      <c r="G326" s="1">
        <v>8226125</v>
      </c>
      <c r="H326" s="1">
        <v>180429</v>
      </c>
      <c r="I326" s="1">
        <v>24231</v>
      </c>
      <c r="J326" s="1">
        <f>2789409+K326</f>
        <v>3533011</v>
      </c>
      <c r="K326" s="1">
        <v>743602</v>
      </c>
      <c r="L326" s="1">
        <f>399455+M326</f>
        <v>2873878</v>
      </c>
      <c r="M326" s="1">
        <v>2474423</v>
      </c>
      <c r="N326" s="1">
        <v>4665095</v>
      </c>
      <c r="O326" s="1">
        <v>4693114</v>
      </c>
      <c r="P326" s="1">
        <v>-1144062</v>
      </c>
      <c r="Q326" s="1">
        <v>41316</v>
      </c>
      <c r="R326" s="1">
        <v>3.2</v>
      </c>
      <c r="T326">
        <f>E326/G326</f>
        <v>-3.775836131836071E-2</v>
      </c>
      <c r="U326">
        <f>D326/C326</f>
        <v>-2.0706688350031872E-2</v>
      </c>
      <c r="V326">
        <f>(E326-F326)/O326</f>
        <v>-6.6183135547101563E-2</v>
      </c>
      <c r="W326">
        <f>H326/K326</f>
        <v>0.24264189714390225</v>
      </c>
      <c r="X326">
        <f>(H326-I326)/K326</f>
        <v>0.2100559170093679</v>
      </c>
      <c r="Y326">
        <f>(H326-K326)/G326</f>
        <v>-6.8461517421629259E-2</v>
      </c>
      <c r="Z326">
        <f>J326/N326</f>
        <v>0.75732884324970873</v>
      </c>
      <c r="AA326">
        <f>J326/G326</f>
        <v>0.42948666595754381</v>
      </c>
      <c r="AB326">
        <f>C326/G326</f>
        <v>0.11384570499475756</v>
      </c>
      <c r="AC326">
        <f>C326/(G326-K326)</f>
        <v>0.12515952172816575</v>
      </c>
      <c r="AD326">
        <f>Q326/E326</f>
        <v>-0.133017820060849</v>
      </c>
      <c r="AE326">
        <f>Q326/J326</f>
        <v>1.1694274373898072E-2</v>
      </c>
      <c r="AF326">
        <f>Q326/G326</f>
        <v>5.0225349116382254E-3</v>
      </c>
      <c r="AG326">
        <f>Q326/K326</f>
        <v>5.5561980737007161E-2</v>
      </c>
      <c r="AH326">
        <f>Q326/L326</f>
        <v>1.4376393152388514E-2</v>
      </c>
      <c r="AI326" s="1">
        <f>R326</f>
        <v>3.2</v>
      </c>
      <c r="AJ326" s="1">
        <f>P326</f>
        <v>-1144062</v>
      </c>
    </row>
    <row r="327" spans="1:36" x14ac:dyDescent="0.25">
      <c r="A327" t="s">
        <v>101</v>
      </c>
      <c r="B327">
        <v>2021</v>
      </c>
      <c r="C327" s="1">
        <v>344395</v>
      </c>
      <c r="D327" s="1">
        <v>-263516</v>
      </c>
      <c r="E327" s="1">
        <v>-518340</v>
      </c>
      <c r="G327" s="1">
        <v>8477469</v>
      </c>
      <c r="H327" s="1">
        <v>110430</v>
      </c>
      <c r="I327" s="1">
        <v>20856</v>
      </c>
      <c r="J327" s="1">
        <f>2704218+K327</f>
        <v>3740793</v>
      </c>
      <c r="K327" s="1">
        <v>1036575</v>
      </c>
      <c r="L327" s="1">
        <f>638313+M327</f>
        <v>3048852</v>
      </c>
      <c r="M327" s="1">
        <v>2410539</v>
      </c>
      <c r="N327" s="1">
        <v>4537041</v>
      </c>
      <c r="O327" s="1">
        <v>4736675</v>
      </c>
      <c r="P327" s="1">
        <v>-1563782</v>
      </c>
      <c r="Q327" s="1">
        <v>-138588</v>
      </c>
      <c r="R327" s="1">
        <v>5.3</v>
      </c>
      <c r="T327">
        <f>E327/G327</f>
        <v>-6.1143249241017571E-2</v>
      </c>
      <c r="U327">
        <f>D327/C327</f>
        <v>-0.76515628856400353</v>
      </c>
      <c r="V327">
        <f>(E327-F327)/O327</f>
        <v>-0.10943119382267097</v>
      </c>
      <c r="W327">
        <f>H327/K327</f>
        <v>0.10653353592359453</v>
      </c>
      <c r="X327">
        <f>(H327-I327)/K327</f>
        <v>8.6413428840170753E-2</v>
      </c>
      <c r="Y327">
        <f>(H327-K327)/G327</f>
        <v>-0.10924781913092221</v>
      </c>
      <c r="Z327">
        <f>J327/N327</f>
        <v>0.82450059410968513</v>
      </c>
      <c r="AA327">
        <f>J327/G327</f>
        <v>0.4412629524212946</v>
      </c>
      <c r="AB327">
        <f>C327/G327</f>
        <v>4.0624743068951356E-2</v>
      </c>
      <c r="AC327">
        <f>C327/(G327-K327)</f>
        <v>4.6284088981780949E-2</v>
      </c>
      <c r="AD327">
        <f>Q327/E327</f>
        <v>0.26736890843847666</v>
      </c>
      <c r="AE327">
        <f>Q327/J327</f>
        <v>-3.7047759659516045E-2</v>
      </c>
      <c r="AF327">
        <f>Q327/G327</f>
        <v>-1.6347803807952584E-2</v>
      </c>
      <c r="AG327">
        <f>Q327/K327</f>
        <v>-0.13369799580348746</v>
      </c>
      <c r="AH327">
        <f>Q327/L327</f>
        <v>-4.5455797788807067E-2</v>
      </c>
      <c r="AI327" s="1">
        <f>R327</f>
        <v>5.3</v>
      </c>
      <c r="AJ327" s="1">
        <f>P327</f>
        <v>-1563782</v>
      </c>
    </row>
    <row r="328" spans="1:36" x14ac:dyDescent="0.25">
      <c r="A328" t="s">
        <v>101</v>
      </c>
      <c r="B328">
        <v>2022</v>
      </c>
      <c r="C328" s="1">
        <v>583458</v>
      </c>
      <c r="D328" s="1">
        <v>-195355</v>
      </c>
      <c r="E328" s="1">
        <v>-377523</v>
      </c>
      <c r="G328" s="1">
        <v>9652437</v>
      </c>
      <c r="H328" s="1">
        <v>210217</v>
      </c>
      <c r="I328" s="1">
        <v>28849</v>
      </c>
      <c r="J328" s="1">
        <f>3118242+K328</f>
        <v>4160366</v>
      </c>
      <c r="K328" s="1">
        <v>1042124</v>
      </c>
      <c r="L328" s="1">
        <f>650704+M328</f>
        <v>3366110</v>
      </c>
      <c r="M328" s="1">
        <v>2715406</v>
      </c>
      <c r="N328" s="1">
        <v>5068186</v>
      </c>
      <c r="O328" s="1">
        <v>5492071</v>
      </c>
      <c r="P328" s="1">
        <v>-1796962</v>
      </c>
      <c r="Q328" s="1">
        <v>-37220</v>
      </c>
      <c r="R328" s="1">
        <v>5.7</v>
      </c>
      <c r="T328">
        <f>E328/G328</f>
        <v>-3.911167718577184E-2</v>
      </c>
      <c r="U328">
        <f>D328/C328</f>
        <v>-0.33482272931384949</v>
      </c>
      <c r="V328">
        <f>(E328-F328)/O328</f>
        <v>-6.8739643023551594E-2</v>
      </c>
      <c r="W328">
        <f>H328/K328</f>
        <v>0.2017197569579052</v>
      </c>
      <c r="X328">
        <f>(H328-I328)/K328</f>
        <v>0.17403687085222105</v>
      </c>
      <c r="Y328">
        <f>(H328-K328)/G328</f>
        <v>-8.6186213906394832E-2</v>
      </c>
      <c r="Z328">
        <f>J328/N328</f>
        <v>0.8208787128175643</v>
      </c>
      <c r="AA328">
        <f>J328/G328</f>
        <v>0.43101716177997329</v>
      </c>
      <c r="AB328">
        <f>C328/G328</f>
        <v>6.0446703770249938E-2</v>
      </c>
      <c r="AC328">
        <f>C328/(G328-K328)</f>
        <v>6.7762693411958425E-2</v>
      </c>
      <c r="AD328">
        <f>Q328/E328</f>
        <v>9.8590019680920099E-2</v>
      </c>
      <c r="AE328">
        <f>Q328/J328</f>
        <v>-8.9463282797715392E-3</v>
      </c>
      <c r="AF328">
        <f>Q328/G328</f>
        <v>-3.8560210234990398E-3</v>
      </c>
      <c r="AG328">
        <f>Q328/K328</f>
        <v>-3.5715519458337008E-2</v>
      </c>
      <c r="AH328">
        <f>Q328/L328</f>
        <v>-1.1057273826464376E-2</v>
      </c>
      <c r="AI328" s="1">
        <f>R328</f>
        <v>5.7</v>
      </c>
      <c r="AJ328" s="1">
        <f>P328</f>
        <v>-1796962</v>
      </c>
    </row>
    <row r="329" spans="1:36" x14ac:dyDescent="0.25">
      <c r="A329" t="s">
        <v>101</v>
      </c>
      <c r="B329">
        <v>2023</v>
      </c>
      <c r="C329" s="1">
        <v>1199703</v>
      </c>
      <c r="D329" s="1">
        <v>-132846</v>
      </c>
      <c r="E329" s="1">
        <v>-1269664</v>
      </c>
      <c r="G329" s="1">
        <v>9704306</v>
      </c>
      <c r="H329" s="1">
        <v>296587</v>
      </c>
      <c r="I329" s="1">
        <v>44337</v>
      </c>
      <c r="J329" s="1">
        <f>3862276+K329</f>
        <v>5428225</v>
      </c>
      <c r="K329" s="1">
        <v>1565949</v>
      </c>
      <c r="L329" s="1">
        <f>701775+M329</f>
        <v>3842379</v>
      </c>
      <c r="M329" s="1">
        <v>3140604</v>
      </c>
      <c r="N329" s="1">
        <v>3962815</v>
      </c>
      <c r="O329" s="1">
        <v>4276080</v>
      </c>
      <c r="P329" s="1">
        <v>-2943193</v>
      </c>
      <c r="Q329" s="1">
        <v>-16066</v>
      </c>
      <c r="R329" s="1">
        <v>5.0999999999999996</v>
      </c>
      <c r="T329">
        <f>E329/G329</f>
        <v>-0.130835115875365</v>
      </c>
      <c r="U329">
        <f>D329/C329</f>
        <v>-0.11073240627055196</v>
      </c>
      <c r="V329">
        <f>(E329-F329)/O329</f>
        <v>-0.29692241492207816</v>
      </c>
      <c r="W329">
        <f>H329/K329</f>
        <v>0.18939761128874569</v>
      </c>
      <c r="X329">
        <f>(H329-I329)/K329</f>
        <v>0.16108442867551881</v>
      </c>
      <c r="Y329">
        <f>(H329-K329)/G329</f>
        <v>-0.13080399566955123</v>
      </c>
      <c r="Z329">
        <f>J329/N329</f>
        <v>1.3697901617915547</v>
      </c>
      <c r="AA329">
        <f>J329/G329</f>
        <v>0.55936251391907876</v>
      </c>
      <c r="AB329">
        <f>C329/G329</f>
        <v>0.12362584197159487</v>
      </c>
      <c r="AC329">
        <f>C329/(G329-K329)</f>
        <v>0.14741341526305618</v>
      </c>
      <c r="AD329">
        <f>Q329/E329</f>
        <v>1.2653741462308138E-2</v>
      </c>
      <c r="AE329">
        <f>Q329/J329</f>
        <v>-2.9597151923510907E-3</v>
      </c>
      <c r="AF329">
        <f>Q329/G329</f>
        <v>-1.6555537304779962E-3</v>
      </c>
      <c r="AG329">
        <f>Q329/K329</f>
        <v>-1.0259593383948008E-2</v>
      </c>
      <c r="AH329">
        <f>Q329/L329</f>
        <v>-4.1812637431133158E-3</v>
      </c>
      <c r="AI329" s="1">
        <f>R329</f>
        <v>5.0999999999999996</v>
      </c>
      <c r="AJ329" s="1">
        <f>P329</f>
        <v>-2943193</v>
      </c>
    </row>
    <row r="330" spans="1:36" x14ac:dyDescent="0.25">
      <c r="A330" t="s">
        <v>101</v>
      </c>
      <c r="B330">
        <v>2024</v>
      </c>
      <c r="C330" s="1">
        <v>1654360</v>
      </c>
      <c r="D330" s="1">
        <v>-5483</v>
      </c>
      <c r="E330" s="1">
        <v>-662749</v>
      </c>
      <c r="G330" s="1">
        <v>10603683</v>
      </c>
      <c r="H330" s="1">
        <v>397509</v>
      </c>
      <c r="I330" s="1">
        <v>52709</v>
      </c>
      <c r="J330" s="1">
        <f>4571047+K330</f>
        <v>6709141</v>
      </c>
      <c r="K330" s="1">
        <v>2138094</v>
      </c>
      <c r="L330" s="1">
        <f>1249660+M330</f>
        <v>3719652</v>
      </c>
      <c r="M330" s="1">
        <v>2469992</v>
      </c>
      <c r="N330" s="1">
        <v>3628051</v>
      </c>
      <c r="O330" s="1">
        <v>3894542</v>
      </c>
      <c r="P330" s="1">
        <v>-3536381</v>
      </c>
      <c r="Q330" s="1">
        <v>-481617</v>
      </c>
      <c r="R330" s="1">
        <v>4.7</v>
      </c>
      <c r="T330">
        <f>E330/G330</f>
        <v>-6.2501774147718292E-2</v>
      </c>
      <c r="U330">
        <f>D330/C330</f>
        <v>-3.3142725887956672E-3</v>
      </c>
      <c r="V330">
        <f>(E330-F330)/O330</f>
        <v>-0.17017379707292923</v>
      </c>
      <c r="W330">
        <f>H330/K330</f>
        <v>0.18591745732414011</v>
      </c>
      <c r="X330">
        <f>(H330-I330)/K330</f>
        <v>0.16126512679049659</v>
      </c>
      <c r="Y330">
        <f>(H330-K330)/G330</f>
        <v>-0.16414909800679631</v>
      </c>
      <c r="Z330">
        <f>J330/N330</f>
        <v>1.8492410939096502</v>
      </c>
      <c r="AA330">
        <f>J330/G330</f>
        <v>0.6327179905321576</v>
      </c>
      <c r="AB330">
        <f>C330/G330</f>
        <v>0.15601748939495833</v>
      </c>
      <c r="AC330">
        <f>C330/(G330-K330)</f>
        <v>0.19542172434782742</v>
      </c>
      <c r="AD330">
        <f>Q330/E330</f>
        <v>0.72669592862456223</v>
      </c>
      <c r="AE330">
        <f>Q330/J330</f>
        <v>-7.1785195750096772E-2</v>
      </c>
      <c r="AF330">
        <f>Q330/G330</f>
        <v>-4.5419784804958806E-2</v>
      </c>
      <c r="AG330">
        <f>Q330/K330</f>
        <v>-0.22525529747522793</v>
      </c>
      <c r="AH330">
        <f>Q330/L330</f>
        <v>-0.12947904803997792</v>
      </c>
      <c r="AI330" s="1">
        <f>R330</f>
        <v>4.7</v>
      </c>
      <c r="AJ330" s="1">
        <f>P330</f>
        <v>-3536381</v>
      </c>
    </row>
    <row r="331" spans="1:36" s="2" customFormat="1" x14ac:dyDescent="0.25">
      <c r="A331" s="2" t="s">
        <v>219</v>
      </c>
      <c r="B331" s="2">
        <v>2018</v>
      </c>
      <c r="C331" s="3">
        <v>693579.85800000001</v>
      </c>
      <c r="D331" s="3">
        <v>27188.973999999998</v>
      </c>
      <c r="E331" s="3">
        <v>-255229.897</v>
      </c>
      <c r="F331" s="3">
        <v>0</v>
      </c>
      <c r="G331" s="3">
        <v>4518624.2709999997</v>
      </c>
      <c r="H331" s="3">
        <v>151188.76800000001</v>
      </c>
      <c r="I331" s="3">
        <v>15069.134</v>
      </c>
      <c r="J331" s="3">
        <v>1911743.061244</v>
      </c>
      <c r="K331" s="3">
        <v>866339.24399999995</v>
      </c>
      <c r="L331" s="3">
        <v>462582.29480999999</v>
      </c>
      <c r="M331" s="3">
        <v>1247648.81</v>
      </c>
      <c r="N331" s="3">
        <v>2606881.209756</v>
      </c>
      <c r="O331" s="3">
        <v>2606881.209756</v>
      </c>
      <c r="P331" s="3">
        <v>-1044618.014</v>
      </c>
      <c r="Q331" s="3">
        <v>-83012.629000000001</v>
      </c>
      <c r="R331" s="3">
        <v>3.2</v>
      </c>
      <c r="T331" s="2">
        <f>E331/G331</f>
        <v>-5.6483983109203287E-2</v>
      </c>
      <c r="U331" s="2">
        <f>D331/C331</f>
        <v>3.9200927890844256E-2</v>
      </c>
      <c r="V331" s="2">
        <f>(E331-F331)/O331</f>
        <v>-9.7906224512581116E-2</v>
      </c>
      <c r="W331" s="2">
        <f>H331/K331</f>
        <v>0.17451450923767689</v>
      </c>
      <c r="X331" s="2">
        <f>(H331-I331)/K331</f>
        <v>0.15712047554433542</v>
      </c>
      <c r="Y331" s="2">
        <f>(H331-K331)/G331</f>
        <v>-0.15826730285802953</v>
      </c>
      <c r="Z331" s="2">
        <f>J331/N331</f>
        <v>0.73334490811836273</v>
      </c>
      <c r="AA331" s="2">
        <f>J331/G331</f>
        <v>0.4230807756053856</v>
      </c>
      <c r="AB331" s="2">
        <f>C331/G331</f>
        <v>0.15349358928807472</v>
      </c>
      <c r="AC331" s="2">
        <f>C331/(G331-K331)</f>
        <v>0.18990299302289368</v>
      </c>
      <c r="AD331" s="2">
        <f>Q331/E331</f>
        <v>0.32524649336045458</v>
      </c>
      <c r="AE331" s="2">
        <f>Q331/J331</f>
        <v>-4.3422482174975144E-2</v>
      </c>
      <c r="AF331" s="2">
        <f>Q331/G331</f>
        <v>-1.8371217437299515E-2</v>
      </c>
      <c r="AG331" s="2">
        <f>Q331/K331</f>
        <v>-9.5820003047212762E-2</v>
      </c>
      <c r="AH331" s="2">
        <f>Q331/L331</f>
        <v>-0.17945483415896066</v>
      </c>
      <c r="AI331" s="3">
        <f>R331</f>
        <v>3.2</v>
      </c>
      <c r="AJ331" s="3">
        <f>P331</f>
        <v>-1044618.014</v>
      </c>
    </row>
    <row r="332" spans="1:36" x14ac:dyDescent="0.25">
      <c r="A332" t="s">
        <v>219</v>
      </c>
      <c r="B332">
        <v>2019</v>
      </c>
      <c r="C332" s="1">
        <v>795681.06299999997</v>
      </c>
      <c r="D332" s="1">
        <v>88614.705000000002</v>
      </c>
      <c r="E332" s="1">
        <v>-213313.54199999999</v>
      </c>
      <c r="F332" s="1">
        <v>0</v>
      </c>
      <c r="G332" s="1">
        <v>4341142.3229999999</v>
      </c>
      <c r="H332" s="1">
        <v>161445.05900000001</v>
      </c>
      <c r="I332" s="1">
        <v>16205.38</v>
      </c>
      <c r="J332" s="1">
        <v>2383197.6349539999</v>
      </c>
      <c r="K332" s="1">
        <v>430117.95400000003</v>
      </c>
      <c r="L332" s="1">
        <v>175932.64940900001</v>
      </c>
      <c r="M332" s="1">
        <v>1374361.409</v>
      </c>
      <c r="N332" s="1">
        <v>1957944.688046</v>
      </c>
      <c r="O332" s="1">
        <v>1957944.688046</v>
      </c>
      <c r="P332" s="1">
        <v>-1257769.4669999999</v>
      </c>
      <c r="Q332" s="1">
        <v>-117176.41</v>
      </c>
      <c r="R332" s="1">
        <v>2.2999999999999998</v>
      </c>
      <c r="T332">
        <f>E332/G332</f>
        <v>-4.913765228793214E-2</v>
      </c>
      <c r="U332">
        <f>D332/C332</f>
        <v>0.11136962926563958</v>
      </c>
      <c r="V332">
        <f>(E332-F332)/O332</f>
        <v>-0.10894768544911439</v>
      </c>
      <c r="W332">
        <f>H332/K332</f>
        <v>0.37535066253012073</v>
      </c>
      <c r="X332">
        <f>(H332-I332)/K332</f>
        <v>0.33767406742569966</v>
      </c>
      <c r="Y332">
        <f>(H332-K332)/G332</f>
        <v>-6.1889907081952175E-2</v>
      </c>
      <c r="Z332">
        <f>J332/N332</f>
        <v>1.217193544590065</v>
      </c>
      <c r="AA332">
        <f>J332/G332</f>
        <v>0.54897938322074213</v>
      </c>
      <c r="AB332">
        <f>C332/G332</f>
        <v>0.18328840747385006</v>
      </c>
      <c r="AC332">
        <f>C332/(G332-K332)</f>
        <v>0.20344569297670873</v>
      </c>
      <c r="AD332">
        <f>Q332/E332</f>
        <v>0.54931538289303738</v>
      </c>
      <c r="AE332">
        <f>Q332/J332</f>
        <v>-4.9167726705243109E-2</v>
      </c>
      <c r="AF332">
        <f>Q332/G332</f>
        <v>-2.6992068281010379E-2</v>
      </c>
      <c r="AG332">
        <f>Q332/K332</f>
        <v>-0.2724285487510712</v>
      </c>
      <c r="AH332">
        <f>Q332/L332</f>
        <v>-0.66602992903036295</v>
      </c>
      <c r="AI332" s="1">
        <f>R332</f>
        <v>2.2999999999999998</v>
      </c>
      <c r="AJ332" s="1">
        <f>P332</f>
        <v>-1257769.4669999999</v>
      </c>
    </row>
    <row r="333" spans="1:36" x14ac:dyDescent="0.25">
      <c r="A333" t="s">
        <v>219</v>
      </c>
      <c r="B333">
        <v>2020</v>
      </c>
      <c r="C333" s="1">
        <v>623280.63500000001</v>
      </c>
      <c r="D333" s="1">
        <v>-54819.434000000001</v>
      </c>
      <c r="E333" s="1">
        <v>-252494.86499999999</v>
      </c>
      <c r="F333" s="1">
        <v>0</v>
      </c>
      <c r="G333" s="1">
        <v>4210733.4369999999</v>
      </c>
      <c r="H333" s="1">
        <v>118350.504</v>
      </c>
      <c r="I333" s="1">
        <v>15680.284</v>
      </c>
      <c r="J333" s="1">
        <v>1692317.274889</v>
      </c>
      <c r="K333" s="1">
        <v>384592.88900000002</v>
      </c>
      <c r="L333" s="1">
        <v>158420.05014899999</v>
      </c>
      <c r="M333" s="1">
        <v>1564361.149</v>
      </c>
      <c r="N333" s="1">
        <v>2518416.1621110002</v>
      </c>
      <c r="O333" s="1">
        <v>2518416.1621110002</v>
      </c>
      <c r="P333" s="1">
        <v>-1511282.8870000001</v>
      </c>
      <c r="Q333" s="1">
        <v>104030.704</v>
      </c>
      <c r="R333" s="1">
        <v>3.5</v>
      </c>
      <c r="T333">
        <f>E333/G333</f>
        <v>-5.9964580702570845E-2</v>
      </c>
      <c r="U333">
        <f>D333/C333</f>
        <v>-8.7953051838358498E-2</v>
      </c>
      <c r="V333">
        <f>(E333-F333)/O333</f>
        <v>-0.10025938873754384</v>
      </c>
      <c r="W333">
        <f>H333/K333</f>
        <v>0.30772930905646567</v>
      </c>
      <c r="X333">
        <f>(H333-I333)/K333</f>
        <v>0.26695818601055826</v>
      </c>
      <c r="Y333">
        <f>(H333-K333)/G333</f>
        <v>-6.3229456099146555E-2</v>
      </c>
      <c r="Z333">
        <f>J333/N333</f>
        <v>0.67197681636162021</v>
      </c>
      <c r="AA333">
        <f>J333/G333</f>
        <v>0.40190558253307929</v>
      </c>
      <c r="AB333">
        <f>C333/G333</f>
        <v>0.14802186942616477</v>
      </c>
      <c r="AC333">
        <f>C333/(G333-K333)</f>
        <v>0.16290061151198465</v>
      </c>
      <c r="AD333">
        <f>Q333/E333</f>
        <v>-0.41201116703898116</v>
      </c>
      <c r="AE333">
        <f>Q333/J333</f>
        <v>6.1472340644175859E-2</v>
      </c>
      <c r="AF333">
        <f>Q333/G333</f>
        <v>2.4706076876269384E-2</v>
      </c>
      <c r="AG333">
        <f>Q333/K333</f>
        <v>0.2704956513119513</v>
      </c>
      <c r="AH333">
        <f>Q333/L333</f>
        <v>0.6566763733640737</v>
      </c>
      <c r="AI333" s="1">
        <f>R333</f>
        <v>3.5</v>
      </c>
      <c r="AJ333" s="1">
        <f>P333</f>
        <v>-1511282.8870000001</v>
      </c>
    </row>
    <row r="334" spans="1:36" x14ac:dyDescent="0.25">
      <c r="A334" t="s">
        <v>219</v>
      </c>
      <c r="B334">
        <v>2021</v>
      </c>
      <c r="C334" s="1">
        <v>238607.09599999999</v>
      </c>
      <c r="D334" s="1">
        <v>-173402.41699999999</v>
      </c>
      <c r="E334" s="1">
        <v>-335226.41399999999</v>
      </c>
      <c r="F334" s="1">
        <v>0</v>
      </c>
      <c r="G334" s="1">
        <v>4386289.5820000004</v>
      </c>
      <c r="H334" s="1">
        <v>74092.347999999998</v>
      </c>
      <c r="I334" s="1">
        <v>13527.663</v>
      </c>
      <c r="J334" s="1">
        <v>1784436.336776</v>
      </c>
      <c r="K334" s="1">
        <v>478932.77600000001</v>
      </c>
      <c r="L334" s="1">
        <v>221810.866213</v>
      </c>
      <c r="M334" s="1">
        <v>1601353.213</v>
      </c>
      <c r="N334" s="1">
        <v>2601853.2452240004</v>
      </c>
      <c r="O334" s="1">
        <v>2601853.2452240004</v>
      </c>
      <c r="P334" s="1">
        <v>-1846835.2790000001</v>
      </c>
      <c r="Q334" s="1">
        <v>-35642.553999999996</v>
      </c>
      <c r="R334" s="1">
        <v>3.1</v>
      </c>
      <c r="T334">
        <f>E334/G334</f>
        <v>-7.6425964983175609E-2</v>
      </c>
      <c r="U334">
        <f>D334/C334</f>
        <v>-0.72672782958642601</v>
      </c>
      <c r="V334">
        <f>(E334-F334)/O334</f>
        <v>-0.1288413997274237</v>
      </c>
      <c r="W334">
        <f>H334/K334</f>
        <v>0.15470302245507622</v>
      </c>
      <c r="X334">
        <f>(H334-I334)/K334</f>
        <v>0.12645759078305385</v>
      </c>
      <c r="Y334">
        <f>(H334-K334)/G334</f>
        <v>-9.2296785342523238E-2</v>
      </c>
      <c r="Z334">
        <f>J334/N334</f>
        <v>0.6858328155331348</v>
      </c>
      <c r="AA334">
        <f>J334/G334</f>
        <v>0.4068213699566906</v>
      </c>
      <c r="AB334">
        <f>C334/G334</f>
        <v>5.4398391063638619E-2</v>
      </c>
      <c r="AC334">
        <f>C334/(G334-K334)</f>
        <v>6.106611396061995E-2</v>
      </c>
      <c r="AD334">
        <f>Q334/E334</f>
        <v>0.1063238232772433</v>
      </c>
      <c r="AE334">
        <f>Q334/J334</f>
        <v>-1.997412475045009E-2</v>
      </c>
      <c r="AF334">
        <f>Q334/G334</f>
        <v>-8.1259007946639476E-3</v>
      </c>
      <c r="AG334">
        <f>Q334/K334</f>
        <v>-7.4420786770291944E-2</v>
      </c>
      <c r="AH334">
        <f>Q334/L334</f>
        <v>-0.16068894463345745</v>
      </c>
      <c r="AI334" s="1">
        <f>R334</f>
        <v>3.1</v>
      </c>
      <c r="AJ334" s="1">
        <f>P334</f>
        <v>-1846835.2790000001</v>
      </c>
    </row>
    <row r="335" spans="1:36" x14ac:dyDescent="0.25">
      <c r="A335" t="s">
        <v>219</v>
      </c>
      <c r="B335">
        <v>2022</v>
      </c>
      <c r="C335" s="1">
        <v>350847.13699999999</v>
      </c>
      <c r="D335" s="1">
        <v>-182953.56099999999</v>
      </c>
      <c r="E335" s="1">
        <v>-340532.08799999999</v>
      </c>
      <c r="F335" s="1">
        <v>0</v>
      </c>
      <c r="G335" s="1">
        <v>5122822.3859999999</v>
      </c>
      <c r="H335" s="1">
        <v>98495.489000000001</v>
      </c>
      <c r="I335" s="1">
        <v>19618.132000000001</v>
      </c>
      <c r="J335" s="1">
        <v>2146381.1092730002</v>
      </c>
      <c r="K335" s="1">
        <v>431034.27299999999</v>
      </c>
      <c r="L335" s="1">
        <v>175501.80545800002</v>
      </c>
      <c r="M335" s="1">
        <v>1808998.4580000001</v>
      </c>
      <c r="N335" s="1">
        <v>2976441.2767269998</v>
      </c>
      <c r="O335" s="1">
        <v>2976441.2767269998</v>
      </c>
      <c r="P335" s="1">
        <v>-2188325.7000000002</v>
      </c>
      <c r="Q335" s="1">
        <v>-14737.01</v>
      </c>
      <c r="R335" s="1">
        <v>2</v>
      </c>
      <c r="T335">
        <f>E335/G335</f>
        <v>-6.6473530085803756E-2</v>
      </c>
      <c r="U335">
        <f>D335/C335</f>
        <v>-0.52146231707742274</v>
      </c>
      <c r="V335">
        <f>(E335-F335)/O335</f>
        <v>-0.11440914042640248</v>
      </c>
      <c r="W335">
        <f>H335/K335</f>
        <v>0.22850964568193399</v>
      </c>
      <c r="X335">
        <f>(H335-I335)/K335</f>
        <v>0.18299555729295802</v>
      </c>
      <c r="Y335">
        <f>(H335-K335)/G335</f>
        <v>-6.491319802708459E-2</v>
      </c>
      <c r="Z335">
        <f>J335/N335</f>
        <v>0.72112328439190199</v>
      </c>
      <c r="AA335">
        <f>J335/G335</f>
        <v>0.41898409656730978</v>
      </c>
      <c r="AB335">
        <f>C335/G335</f>
        <v>6.8487078130762269E-2</v>
      </c>
      <c r="AC335">
        <f>C335/(G335-K335)</f>
        <v>7.4778981605727934E-2</v>
      </c>
      <c r="AD335">
        <f>Q335/E335</f>
        <v>4.3276420987381374E-2</v>
      </c>
      <c r="AE335">
        <f>Q335/J335</f>
        <v>-6.8659801077878323E-3</v>
      </c>
      <c r="AF335">
        <f>Q335/G335</f>
        <v>-2.8767364725106048E-3</v>
      </c>
      <c r="AG335">
        <f>Q335/K335</f>
        <v>-3.4189879838163129E-2</v>
      </c>
      <c r="AH335">
        <f>Q335/L335</f>
        <v>-8.3970703102121472E-2</v>
      </c>
      <c r="AI335" s="1">
        <f>R335</f>
        <v>2</v>
      </c>
      <c r="AJ335" s="1">
        <f>P335</f>
        <v>-2188325.7000000002</v>
      </c>
    </row>
    <row r="336" spans="1:36" x14ac:dyDescent="0.25">
      <c r="A336" t="s">
        <v>219</v>
      </c>
      <c r="B336">
        <v>2023</v>
      </c>
      <c r="C336" s="1">
        <v>749295.59199999995</v>
      </c>
      <c r="D336" s="1">
        <v>-203959.59099999999</v>
      </c>
      <c r="E336" s="1">
        <v>-708166.745</v>
      </c>
      <c r="F336" s="1">
        <v>0</v>
      </c>
      <c r="G336" s="1">
        <v>5136789.0920000002</v>
      </c>
      <c r="H336" s="1">
        <v>153083.83900000001</v>
      </c>
      <c r="I336" s="1">
        <v>31452.809000000001</v>
      </c>
      <c r="J336" s="1">
        <v>3235148.128</v>
      </c>
      <c r="K336" s="1">
        <v>709243.10600000003</v>
      </c>
      <c r="L336" s="1">
        <v>2344391.6439999999</v>
      </c>
      <c r="M336" s="1">
        <v>2101601.3709999998</v>
      </c>
      <c r="N336" s="1">
        <v>1901640.9640000002</v>
      </c>
      <c r="O336" s="1">
        <v>1901640.9640000002</v>
      </c>
      <c r="P336" s="1">
        <v>-2895714.1349999998</v>
      </c>
      <c r="Q336" s="1">
        <v>-27414.732</v>
      </c>
      <c r="R336" s="1">
        <v>2.8</v>
      </c>
      <c r="T336">
        <f>E336/G336</f>
        <v>-0.13786175221850047</v>
      </c>
      <c r="U336">
        <f>D336/C336</f>
        <v>-0.27220177614497432</v>
      </c>
      <c r="V336">
        <f>(E336-F336)/O336</f>
        <v>-0.37239771250531389</v>
      </c>
      <c r="W336">
        <f>H336/K336</f>
        <v>0.21584113783405601</v>
      </c>
      <c r="X336">
        <f>(H336-I336)/K336</f>
        <v>0.1714941308149987</v>
      </c>
      <c r="Y336">
        <f>(H336-K336)/G336</f>
        <v>-0.10826982713114669</v>
      </c>
      <c r="Z336">
        <f>J336/N336</f>
        <v>1.7012402389539605</v>
      </c>
      <c r="AA336">
        <f>J336/G336</f>
        <v>0.62979968031749589</v>
      </c>
      <c r="AB336">
        <f>C336/G336</f>
        <v>0.14586847514665294</v>
      </c>
      <c r="AC336">
        <f>C336/(G336-K336)</f>
        <v>0.16923496545700245</v>
      </c>
      <c r="AD336">
        <f>Q336/E336</f>
        <v>3.871225554371379E-2</v>
      </c>
      <c r="AE336">
        <f>Q336/J336</f>
        <v>-8.4740268189661076E-3</v>
      </c>
      <c r="AF336">
        <f>Q336/G336</f>
        <v>-5.3369393815867411E-3</v>
      </c>
      <c r="AG336">
        <f>Q336/K336</f>
        <v>-3.86535050789764E-2</v>
      </c>
      <c r="AH336">
        <f>Q336/L336</f>
        <v>-1.1693750943944245E-2</v>
      </c>
      <c r="AI336" s="1">
        <f>R336</f>
        <v>2.8</v>
      </c>
      <c r="AJ336" s="1">
        <f>P336</f>
        <v>-2895714.1349999998</v>
      </c>
    </row>
    <row r="337" spans="1:36" x14ac:dyDescent="0.25">
      <c r="A337" t="s">
        <v>219</v>
      </c>
      <c r="B337">
        <v>2024</v>
      </c>
      <c r="C337" s="1">
        <v>1091134.2450000001</v>
      </c>
      <c r="D337" s="1">
        <v>-56282.495999999999</v>
      </c>
      <c r="E337" s="1">
        <v>-408144.04800000001</v>
      </c>
      <c r="F337" s="1">
        <v>0</v>
      </c>
      <c r="G337" s="1">
        <v>5829833.648</v>
      </c>
      <c r="H337" s="1">
        <v>304399.13</v>
      </c>
      <c r="I337" s="1">
        <v>40250.580999999998</v>
      </c>
      <c r="J337" s="1">
        <v>4200583.6689999998</v>
      </c>
      <c r="K337" s="1">
        <v>830039.14500000002</v>
      </c>
      <c r="L337" s="1">
        <v>2324877.7089999998</v>
      </c>
      <c r="M337" s="1">
        <v>2017294.5730000001</v>
      </c>
      <c r="N337" s="1">
        <v>1629249.9790000003</v>
      </c>
      <c r="O337" s="1">
        <v>1629249.9790000003</v>
      </c>
      <c r="P337" s="1">
        <v>-3304690.23</v>
      </c>
      <c r="Q337" s="1">
        <v>-296112.60399999999</v>
      </c>
      <c r="R337" s="1">
        <v>2.2999999999999998</v>
      </c>
      <c r="T337">
        <f>E337/G337</f>
        <v>-7.0009553041023589E-2</v>
      </c>
      <c r="U337">
        <f>D337/C337</f>
        <v>-5.1581642000430472E-2</v>
      </c>
      <c r="V337">
        <f>(E337-F337)/O337</f>
        <v>-0.250510390216798</v>
      </c>
      <c r="W337">
        <f>H337/K337</f>
        <v>0.36672864386413967</v>
      </c>
      <c r="X337">
        <f>(H337-I337)/K337</f>
        <v>0.31823625499011854</v>
      </c>
      <c r="Y337">
        <f>(H337-K337)/G337</f>
        <v>-9.016381027961709E-2</v>
      </c>
      <c r="Z337">
        <f>J337/N337</f>
        <v>2.5782315317740441</v>
      </c>
      <c r="AA337">
        <f>J337/G337</f>
        <v>0.720532338078131</v>
      </c>
      <c r="AB337">
        <f>C337/G337</f>
        <v>0.1871638730848397</v>
      </c>
      <c r="AC337">
        <f>C337/(G337-K337)</f>
        <v>0.21823581836119316</v>
      </c>
      <c r="AD337">
        <f>Q337/E337</f>
        <v>0.72551003855383922</v>
      </c>
      <c r="AE337">
        <f>Q337/J337</f>
        <v>-7.0493204595658776E-2</v>
      </c>
      <c r="AF337">
        <f>Q337/G337</f>
        <v>-5.0792633525930067E-2</v>
      </c>
      <c r="AG337">
        <f>Q337/K337</f>
        <v>-0.35674534843775346</v>
      </c>
      <c r="AH337">
        <f>Q337/L337</f>
        <v>-0.12736695906786727</v>
      </c>
      <c r="AI337" s="1">
        <f>R337</f>
        <v>2.2999999999999998</v>
      </c>
      <c r="AJ337" s="1">
        <f>P337</f>
        <v>-3304690.23</v>
      </c>
    </row>
    <row r="338" spans="1:36" s="2" customFormat="1" x14ac:dyDescent="0.25">
      <c r="A338" s="2" t="s">
        <v>71</v>
      </c>
      <c r="B338" s="2">
        <v>2018</v>
      </c>
      <c r="C338" s="3">
        <v>481952</v>
      </c>
      <c r="D338" s="3">
        <f>511008+215061</f>
        <v>726069</v>
      </c>
      <c r="E338" s="3">
        <v>328334</v>
      </c>
      <c r="F338" s="3"/>
      <c r="G338" s="3">
        <v>12995712</v>
      </c>
      <c r="H338" s="3">
        <v>140370</v>
      </c>
      <c r="I338" s="3">
        <v>579</v>
      </c>
      <c r="J338" s="3">
        <f>4635611+K338</f>
        <v>5308681</v>
      </c>
      <c r="K338" s="3">
        <v>673070</v>
      </c>
      <c r="L338" s="3">
        <f>241141+M338</f>
        <v>1631141</v>
      </c>
      <c r="M338" s="3">
        <v>1390000</v>
      </c>
      <c r="N338" s="3">
        <v>7689455</v>
      </c>
      <c r="O338" s="3">
        <v>7687030</v>
      </c>
      <c r="P338" s="3">
        <v>7263240</v>
      </c>
      <c r="Q338" s="3">
        <v>107917</v>
      </c>
      <c r="R338" s="3">
        <v>15</v>
      </c>
      <c r="T338" s="2">
        <f>E338/G338</f>
        <v>2.5264795033931191E-2</v>
      </c>
      <c r="U338" s="2">
        <f>D338/C338</f>
        <v>1.5065172465307748</v>
      </c>
      <c r="V338" s="2">
        <f>(E338-F338)/O338</f>
        <v>4.2712725200760242E-2</v>
      </c>
      <c r="W338" s="2">
        <f>H338/K338</f>
        <v>0.20855185939055373</v>
      </c>
      <c r="X338" s="2">
        <f>(H338-I338)/K338</f>
        <v>0.20769162197096885</v>
      </c>
      <c r="Y338" s="2">
        <f>(H338-K338)/G338</f>
        <v>-4.099044361709462E-2</v>
      </c>
      <c r="Z338" s="2">
        <f>J338/N338</f>
        <v>0.6903845591137473</v>
      </c>
      <c r="AA338" s="2">
        <f>J338/G338</f>
        <v>0.40849481736745169</v>
      </c>
      <c r="AB338" s="2">
        <f>C338/G338</f>
        <v>3.7085463266652879E-2</v>
      </c>
      <c r="AC338" s="2">
        <f>C338/(G338-K338)</f>
        <v>3.9111093221729558E-2</v>
      </c>
      <c r="AD338" s="2">
        <f>Q338/E338</f>
        <v>0.3286805509024347</v>
      </c>
      <c r="AE338" s="2">
        <f>Q338/J338</f>
        <v>2.032840172540034E-2</v>
      </c>
      <c r="AF338" s="2">
        <f>Q338/G338</f>
        <v>8.3040467501896004E-3</v>
      </c>
      <c r="AG338" s="2">
        <f>Q338/K338</f>
        <v>0.16033547773634244</v>
      </c>
      <c r="AH338" s="2">
        <f>Q338/L338</f>
        <v>6.616043616094501E-2</v>
      </c>
      <c r="AI338" s="3">
        <f>R338</f>
        <v>15</v>
      </c>
      <c r="AJ338" s="3">
        <f>P338</f>
        <v>7263240</v>
      </c>
    </row>
    <row r="339" spans="1:36" x14ac:dyDescent="0.25">
      <c r="A339" t="s">
        <v>71</v>
      </c>
      <c r="B339">
        <v>2019</v>
      </c>
      <c r="C339" s="1">
        <v>476852</v>
      </c>
      <c r="D339" s="1">
        <f>571861+235509</f>
        <v>807370</v>
      </c>
      <c r="E339" s="1">
        <v>332505</v>
      </c>
      <c r="G339" s="1">
        <v>13718542</v>
      </c>
      <c r="H339" s="1">
        <v>205142</v>
      </c>
      <c r="I339" s="1">
        <v>822</v>
      </c>
      <c r="J339" s="1">
        <f>5184043+K339</f>
        <v>5719813</v>
      </c>
      <c r="K339" s="1">
        <v>535770</v>
      </c>
      <c r="L339" s="1">
        <f>45860+M339</f>
        <v>1759860</v>
      </c>
      <c r="M339" s="1">
        <v>1714000</v>
      </c>
      <c r="N339" s="1">
        <v>8001172</v>
      </c>
      <c r="O339" s="1">
        <v>7998728</v>
      </c>
      <c r="P339" s="1">
        <v>7593528</v>
      </c>
      <c r="Q339" s="1">
        <v>-30808</v>
      </c>
      <c r="R339" s="1">
        <v>26</v>
      </c>
      <c r="T339">
        <f>E339/G339</f>
        <v>2.4237633999298177E-2</v>
      </c>
      <c r="U339">
        <f>D339/C339</f>
        <v>1.693124910873814</v>
      </c>
      <c r="V339">
        <f>(E339-F339)/O339</f>
        <v>4.1569734587799459E-2</v>
      </c>
      <c r="W339">
        <f>H339/K339</f>
        <v>0.38289191257442562</v>
      </c>
      <c r="X339">
        <f>(H339-I339)/K339</f>
        <v>0.38135767213543126</v>
      </c>
      <c r="Y339">
        <f>(H339-K339)/G339</f>
        <v>-2.4100811879279881E-2</v>
      </c>
      <c r="Z339">
        <f>J339/N339</f>
        <v>0.71487189626719683</v>
      </c>
      <c r="AA339">
        <f>J339/G339</f>
        <v>0.41694029875769595</v>
      </c>
      <c r="AB339">
        <f>C339/G339</f>
        <v>3.4759670524754017E-2</v>
      </c>
      <c r="AC339">
        <f>C339/(G339-K339)</f>
        <v>3.6172361928128623E-2</v>
      </c>
      <c r="AD339">
        <f>Q339/E339</f>
        <v>-9.2654245800815022E-2</v>
      </c>
      <c r="AE339">
        <f>Q339/J339</f>
        <v>-5.3861900729971421E-3</v>
      </c>
      <c r="AF339">
        <f>Q339/G339</f>
        <v>-2.2457196982011646E-3</v>
      </c>
      <c r="AG339">
        <f>Q339/K339</f>
        <v>-5.7502286428878065E-2</v>
      </c>
      <c r="AH339">
        <f>Q339/L339</f>
        <v>-1.7505937972338709E-2</v>
      </c>
      <c r="AI339" s="1">
        <f>R339</f>
        <v>26</v>
      </c>
      <c r="AJ339" s="1">
        <f>P339</f>
        <v>7593528</v>
      </c>
    </row>
    <row r="340" spans="1:36" x14ac:dyDescent="0.25">
      <c r="A340" t="s">
        <v>71</v>
      </c>
      <c r="B340">
        <v>2020</v>
      </c>
      <c r="C340" s="1">
        <v>438405</v>
      </c>
      <c r="D340" s="1">
        <f>175525+232370</f>
        <v>407895</v>
      </c>
      <c r="E340" s="1">
        <v>59205</v>
      </c>
      <c r="G340" s="1">
        <v>14044312</v>
      </c>
      <c r="H340" s="1">
        <v>294610</v>
      </c>
      <c r="I340" s="1">
        <v>995</v>
      </c>
      <c r="J340" s="1">
        <f>5285881+K340</f>
        <v>5960195</v>
      </c>
      <c r="K340" s="1">
        <v>674314</v>
      </c>
      <c r="L340" s="1">
        <f>168983+M340</f>
        <v>1869039</v>
      </c>
      <c r="M340" s="1">
        <v>1700056</v>
      </c>
      <c r="N340" s="1">
        <v>8086581</v>
      </c>
      <c r="O340" s="1">
        <v>8084115</v>
      </c>
      <c r="P340" s="1">
        <v>7652598</v>
      </c>
      <c r="Q340" s="1">
        <v>-84507</v>
      </c>
      <c r="R340" s="1">
        <v>24.3</v>
      </c>
      <c r="T340">
        <f>E340/G340</f>
        <v>4.2155856406493964E-3</v>
      </c>
      <c r="U340">
        <f>D340/C340</f>
        <v>0.93040681561569782</v>
      </c>
      <c r="V340">
        <f>(E340-F340)/O340</f>
        <v>7.3236216951391708E-3</v>
      </c>
      <c r="W340">
        <f>H340/K340</f>
        <v>0.4369032824470499</v>
      </c>
      <c r="X340">
        <f>(H340-I340)/K340</f>
        <v>0.43542770875289555</v>
      </c>
      <c r="Y340">
        <f>(H340-K340)/G340</f>
        <v>-2.7036141037026236E-2</v>
      </c>
      <c r="Z340">
        <f>J340/N340</f>
        <v>0.73704758537631665</v>
      </c>
      <c r="AA340">
        <f>J340/G340</f>
        <v>0.42438497521274093</v>
      </c>
      <c r="AB340">
        <f>C340/G340</f>
        <v>3.1215840263303749E-2</v>
      </c>
      <c r="AC340">
        <f>C340/(G340-K340)</f>
        <v>3.2790206849694366E-2</v>
      </c>
      <c r="AD340">
        <f>Q340/E340</f>
        <v>-1.4273625538383583</v>
      </c>
      <c r="AE340">
        <f>Q340/J340</f>
        <v>-1.4178562949702149E-2</v>
      </c>
      <c r="AF340">
        <f>Q340/G340</f>
        <v>-6.0171690859616338E-3</v>
      </c>
      <c r="AG340">
        <f>Q340/K340</f>
        <v>-0.12532292077578103</v>
      </c>
      <c r="AH340">
        <f>Q340/L340</f>
        <v>-4.5214144809177334E-2</v>
      </c>
      <c r="AI340" s="1">
        <f>R340</f>
        <v>24.3</v>
      </c>
      <c r="AJ340" s="1">
        <f>P340</f>
        <v>7652598</v>
      </c>
    </row>
    <row r="341" spans="1:36" x14ac:dyDescent="0.25">
      <c r="A341" t="s">
        <v>71</v>
      </c>
      <c r="B341">
        <v>2021</v>
      </c>
      <c r="C341" s="1">
        <v>335218</v>
      </c>
      <c r="D341" s="1">
        <f>61623+207491</f>
        <v>269114</v>
      </c>
      <c r="E341" s="1">
        <v>623960</v>
      </c>
      <c r="G341" s="1">
        <v>13935709</v>
      </c>
      <c r="H341" s="1">
        <v>829196</v>
      </c>
      <c r="I341" s="1">
        <v>1134</v>
      </c>
      <c r="J341" s="1">
        <f>4914744+K341</f>
        <v>5214912</v>
      </c>
      <c r="K341" s="1">
        <v>300168</v>
      </c>
      <c r="L341" s="1">
        <f>4128+M341</f>
        <v>1909128</v>
      </c>
      <c r="M341" s="1">
        <v>1905000</v>
      </c>
      <c r="N341" s="1">
        <v>8723271</v>
      </c>
      <c r="O341" s="1">
        <v>8720796</v>
      </c>
      <c r="P341" s="1">
        <v>8278047</v>
      </c>
      <c r="Q341" s="1">
        <v>-181373</v>
      </c>
      <c r="R341" s="1">
        <v>34.4</v>
      </c>
      <c r="T341">
        <f>E341/G341</f>
        <v>4.4774184076317898E-2</v>
      </c>
      <c r="U341">
        <f>D341/C341</f>
        <v>0.80280295210877695</v>
      </c>
      <c r="V341">
        <f>(E341-F341)/O341</f>
        <v>7.1548514608070185E-2</v>
      </c>
      <c r="W341">
        <f>H341/K341</f>
        <v>2.7624397004344234</v>
      </c>
      <c r="X341">
        <f>(H341-I341)/K341</f>
        <v>2.758661816049679</v>
      </c>
      <c r="Y341">
        <f>(H341-K341)/G341</f>
        <v>3.7962044127069529E-2</v>
      </c>
      <c r="Z341">
        <f>J341/N341</f>
        <v>0.59781611737156848</v>
      </c>
      <c r="AA341">
        <f>J341/G341</f>
        <v>0.37421217678985691</v>
      </c>
      <c r="AB341">
        <f>C341/G341</f>
        <v>2.4054606765970786E-2</v>
      </c>
      <c r="AC341">
        <f>C341/(G341-K341)</f>
        <v>2.4584136412335967E-2</v>
      </c>
      <c r="AD341">
        <f>Q341/E341</f>
        <v>-0.29068049233925253</v>
      </c>
      <c r="AE341">
        <f>Q341/J341</f>
        <v>-3.4779685639949438E-2</v>
      </c>
      <c r="AF341">
        <f>Q341/G341</f>
        <v>-1.3014981871392406E-2</v>
      </c>
      <c r="AG341">
        <f>Q341/K341</f>
        <v>-0.60423829322246214</v>
      </c>
      <c r="AH341">
        <f>Q341/L341</f>
        <v>-9.5003058988187283E-2</v>
      </c>
      <c r="AI341" s="1">
        <f>R341</f>
        <v>34.4</v>
      </c>
      <c r="AJ341" s="1">
        <f>P341</f>
        <v>8278047</v>
      </c>
    </row>
    <row r="342" spans="1:36" x14ac:dyDescent="0.25">
      <c r="A342" t="s">
        <v>71</v>
      </c>
      <c r="B342">
        <v>2022</v>
      </c>
      <c r="C342" s="1">
        <v>339155</v>
      </c>
      <c r="D342" s="1">
        <f>34124+291921</f>
        <v>326045</v>
      </c>
      <c r="E342" s="1">
        <v>-731134</v>
      </c>
      <c r="G342" s="1">
        <v>13305930</v>
      </c>
      <c r="H342" s="1">
        <v>180932</v>
      </c>
      <c r="I342" s="1">
        <v>1151</v>
      </c>
      <c r="J342" s="1">
        <f>5059727+K342</f>
        <v>5314190</v>
      </c>
      <c r="K342" s="1">
        <v>254463</v>
      </c>
      <c r="L342" s="1">
        <f>35687+M342</f>
        <v>1356687</v>
      </c>
      <c r="M342" s="1">
        <v>1321000</v>
      </c>
      <c r="N342" s="1">
        <v>7994223</v>
      </c>
      <c r="O342" s="1">
        <v>7991739</v>
      </c>
      <c r="P342" s="1">
        <v>7547774</v>
      </c>
      <c r="Q342" s="1">
        <v>-125582</v>
      </c>
      <c r="R342" s="1">
        <v>15.7</v>
      </c>
      <c r="T342">
        <f>E342/G342</f>
        <v>-5.4947981839675995E-2</v>
      </c>
      <c r="U342">
        <f>D342/C342</f>
        <v>0.96134510769412218</v>
      </c>
      <c r="V342">
        <f>(E342-F342)/O342</f>
        <v>-9.1486220958917702E-2</v>
      </c>
      <c r="W342">
        <f>H342/K342</f>
        <v>0.71103461013978453</v>
      </c>
      <c r="X342">
        <f>(H342-I342)/K342</f>
        <v>0.70651135921528863</v>
      </c>
      <c r="Y342">
        <f>(H342-K342)/G342</f>
        <v>-5.5261826869673894E-3</v>
      </c>
      <c r="Z342">
        <f>J342/N342</f>
        <v>0.6647537853272294</v>
      </c>
      <c r="AA342">
        <f>J342/G342</f>
        <v>0.39938508619840929</v>
      </c>
      <c r="AB342">
        <f>C342/G342</f>
        <v>2.5489011290454708E-2</v>
      </c>
      <c r="AC342">
        <f>C342/(G342-K342)</f>
        <v>2.5985967707691404E-2</v>
      </c>
      <c r="AD342">
        <f>Q342/E342</f>
        <v>0.17176331561656277</v>
      </c>
      <c r="AE342">
        <f>Q342/J342</f>
        <v>-2.3631447125526187E-2</v>
      </c>
      <c r="AF342">
        <f>Q342/G342</f>
        <v>-9.4380475472214276E-3</v>
      </c>
      <c r="AG342">
        <f>Q342/K342</f>
        <v>-0.49351772163340052</v>
      </c>
      <c r="AH342">
        <f>Q342/L342</f>
        <v>-9.2565197425787962E-2</v>
      </c>
      <c r="AI342" s="1">
        <f>R342</f>
        <v>15.7</v>
      </c>
      <c r="AJ342" s="1">
        <f>P342</f>
        <v>7547774</v>
      </c>
    </row>
    <row r="343" spans="1:36" x14ac:dyDescent="0.25">
      <c r="A343" t="s">
        <v>71</v>
      </c>
      <c r="B343">
        <v>2023</v>
      </c>
      <c r="C343" s="1">
        <v>376776</v>
      </c>
      <c r="D343" s="1">
        <f>429036+305780</f>
        <v>734816</v>
      </c>
      <c r="E343" s="1">
        <v>320826</v>
      </c>
      <c r="G343" s="1">
        <v>13817182</v>
      </c>
      <c r="H343" s="1">
        <v>133285</v>
      </c>
      <c r="I343" s="1">
        <v>1155</v>
      </c>
      <c r="J343" s="1">
        <f>5170901+K343</f>
        <v>5502958</v>
      </c>
      <c r="K343" s="1">
        <v>332057</v>
      </c>
      <c r="L343" s="1">
        <f>107781+M343</f>
        <v>1458781</v>
      </c>
      <c r="M343" s="1">
        <v>1351000</v>
      </c>
      <c r="N343" s="1">
        <v>8316716</v>
      </c>
      <c r="O343" s="1">
        <v>8314224</v>
      </c>
      <c r="P343" s="1">
        <v>7866713</v>
      </c>
      <c r="Q343" s="1">
        <v>-179954</v>
      </c>
      <c r="R343" s="1">
        <v>17</v>
      </c>
      <c r="T343">
        <f>E343/G343</f>
        <v>2.3219351094890404E-2</v>
      </c>
      <c r="U343">
        <f>D343/C343</f>
        <v>1.9502728411576109</v>
      </c>
      <c r="V343">
        <f>(E343-F343)/O343</f>
        <v>3.8587606011096162E-2</v>
      </c>
      <c r="W343">
        <f>H343/K343</f>
        <v>0.40139192969881676</v>
      </c>
      <c r="X343">
        <f>(H343-I343)/K343</f>
        <v>0.39791361121735125</v>
      </c>
      <c r="Y343">
        <f>(H343-K343)/G343</f>
        <v>-1.4385856681919657E-2</v>
      </c>
      <c r="Z343">
        <f>J343/N343</f>
        <v>0.66167439167094322</v>
      </c>
      <c r="AA343">
        <f>J343/G343</f>
        <v>0.39826919845160902</v>
      </c>
      <c r="AB343">
        <f>C343/G343</f>
        <v>2.726865724139698E-2</v>
      </c>
      <c r="AC343">
        <f>C343/(G343-K343)</f>
        <v>2.7940119205420787E-2</v>
      </c>
      <c r="AD343">
        <f>Q343/E343</f>
        <v>-0.56090840517913132</v>
      </c>
      <c r="AE343">
        <f>Q343/J343</f>
        <v>-3.2701321725515625E-2</v>
      </c>
      <c r="AF343">
        <f>Q343/G343</f>
        <v>-1.3023929191929295E-2</v>
      </c>
      <c r="AG343">
        <f>Q343/K343</f>
        <v>-0.54193707706809369</v>
      </c>
      <c r="AH343">
        <f>Q343/L343</f>
        <v>-0.12335916083360011</v>
      </c>
      <c r="AI343" s="1">
        <f>R343</f>
        <v>17</v>
      </c>
      <c r="AJ343" s="1">
        <f>P343</f>
        <v>7866713</v>
      </c>
    </row>
    <row r="344" spans="1:36" x14ac:dyDescent="0.25">
      <c r="A344" s="15" t="s">
        <v>71</v>
      </c>
      <c r="B344" s="15">
        <v>2024</v>
      </c>
      <c r="C344" s="6">
        <v>442756</v>
      </c>
      <c r="D344" s="6">
        <f>365073+199154</f>
        <v>564227</v>
      </c>
      <c r="E344" s="6">
        <v>95301</v>
      </c>
      <c r="F344" s="6"/>
      <c r="G344" s="6">
        <v>14179113</v>
      </c>
      <c r="H344" s="6">
        <v>124267</v>
      </c>
      <c r="I344" s="6">
        <v>0</v>
      </c>
      <c r="J344" s="6">
        <f>5429154+K344</f>
        <v>5764003</v>
      </c>
      <c r="K344" s="6">
        <v>334849</v>
      </c>
      <c r="L344" s="6">
        <f>59363+M344</f>
        <v>1410363</v>
      </c>
      <c r="M344" s="6">
        <v>1351000</v>
      </c>
      <c r="N344" s="6">
        <v>8417611</v>
      </c>
      <c r="O344" s="6">
        <v>8415109</v>
      </c>
      <c r="P344" s="6">
        <v>7961866</v>
      </c>
      <c r="Q344" s="6">
        <v>-18084</v>
      </c>
      <c r="R344" s="6">
        <v>23.1</v>
      </c>
      <c r="S344" s="15"/>
      <c r="T344" s="15">
        <f>E344/G344</f>
        <v>6.7212243812430298E-3</v>
      </c>
      <c r="U344" s="15">
        <f>D344/C344</f>
        <v>1.2743520132985211</v>
      </c>
      <c r="V344" s="15">
        <f>(E344-F344)/O344</f>
        <v>1.1324986996603371E-2</v>
      </c>
      <c r="W344" s="15">
        <f>H344/K344</f>
        <v>0.37111354670314084</v>
      </c>
      <c r="X344" s="15">
        <f>(H344-I344)/K344</f>
        <v>0.37111354670314084</v>
      </c>
      <c r="Y344" s="15">
        <f>(H344-K344)/G344</f>
        <v>-1.48515637050075E-2</v>
      </c>
      <c r="Z344" s="15">
        <f>J344/N344</f>
        <v>0.68475521142518936</v>
      </c>
      <c r="AA344" s="15">
        <f>J344/G344</f>
        <v>0.4065136514533737</v>
      </c>
      <c r="AB344" s="15">
        <f>C344/G344</f>
        <v>3.1225930705256387E-2</v>
      </c>
      <c r="AC344" s="15">
        <f>C344/(G344-K344)</f>
        <v>3.1981187298942004E-2</v>
      </c>
      <c r="AD344" s="15">
        <f>Q344/E344</f>
        <v>-0.18975666572229044</v>
      </c>
      <c r="AE344" s="15">
        <f>Q344/J344</f>
        <v>-3.137402947222616E-3</v>
      </c>
      <c r="AF344" s="15">
        <f>Q344/G344</f>
        <v>-1.2753971281560419E-3</v>
      </c>
      <c r="AG344" s="15">
        <f>Q344/K344</f>
        <v>-5.400643275028446E-2</v>
      </c>
      <c r="AH344" s="15">
        <f>Q344/L344</f>
        <v>-1.2822230872477511E-2</v>
      </c>
      <c r="AI344" s="6">
        <f>R344</f>
        <v>23.1</v>
      </c>
      <c r="AJ344" s="6">
        <f>P344</f>
        <v>7961866</v>
      </c>
    </row>
    <row r="345" spans="1:36" s="2" customFormat="1" x14ac:dyDescent="0.25">
      <c r="A345" s="2" t="s">
        <v>172</v>
      </c>
      <c r="B345" s="2">
        <v>2018</v>
      </c>
      <c r="C345" s="3">
        <v>7551205</v>
      </c>
      <c r="D345" s="3">
        <v>396198</v>
      </c>
      <c r="E345" s="3">
        <v>-92847</v>
      </c>
      <c r="F345" s="3"/>
      <c r="G345" s="3">
        <v>8443654</v>
      </c>
      <c r="H345" s="3">
        <v>2754846</v>
      </c>
      <c r="I345" s="3">
        <v>1017400</v>
      </c>
      <c r="J345" s="3">
        <v>3309061</v>
      </c>
      <c r="K345" s="3">
        <v>2491676</v>
      </c>
      <c r="L345" s="3">
        <v>1180141</v>
      </c>
      <c r="M345" s="3">
        <v>136000</v>
      </c>
      <c r="N345" s="3"/>
      <c r="O345" s="3">
        <v>5134593</v>
      </c>
      <c r="P345" s="3">
        <v>1068030</v>
      </c>
      <c r="Q345" s="3">
        <v>354813</v>
      </c>
      <c r="R345" s="3">
        <v>16.2</v>
      </c>
      <c r="T345" s="2">
        <f>E345/G345</f>
        <v>-1.0996068763594529E-2</v>
      </c>
      <c r="U345" s="2">
        <f>D345/C345</f>
        <v>5.2468182230518176E-2</v>
      </c>
      <c r="V345" s="2">
        <f>(E345-F345)/O345</f>
        <v>-1.8082640629938924E-2</v>
      </c>
      <c r="W345" s="2">
        <f>H345/K345</f>
        <v>1.1056196712574187</v>
      </c>
      <c r="X345" s="2">
        <f>(H345-I345)/K345</f>
        <v>0.6973001305145613</v>
      </c>
      <c r="Y345" s="2">
        <f>(H345-K345)/G345</f>
        <v>3.11677858898529E-2</v>
      </c>
      <c r="Z345" s="2" t="e">
        <f>J345/N345</f>
        <v>#DIV/0!</v>
      </c>
      <c r="AA345" s="2">
        <f>J345/G345</f>
        <v>0.39189917066710694</v>
      </c>
      <c r="AB345" s="2">
        <f>C345/G345</f>
        <v>0.89430535642507381</v>
      </c>
      <c r="AC345" s="2">
        <f>C345/(G345-K345)</f>
        <v>1.2686883251248577</v>
      </c>
      <c r="AD345" s="2">
        <f>Q345/E345</f>
        <v>-3.8214805001777119</v>
      </c>
      <c r="AE345" s="2">
        <f>Q345/J345</f>
        <v>0.1072246779373363</v>
      </c>
      <c r="AF345" s="2">
        <f>Q345/G345</f>
        <v>4.2021262358689734E-2</v>
      </c>
      <c r="AG345" s="2">
        <f>Q345/K345</f>
        <v>0.14239933281855266</v>
      </c>
      <c r="AH345" s="2">
        <f>Q345/L345</f>
        <v>0.30065305755837651</v>
      </c>
      <c r="AI345" s="3">
        <f>R345</f>
        <v>16.2</v>
      </c>
      <c r="AJ345" s="3">
        <f>P345</f>
        <v>1068030</v>
      </c>
    </row>
    <row r="346" spans="1:36" x14ac:dyDescent="0.25">
      <c r="A346" t="s">
        <v>172</v>
      </c>
      <c r="B346">
        <v>2019</v>
      </c>
      <c r="C346" s="1">
        <v>8179476</v>
      </c>
      <c r="D346" s="1">
        <v>1923848</v>
      </c>
      <c r="E346" s="1">
        <v>181840</v>
      </c>
      <c r="G346" s="1">
        <v>8813744</v>
      </c>
      <c r="H346" s="1">
        <v>2725555</v>
      </c>
      <c r="I346" s="1">
        <v>1319668</v>
      </c>
      <c r="J346" s="1">
        <v>3506367</v>
      </c>
      <c r="K346" s="1">
        <v>2672297</v>
      </c>
      <c r="L346" s="1">
        <v>1598014</v>
      </c>
      <c r="M346" s="1">
        <v>110924</v>
      </c>
      <c r="O346" s="1">
        <v>5307377</v>
      </c>
      <c r="P346" s="1">
        <v>1609094</v>
      </c>
      <c r="Q346" s="1">
        <v>712599</v>
      </c>
      <c r="R346" s="1">
        <v>14.7</v>
      </c>
      <c r="T346">
        <f>E346/G346</f>
        <v>2.0631413846374482E-2</v>
      </c>
      <c r="U346">
        <f>D346/C346</f>
        <v>0.23520430893128116</v>
      </c>
      <c r="V346">
        <f>(E346-F346)/O346</f>
        <v>3.4261745491228526E-2</v>
      </c>
      <c r="W346">
        <f>H346/K346</f>
        <v>1.0199296709909116</v>
      </c>
      <c r="X346">
        <f>(H346-I346)/K346</f>
        <v>0.52609683729016643</v>
      </c>
      <c r="Y346">
        <f>(H346-K346)/G346</f>
        <v>6.0426079995062254E-3</v>
      </c>
      <c r="Z346" t="e">
        <f>J346/N346</f>
        <v>#DIV/0!</v>
      </c>
      <c r="AA346">
        <f>J346/G346</f>
        <v>0.39782945817350718</v>
      </c>
      <c r="AB346">
        <f>C346/G346</f>
        <v>0.92803648483550238</v>
      </c>
      <c r="AC346">
        <f>C346/(G346-K346)</f>
        <v>1.3318483412785294</v>
      </c>
      <c r="AD346">
        <f>Q346/E346</f>
        <v>3.9188242410910692</v>
      </c>
      <c r="AE346">
        <f>Q346/J346</f>
        <v>0.20323000986491147</v>
      </c>
      <c r="AF346">
        <f>Q346/G346</f>
        <v>8.0850884709154247E-2</v>
      </c>
      <c r="AG346">
        <f>Q346/K346</f>
        <v>0.26666160235931857</v>
      </c>
      <c r="AH346">
        <f>Q346/L346</f>
        <v>0.44592788298475483</v>
      </c>
      <c r="AI346" s="1">
        <f>R346</f>
        <v>14.7</v>
      </c>
      <c r="AJ346" s="1">
        <f>P346</f>
        <v>1609094</v>
      </c>
    </row>
    <row r="347" spans="1:36" x14ac:dyDescent="0.25">
      <c r="A347" t="s">
        <v>172</v>
      </c>
      <c r="B347">
        <v>2020</v>
      </c>
      <c r="C347" s="1">
        <v>7815364</v>
      </c>
      <c r="D347" s="1">
        <v>416786</v>
      </c>
      <c r="E347" s="1">
        <v>238855</v>
      </c>
      <c r="G347" s="1">
        <v>9462749</v>
      </c>
      <c r="H347" s="1">
        <v>2782268</v>
      </c>
      <c r="I347" s="1">
        <v>1282661</v>
      </c>
      <c r="J347" s="1">
        <v>3656395</v>
      </c>
      <c r="K347" s="1">
        <v>2422688</v>
      </c>
      <c r="L347" s="1">
        <v>1465514</v>
      </c>
      <c r="M347" s="1">
        <v>325688</v>
      </c>
      <c r="O347" s="1">
        <v>5806354</v>
      </c>
      <c r="P347" s="1">
        <v>1660163</v>
      </c>
      <c r="Q347" s="1">
        <v>415606</v>
      </c>
      <c r="R347" s="1">
        <v>13.7</v>
      </c>
      <c r="T347">
        <f>E347/G347</f>
        <v>2.5241607909075894E-2</v>
      </c>
      <c r="U347">
        <f>D347/C347</f>
        <v>5.3329057993971876E-2</v>
      </c>
      <c r="V347">
        <f>(E347-F347)/O347</f>
        <v>4.1136830444716256E-2</v>
      </c>
      <c r="W347">
        <f>H347/K347</f>
        <v>1.1484219181339075</v>
      </c>
      <c r="X347">
        <f>(H347-I347)/K347</f>
        <v>0.61898478054128303</v>
      </c>
      <c r="Y347">
        <f>(H347-K347)/G347</f>
        <v>3.7999528466833472E-2</v>
      </c>
      <c r="Z347" t="e">
        <f>J347/N347</f>
        <v>#DIV/0!</v>
      </c>
      <c r="AA347">
        <f>J347/G347</f>
        <v>0.38639881497438006</v>
      </c>
      <c r="AB347">
        <f>C347/G347</f>
        <v>0.82590841202699128</v>
      </c>
      <c r="AC347">
        <f>C347/(G347-K347)</f>
        <v>1.1101273128173179</v>
      </c>
      <c r="AD347">
        <f>Q347/E347</f>
        <v>1.7399928827112683</v>
      </c>
      <c r="AE347">
        <f>Q347/J347</f>
        <v>0.11366550933364694</v>
      </c>
      <c r="AF347">
        <f>Q347/G347</f>
        <v>4.3920218109980515E-2</v>
      </c>
      <c r="AG347">
        <f>Q347/K347</f>
        <v>0.17154747123855815</v>
      </c>
      <c r="AH347">
        <f>Q347/L347</f>
        <v>0.28359060370627642</v>
      </c>
      <c r="AI347" s="1">
        <f>R347</f>
        <v>13.7</v>
      </c>
      <c r="AJ347" s="1">
        <f>P347</f>
        <v>1660163</v>
      </c>
    </row>
    <row r="348" spans="1:36" x14ac:dyDescent="0.25">
      <c r="A348" t="s">
        <v>172</v>
      </c>
      <c r="B348">
        <v>2021</v>
      </c>
      <c r="C348" s="1">
        <v>8674439</v>
      </c>
      <c r="D348" s="1">
        <v>-283965</v>
      </c>
      <c r="E348" s="1">
        <v>-384857</v>
      </c>
      <c r="G348" s="1">
        <v>9060200</v>
      </c>
      <c r="H348" s="1">
        <v>3301296</v>
      </c>
      <c r="I348" s="1">
        <v>1347086</v>
      </c>
      <c r="J348" s="1">
        <v>4045665</v>
      </c>
      <c r="K348" s="1">
        <v>3076061</v>
      </c>
      <c r="L348" s="1">
        <v>2285224</v>
      </c>
      <c r="M348" s="1">
        <v>293041</v>
      </c>
      <c r="O348" s="1">
        <v>5014535</v>
      </c>
      <c r="P348" s="1">
        <v>1229183</v>
      </c>
      <c r="Q348" s="1">
        <v>-364803</v>
      </c>
      <c r="R348" s="1">
        <v>12.7</v>
      </c>
      <c r="T348">
        <f>E348/G348</f>
        <v>-4.247775987285049E-2</v>
      </c>
      <c r="U348">
        <f>D348/C348</f>
        <v>-3.2735834559445287E-2</v>
      </c>
      <c r="V348">
        <f>(E348-F348)/O348</f>
        <v>-7.6748292713083074E-2</v>
      </c>
      <c r="W348">
        <f>H348/K348</f>
        <v>1.0732218899430148</v>
      </c>
      <c r="X348">
        <f>(H348-I348)/K348</f>
        <v>0.63529624412519781</v>
      </c>
      <c r="Y348">
        <f>(H348-K348)/G348</f>
        <v>2.4859826493896384E-2</v>
      </c>
      <c r="Z348" t="e">
        <f>J348/N348</f>
        <v>#DIV/0!</v>
      </c>
      <c r="AA348">
        <f>J348/G348</f>
        <v>0.44653153352023134</v>
      </c>
      <c r="AB348">
        <f>C348/G348</f>
        <v>0.95742246308028522</v>
      </c>
      <c r="AC348">
        <f>C348/(G348-K348)</f>
        <v>1.4495717763240459</v>
      </c>
      <c r="AD348">
        <f>Q348/E348</f>
        <v>0.94789233403575879</v>
      </c>
      <c r="AE348">
        <f>Q348/J348</f>
        <v>-9.0171331536348168E-2</v>
      </c>
      <c r="AF348">
        <f>Q348/G348</f>
        <v>-4.0264342950486746E-2</v>
      </c>
      <c r="AG348">
        <f>Q348/K348</f>
        <v>-0.11859420213058193</v>
      </c>
      <c r="AH348">
        <f>Q348/L348</f>
        <v>-0.159635554326403</v>
      </c>
      <c r="AI348" s="1">
        <f>R348</f>
        <v>12.7</v>
      </c>
      <c r="AJ348" s="1">
        <f>P348</f>
        <v>1229183</v>
      </c>
    </row>
    <row r="349" spans="1:36" x14ac:dyDescent="0.25">
      <c r="A349" t="s">
        <v>172</v>
      </c>
      <c r="B349">
        <v>2022</v>
      </c>
      <c r="C349" s="1">
        <v>10695305</v>
      </c>
      <c r="D349" s="1">
        <v>804926</v>
      </c>
      <c r="E349" s="1">
        <v>733272</v>
      </c>
      <c r="G349" s="1">
        <v>10858088</v>
      </c>
      <c r="H349" s="1">
        <v>4262639</v>
      </c>
      <c r="I349" s="1">
        <v>1912173</v>
      </c>
      <c r="J349" s="1">
        <v>4953240</v>
      </c>
      <c r="K349" s="1">
        <v>3784531</v>
      </c>
      <c r="L349" s="1">
        <v>2536876</v>
      </c>
      <c r="M349" s="1">
        <v>457391</v>
      </c>
      <c r="O349" s="1">
        <v>5904848</v>
      </c>
      <c r="P349" s="1">
        <v>1616234</v>
      </c>
      <c r="Q349" s="1">
        <v>677174</v>
      </c>
      <c r="R349" s="1">
        <v>13.4</v>
      </c>
      <c r="T349">
        <f>E349/G349</f>
        <v>6.7532331659128197E-2</v>
      </c>
      <c r="U349">
        <f>D349/C349</f>
        <v>7.5259751825684257E-2</v>
      </c>
      <c r="V349">
        <f>(E349-F349)/O349</f>
        <v>0.12418135064611316</v>
      </c>
      <c r="W349">
        <f>H349/K349</f>
        <v>1.1263321663899701</v>
      </c>
      <c r="X349">
        <f>(H349-I349)/K349</f>
        <v>0.62107193731535026</v>
      </c>
      <c r="Y349">
        <f>(H349-K349)/G349</f>
        <v>4.4032430018986768E-2</v>
      </c>
      <c r="Z349" t="e">
        <f>J349/N349</f>
        <v>#DIV/0!</v>
      </c>
      <c r="AA349">
        <f>J349/G349</f>
        <v>0.4561797620354523</v>
      </c>
      <c r="AB349">
        <f>C349/G349</f>
        <v>0.98500813402875353</v>
      </c>
      <c r="AC349">
        <f>C349/(G349-K349)</f>
        <v>1.5120122733159569</v>
      </c>
      <c r="AD349">
        <f>Q349/E349</f>
        <v>0.9234963287838619</v>
      </c>
      <c r="AE349">
        <f>Q349/J349</f>
        <v>0.13671334318547052</v>
      </c>
      <c r="AF349">
        <f>Q349/G349</f>
        <v>6.2365860361419063E-2</v>
      </c>
      <c r="AG349">
        <f>Q349/K349</f>
        <v>0.17893207903436384</v>
      </c>
      <c r="AH349">
        <f>Q349/L349</f>
        <v>0.26693224264804427</v>
      </c>
      <c r="AI349" s="1">
        <f>R349</f>
        <v>13.4</v>
      </c>
      <c r="AJ349" s="1">
        <f>P349</f>
        <v>1616234</v>
      </c>
    </row>
    <row r="350" spans="1:36" x14ac:dyDescent="0.25">
      <c r="A350" t="s">
        <v>172</v>
      </c>
      <c r="B350">
        <v>2023</v>
      </c>
      <c r="C350" s="1">
        <v>17135331</v>
      </c>
      <c r="D350" s="1">
        <v>1488704</v>
      </c>
      <c r="E350" s="1">
        <v>499460</v>
      </c>
      <c r="G350" s="1">
        <v>12770802</v>
      </c>
      <c r="H350" s="1">
        <v>6826290</v>
      </c>
      <c r="I350" s="1">
        <v>3119725</v>
      </c>
      <c r="J350" s="1">
        <v>6537377</v>
      </c>
      <c r="K350" s="1">
        <v>5279123</v>
      </c>
      <c r="L350" s="1">
        <v>2358624</v>
      </c>
      <c r="M350" s="1">
        <v>359721</v>
      </c>
      <c r="O350" s="1">
        <v>6233425</v>
      </c>
      <c r="P350" s="1">
        <v>1935564</v>
      </c>
      <c r="Q350" s="1">
        <v>895430</v>
      </c>
      <c r="R350" s="1">
        <v>21.4</v>
      </c>
      <c r="T350">
        <f>E350/G350</f>
        <v>3.9109524993027063E-2</v>
      </c>
      <c r="U350">
        <f>D350/C350</f>
        <v>8.6879208811315056E-2</v>
      </c>
      <c r="V350">
        <f>(E350-F350)/O350</f>
        <v>8.0126094402355047E-2</v>
      </c>
      <c r="W350">
        <f>H350/K350</f>
        <v>1.2930727319670332</v>
      </c>
      <c r="X350">
        <f>(H350-I350)/K350</f>
        <v>0.70211756763386646</v>
      </c>
      <c r="Y350">
        <f>(H350-K350)/G350</f>
        <v>0.12114877358524546</v>
      </c>
      <c r="Z350" t="e">
        <f>J350/N350</f>
        <v>#DIV/0!</v>
      </c>
      <c r="AA350">
        <f>J350/G350</f>
        <v>0.51190027063296417</v>
      </c>
      <c r="AB350">
        <f>C350/G350</f>
        <v>1.3417584111005714</v>
      </c>
      <c r="AC350">
        <f>C350/(G350-K350)</f>
        <v>2.2872484258869075</v>
      </c>
      <c r="AD350">
        <f>Q350/E350</f>
        <v>1.7927962199175109</v>
      </c>
      <c r="AE350">
        <f>Q350/J350</f>
        <v>0.13697083708037644</v>
      </c>
      <c r="AF350">
        <f>Q350/G350</f>
        <v>7.0115408570268337E-2</v>
      </c>
      <c r="AG350">
        <f>Q350/K350</f>
        <v>0.16961718830949762</v>
      </c>
      <c r="AH350">
        <f>Q350/L350</f>
        <v>0.37964084143975468</v>
      </c>
      <c r="AI350" s="1">
        <f>R350</f>
        <v>21.4</v>
      </c>
      <c r="AJ350" s="1">
        <f>P350</f>
        <v>1935564</v>
      </c>
    </row>
    <row r="351" spans="1:36" x14ac:dyDescent="0.25">
      <c r="A351" t="s">
        <v>172</v>
      </c>
      <c r="B351">
        <v>2024</v>
      </c>
      <c r="C351" s="1">
        <v>14178550</v>
      </c>
      <c r="D351" s="1">
        <v>-166905</v>
      </c>
      <c r="E351" s="1">
        <v>-799068</v>
      </c>
      <c r="G351" s="1">
        <v>10920579</v>
      </c>
      <c r="H351" s="1">
        <v>5047389</v>
      </c>
      <c r="I351" s="1">
        <v>2417291</v>
      </c>
      <c r="J351" s="1">
        <v>5922907</v>
      </c>
      <c r="K351" s="1">
        <v>4816076</v>
      </c>
      <c r="L351" s="1">
        <v>3075173</v>
      </c>
      <c r="M351" s="1">
        <v>251388</v>
      </c>
      <c r="O351" s="1">
        <v>4997672</v>
      </c>
      <c r="P351" s="1">
        <v>1035007</v>
      </c>
      <c r="Q351" s="1">
        <v>-714196.08900000004</v>
      </c>
      <c r="R351" s="1">
        <v>14</v>
      </c>
      <c r="T351">
        <f>E351/G351</f>
        <v>-7.3170845611757393E-2</v>
      </c>
      <c r="U351">
        <f>D351/C351</f>
        <v>-1.1771655070511441E-2</v>
      </c>
      <c r="V351">
        <f>(E351-F351)/O351</f>
        <v>-0.15988804387322739</v>
      </c>
      <c r="W351">
        <f>H351/K351</f>
        <v>1.0480293500351738</v>
      </c>
      <c r="X351">
        <f>(H351-I351)/K351</f>
        <v>0.54610807636756564</v>
      </c>
      <c r="Y351">
        <f>(H351-K351)/G351</f>
        <v>2.1181386078522026E-2</v>
      </c>
      <c r="Z351" t="e">
        <f>J351/N351</f>
        <v>#DIV/0!</v>
      </c>
      <c r="AA351">
        <f>J351/G351</f>
        <v>0.54236199381003514</v>
      </c>
      <c r="AB351">
        <f>C351/G351</f>
        <v>1.2983331744589732</v>
      </c>
      <c r="AC351">
        <f>C351/(G351-K351)</f>
        <v>2.3226378953372615</v>
      </c>
      <c r="AD351">
        <f>Q351/E351</f>
        <v>0.89378637237381553</v>
      </c>
      <c r="AE351">
        <f>Q351/J351</f>
        <v>-0.1205820197750868</v>
      </c>
      <c r="AF351">
        <f>Q351/G351</f>
        <v>-6.5399104662857171E-2</v>
      </c>
      <c r="AG351">
        <f>Q351/K351</f>
        <v>-0.14829418991726875</v>
      </c>
      <c r="AH351">
        <f>Q351/L351</f>
        <v>-0.23224582454385495</v>
      </c>
      <c r="AI351" s="1">
        <f>R351</f>
        <v>14</v>
      </c>
      <c r="AJ351" s="1">
        <f>P351</f>
        <v>1035007</v>
      </c>
    </row>
    <row r="352" spans="1:36" s="2" customFormat="1" x14ac:dyDescent="0.25">
      <c r="A352" s="2" t="s">
        <v>47</v>
      </c>
      <c r="B352" s="2">
        <v>2018</v>
      </c>
      <c r="C352" s="3">
        <v>2402414</v>
      </c>
      <c r="D352" s="3">
        <v>-27076</v>
      </c>
      <c r="E352" s="3">
        <v>-163201</v>
      </c>
      <c r="F352" s="3"/>
      <c r="G352" s="3">
        <v>5658414</v>
      </c>
      <c r="H352" s="3">
        <v>2837378</v>
      </c>
      <c r="I352" s="3">
        <v>1581132</v>
      </c>
      <c r="J352" s="3">
        <v>2269631</v>
      </c>
      <c r="K352" s="3">
        <v>2057658</v>
      </c>
      <c r="L352" s="3">
        <f>1774377+M352</f>
        <v>1908543</v>
      </c>
      <c r="M352" s="3">
        <v>134166</v>
      </c>
      <c r="N352" s="3">
        <v>3084287</v>
      </c>
      <c r="O352" s="3">
        <v>3388783</v>
      </c>
      <c r="P352" s="3">
        <v>2416476</v>
      </c>
      <c r="Q352" s="3">
        <v>-907792</v>
      </c>
      <c r="R352" s="3">
        <v>73.8</v>
      </c>
      <c r="T352" s="2">
        <f>E352/G352</f>
        <v>-2.8842180865521681E-2</v>
      </c>
      <c r="U352" s="2">
        <f>D352/C352</f>
        <v>-1.1270330592479064E-2</v>
      </c>
      <c r="V352" s="2">
        <f>(E352-F352)/O352</f>
        <v>-4.8159176908052242E-2</v>
      </c>
      <c r="W352" s="2">
        <f>H352/K352</f>
        <v>1.3789356637497583</v>
      </c>
      <c r="X352" s="2">
        <f>(H352-I352)/K352</f>
        <v>0.61052225394113113</v>
      </c>
      <c r="Y352" s="2">
        <f>(H352-K352)/G352</f>
        <v>0.13779833006209868</v>
      </c>
      <c r="Z352" s="2">
        <f>J352/N352</f>
        <v>0.73586893826676958</v>
      </c>
      <c r="AA352" s="2">
        <f>J352/G352</f>
        <v>0.40110727140149166</v>
      </c>
      <c r="AB352" s="2">
        <f>C352/G352</f>
        <v>0.42457374098113004</v>
      </c>
      <c r="AC352" s="2">
        <f>C352/(G352-K352)</f>
        <v>0.66719711082894817</v>
      </c>
      <c r="AD352" s="2">
        <f>Q352/E352</f>
        <v>5.5624168969552885</v>
      </c>
      <c r="AE352" s="2">
        <f>Q352/J352</f>
        <v>-0.39997338774452762</v>
      </c>
      <c r="AF352" s="2">
        <f>Q352/G352</f>
        <v>-0.1604322341914183</v>
      </c>
      <c r="AG352" s="2">
        <f>Q352/K352</f>
        <v>-0.44117729962899566</v>
      </c>
      <c r="AH352" s="2">
        <f>Q352/L352</f>
        <v>-0.47564660581396384</v>
      </c>
      <c r="AI352" s="3">
        <f>R352</f>
        <v>73.8</v>
      </c>
      <c r="AJ352" s="3">
        <f>P352</f>
        <v>2416476</v>
      </c>
    </row>
    <row r="353" spans="1:36" x14ac:dyDescent="0.25">
      <c r="A353" t="s">
        <v>47</v>
      </c>
      <c r="B353">
        <v>2019</v>
      </c>
      <c r="C353" s="1">
        <v>1626616</v>
      </c>
      <c r="D353" s="1">
        <v>-373379</v>
      </c>
      <c r="E353" s="1">
        <v>-583612</v>
      </c>
      <c r="G353" s="1">
        <v>5542582</v>
      </c>
      <c r="H353" s="1">
        <v>1860057</v>
      </c>
      <c r="I353" s="1">
        <v>845698</v>
      </c>
      <c r="J353" s="1">
        <v>2201750</v>
      </c>
      <c r="K353" s="1">
        <v>1830356</v>
      </c>
      <c r="L353" s="1">
        <f>1456159+M353</f>
        <v>1575927</v>
      </c>
      <c r="M353" s="1">
        <v>119768</v>
      </c>
      <c r="N353" s="1">
        <v>2977625</v>
      </c>
      <c r="O353" s="1">
        <v>3340831</v>
      </c>
      <c r="P353" s="1">
        <v>1866545</v>
      </c>
      <c r="Q353" s="1">
        <v>631454</v>
      </c>
      <c r="R353" s="1">
        <v>36.1</v>
      </c>
      <c r="T353">
        <f>E353/G353</f>
        <v>-0.10529605155142495</v>
      </c>
      <c r="U353">
        <f>D353/C353</f>
        <v>-0.22954342020489163</v>
      </c>
      <c r="V353">
        <f>(E353-F353)/O353</f>
        <v>-0.17469066827983817</v>
      </c>
      <c r="W353">
        <f>H353/K353</f>
        <v>1.0162268979367948</v>
      </c>
      <c r="X353">
        <f>(H353-I353)/K353</f>
        <v>0.55418672651659018</v>
      </c>
      <c r="Y353">
        <f>(H353-K353)/G353</f>
        <v>5.3586938361940336E-3</v>
      </c>
      <c r="Z353">
        <f>J353/N353</f>
        <v>0.73943159397170566</v>
      </c>
      <c r="AA353">
        <f>J353/G353</f>
        <v>0.39724265694219768</v>
      </c>
      <c r="AB353">
        <f>C353/G353</f>
        <v>0.2934762174019257</v>
      </c>
      <c r="AC353">
        <f>C353/(G353-K353)</f>
        <v>0.43817806351229693</v>
      </c>
      <c r="AD353">
        <f>Q353/E353</f>
        <v>-1.0819756961817097</v>
      </c>
      <c r="AE353">
        <f>Q353/J353</f>
        <v>0.28679641194504374</v>
      </c>
      <c r="AF353">
        <f>Q353/G353</f>
        <v>0.11392776868253821</v>
      </c>
      <c r="AG353">
        <f>Q353/K353</f>
        <v>0.34498971784723848</v>
      </c>
      <c r="AH353">
        <f>Q353/L353</f>
        <v>0.40068734148218793</v>
      </c>
      <c r="AI353" s="1">
        <f>R353</f>
        <v>36.1</v>
      </c>
      <c r="AJ353" s="1">
        <f>P353</f>
        <v>1866545</v>
      </c>
    </row>
    <row r="354" spans="1:36" x14ac:dyDescent="0.25">
      <c r="A354" t="s">
        <v>47</v>
      </c>
      <c r="B354">
        <v>2020</v>
      </c>
      <c r="C354" s="1">
        <v>813609.43</v>
      </c>
      <c r="D354" s="1">
        <v>-94957.504000000001</v>
      </c>
      <c r="E354" s="1">
        <v>-244355.08600000001</v>
      </c>
      <c r="G354" s="1">
        <v>3462677</v>
      </c>
      <c r="H354" s="1">
        <v>1358806.4939999999</v>
      </c>
      <c r="I354" s="1">
        <v>247352</v>
      </c>
      <c r="J354" s="1">
        <v>964696</v>
      </c>
      <c r="K354" s="1">
        <v>727744</v>
      </c>
      <c r="L354" s="1">
        <v>811385.19200000004</v>
      </c>
      <c r="M354" s="1">
        <f>155148+53437</f>
        <v>208585</v>
      </c>
      <c r="N354" s="1">
        <v>2497075.0249999999</v>
      </c>
      <c r="O354" s="1">
        <v>2497981.1310000001</v>
      </c>
      <c r="P354" s="1">
        <v>1921224</v>
      </c>
      <c r="Q354" s="1">
        <v>-552402.71400000004</v>
      </c>
      <c r="R354" s="1">
        <v>42.5</v>
      </c>
      <c r="T354">
        <f>E354/G354</f>
        <v>-7.0568258604542092E-2</v>
      </c>
      <c r="U354">
        <f>D354/C354</f>
        <v>-0.11671141028933256</v>
      </c>
      <c r="V354">
        <f>(E354-F354)/O354</f>
        <v>-9.7821029537632651E-2</v>
      </c>
      <c r="W354">
        <f>H354/K354</f>
        <v>1.8671490166871867</v>
      </c>
      <c r="X354">
        <f>(H354-I354)/K354</f>
        <v>1.52726026459854</v>
      </c>
      <c r="Y354">
        <f>(H354-K354)/G354</f>
        <v>0.18224699964796021</v>
      </c>
      <c r="Z354">
        <f>J354/N354</f>
        <v>0.38633040270786417</v>
      </c>
      <c r="AA354">
        <f>J354/G354</f>
        <v>0.27859832147208646</v>
      </c>
      <c r="AB354">
        <f>C354/G354</f>
        <v>0.23496544147779305</v>
      </c>
      <c r="AC354">
        <f>C354/(G354-K354)</f>
        <v>0.29748788361543044</v>
      </c>
      <c r="AD354">
        <f>Q354/E354</f>
        <v>2.2606556836717528</v>
      </c>
      <c r="AE354">
        <f>Q354/J354</f>
        <v>-0.57261843523762934</v>
      </c>
      <c r="AF354">
        <f>Q354/G354</f>
        <v>-0.15953053490117619</v>
      </c>
      <c r="AG354">
        <f>Q354/K354</f>
        <v>-0.75906185966493722</v>
      </c>
      <c r="AH354">
        <f>Q354/L354</f>
        <v>-0.68081438932644456</v>
      </c>
      <c r="AI354" s="1">
        <f>R354</f>
        <v>42.5</v>
      </c>
      <c r="AJ354" s="1">
        <f>P354</f>
        <v>1921224</v>
      </c>
    </row>
    <row r="355" spans="1:36" x14ac:dyDescent="0.25">
      <c r="A355" t="s">
        <v>47</v>
      </c>
      <c r="B355">
        <v>2021</v>
      </c>
      <c r="C355" s="1">
        <v>356484.42700000003</v>
      </c>
      <c r="D355" s="1">
        <v>416415.20299999998</v>
      </c>
      <c r="E355" s="1">
        <v>368795.73800000001</v>
      </c>
      <c r="G355" s="1">
        <v>4369289</v>
      </c>
      <c r="H355" s="1">
        <v>1628880.4790000001</v>
      </c>
      <c r="I355" s="1">
        <v>192882</v>
      </c>
      <c r="J355" s="1">
        <v>956670</v>
      </c>
      <c r="K355" s="1">
        <v>710218</v>
      </c>
      <c r="L355" s="1">
        <v>754695.28500000003</v>
      </c>
      <c r="M355" s="1">
        <f>153671+49623</f>
        <v>203294</v>
      </c>
      <c r="N355" s="1">
        <v>3411366.24</v>
      </c>
      <c r="O355" s="1">
        <v>3412619.6749999998</v>
      </c>
      <c r="P355" s="1">
        <v>2219063</v>
      </c>
      <c r="Q355" s="1">
        <v>92995.650999999998</v>
      </c>
      <c r="R355" s="1">
        <v>83</v>
      </c>
      <c r="T355">
        <f>E355/G355</f>
        <v>8.4406350323816992E-2</v>
      </c>
      <c r="U355">
        <f>D355/C355</f>
        <v>1.1681161124045398</v>
      </c>
      <c r="V355">
        <f>(E355-F355)/O355</f>
        <v>0.1080682212265567</v>
      </c>
      <c r="W355">
        <f>H355/K355</f>
        <v>2.2934936582852026</v>
      </c>
      <c r="X355">
        <f>(H355-I355)/K355</f>
        <v>2.0219122565184211</v>
      </c>
      <c r="Y355">
        <f>(H355-K355)/G355</f>
        <v>0.21025445535875517</v>
      </c>
      <c r="Z355">
        <f>J355/N355</f>
        <v>0.28043602846934429</v>
      </c>
      <c r="AA355">
        <f>J355/G355</f>
        <v>0.21895324388018281</v>
      </c>
      <c r="AB355">
        <f>C355/G355</f>
        <v>8.1588658246227255E-2</v>
      </c>
      <c r="AC355">
        <f>C355/(G355-K355)</f>
        <v>9.7424845541395619E-2</v>
      </c>
      <c r="AD355">
        <f>Q355/E355</f>
        <v>0.25216031916290743</v>
      </c>
      <c r="AE355">
        <f>Q355/J355</f>
        <v>9.7207658858331505E-2</v>
      </c>
      <c r="AF355">
        <f>Q355/G355</f>
        <v>2.128393223702987E-2</v>
      </c>
      <c r="AG355">
        <f>Q355/K355</f>
        <v>0.13093958615523685</v>
      </c>
      <c r="AH355">
        <f>Q355/L355</f>
        <v>0.12322277990646251</v>
      </c>
      <c r="AI355" s="1">
        <f>R355</f>
        <v>83</v>
      </c>
      <c r="AJ355" s="1">
        <f>P355</f>
        <v>2219063</v>
      </c>
    </row>
    <row r="356" spans="1:36" x14ac:dyDescent="0.25">
      <c r="A356" t="s">
        <v>47</v>
      </c>
      <c r="B356">
        <v>2022</v>
      </c>
      <c r="C356" s="1">
        <v>305664.73700000002</v>
      </c>
      <c r="D356" s="1">
        <v>179279.66</v>
      </c>
      <c r="E356" s="1">
        <v>80205.869000000006</v>
      </c>
      <c r="G356" s="1">
        <v>4236777</v>
      </c>
      <c r="H356" s="1">
        <v>1755241.4539999999</v>
      </c>
      <c r="I356" s="1">
        <v>185467</v>
      </c>
      <c r="J356" s="1">
        <v>1038220</v>
      </c>
      <c r="K356" s="1">
        <v>853403</v>
      </c>
      <c r="L356" s="1">
        <v>875125.03700000001</v>
      </c>
      <c r="M356" s="1">
        <f>104574+41374</f>
        <v>145948</v>
      </c>
      <c r="N356" s="1">
        <v>3197260.1519999998</v>
      </c>
      <c r="O356" s="1">
        <v>3198556.5989999999</v>
      </c>
      <c r="P356" s="1">
        <v>2223504</v>
      </c>
      <c r="Q356" s="1">
        <v>-69369</v>
      </c>
      <c r="R356" s="1">
        <v>78.8</v>
      </c>
      <c r="T356">
        <f>E356/G356</f>
        <v>1.8930868676826751E-2</v>
      </c>
      <c r="U356">
        <f>D356/C356</f>
        <v>0.58652385538342289</v>
      </c>
      <c r="V356">
        <f>(E356-F356)/O356</f>
        <v>2.5075644753347698E-2</v>
      </c>
      <c r="W356">
        <f>H356/K356</f>
        <v>2.0567556640883615</v>
      </c>
      <c r="X356">
        <f>(H356-I356)/K356</f>
        <v>1.8394292661263201</v>
      </c>
      <c r="Y356">
        <f>(H356-K356)/G356</f>
        <v>0.21285955196603454</v>
      </c>
      <c r="Z356">
        <f>J356/N356</f>
        <v>0.3247217775977837</v>
      </c>
      <c r="AA356">
        <f>J356/G356</f>
        <v>0.24504947982865277</v>
      </c>
      <c r="AB356">
        <f>C356/G356</f>
        <v>7.2145580709109786E-2</v>
      </c>
      <c r="AC356">
        <f>C356/(G356-K356)</f>
        <v>9.0343171343162193E-2</v>
      </c>
      <c r="AD356">
        <f>Q356/E356</f>
        <v>-0.86488683265809385</v>
      </c>
      <c r="AE356">
        <f>Q356/J356</f>
        <v>-6.6815318525938625E-2</v>
      </c>
      <c r="AF356">
        <f>Q356/G356</f>
        <v>-1.6373059049367006E-2</v>
      </c>
      <c r="AG356">
        <f>Q356/K356</f>
        <v>-8.1285160703676931E-2</v>
      </c>
      <c r="AH356">
        <f>Q356/L356</f>
        <v>-7.9267529858136149E-2</v>
      </c>
      <c r="AI356" s="1">
        <f>R356</f>
        <v>78.8</v>
      </c>
      <c r="AJ356" s="1">
        <f>P356</f>
        <v>2223504</v>
      </c>
    </row>
    <row r="357" spans="1:36" x14ac:dyDescent="0.25">
      <c r="A357" t="s">
        <v>47</v>
      </c>
      <c r="B357">
        <v>2023</v>
      </c>
      <c r="C357" s="1">
        <v>276430.16399999999</v>
      </c>
      <c r="D357" s="1">
        <v>94135.675000000003</v>
      </c>
      <c r="E357" s="1">
        <v>49747.68</v>
      </c>
      <c r="G357" s="1">
        <v>4408329</v>
      </c>
      <c r="H357" s="1">
        <v>1734114.3970000001</v>
      </c>
      <c r="I357" s="1">
        <v>152023</v>
      </c>
      <c r="J357" s="1">
        <v>1045259</v>
      </c>
      <c r="K357" s="1">
        <v>946130</v>
      </c>
      <c r="L357" s="1">
        <v>844637.72199999995</v>
      </c>
      <c r="M357" s="1">
        <f>39837+30271</f>
        <v>70108</v>
      </c>
      <c r="N357" s="1">
        <v>3360524.0529999998</v>
      </c>
      <c r="O357" s="1">
        <v>3363070.4180000001</v>
      </c>
      <c r="P357" s="1">
        <v>2230919</v>
      </c>
      <c r="Q357" s="1">
        <v>-95605.410999999993</v>
      </c>
      <c r="R357" s="1">
        <v>63.1</v>
      </c>
      <c r="T357">
        <f>E357/G357</f>
        <v>1.1284929051348027E-2</v>
      </c>
      <c r="U357">
        <f>D357/C357</f>
        <v>0.34054053160421383</v>
      </c>
      <c r="V357">
        <f>(E357-F357)/O357</f>
        <v>1.479233968273096E-2</v>
      </c>
      <c r="W357">
        <f>H357/K357</f>
        <v>1.832850028008836</v>
      </c>
      <c r="X357">
        <f>(H357-I357)/K357</f>
        <v>1.6721712629342691</v>
      </c>
      <c r="Y357">
        <f>(H357-K357)/G357</f>
        <v>0.17874899922396903</v>
      </c>
      <c r="Z357">
        <f>J357/N357</f>
        <v>0.31104047568618909</v>
      </c>
      <c r="AA357">
        <f>J357/G357</f>
        <v>0.23711002513650864</v>
      </c>
      <c r="AB357">
        <f>C357/G357</f>
        <v>6.2706337027023162E-2</v>
      </c>
      <c r="AC357">
        <f>C357/(G357-K357)</f>
        <v>7.9842367235389997E-2</v>
      </c>
      <c r="AD357">
        <f>Q357/E357</f>
        <v>-1.9218064239377592</v>
      </c>
      <c r="AE357">
        <f>Q357/J357</f>
        <v>-9.1465762074280144E-2</v>
      </c>
      <c r="AF357">
        <f>Q357/G357</f>
        <v>-2.1687449144562485E-2</v>
      </c>
      <c r="AG357">
        <f>Q357/K357</f>
        <v>-0.10104891611089384</v>
      </c>
      <c r="AH357">
        <f>Q357/L357</f>
        <v>-0.11319102676780519</v>
      </c>
      <c r="AI357" s="1">
        <f>R357</f>
        <v>63.1</v>
      </c>
      <c r="AJ357" s="1">
        <f>P357</f>
        <v>2230919</v>
      </c>
    </row>
    <row r="358" spans="1:36" x14ac:dyDescent="0.25">
      <c r="A358" s="15" t="s">
        <v>47</v>
      </c>
      <c r="B358" s="15">
        <v>2024</v>
      </c>
      <c r="C358" s="6">
        <v>305685.80200000003</v>
      </c>
      <c r="D358" s="6">
        <v>321962.7</v>
      </c>
      <c r="E358" s="6">
        <v>208317.68299999999</v>
      </c>
      <c r="F358" s="6"/>
      <c r="G358" s="6">
        <v>4729186</v>
      </c>
      <c r="H358" s="6">
        <v>1452505.7139999999</v>
      </c>
      <c r="I358" s="6">
        <v>148585</v>
      </c>
      <c r="J358" s="6">
        <v>1135468</v>
      </c>
      <c r="K358" s="6">
        <v>1053235</v>
      </c>
      <c r="L358" s="6">
        <v>838066.32400000002</v>
      </c>
      <c r="M358" s="6">
        <f>36594+24096</f>
        <v>60690</v>
      </c>
      <c r="N358" s="6">
        <v>3591037.3089999999</v>
      </c>
      <c r="O358" s="6">
        <v>3593718.4819999998</v>
      </c>
      <c r="P358" s="6">
        <v>2365783</v>
      </c>
      <c r="Q358" s="6">
        <v>357741.05599999998</v>
      </c>
      <c r="R358" s="6">
        <v>80.400000000000006</v>
      </c>
      <c r="S358" s="15"/>
      <c r="T358" s="15">
        <f>E358/G358</f>
        <v>4.4049374036039181E-2</v>
      </c>
      <c r="U358" s="15">
        <f>D358/C358</f>
        <v>1.0532471508114072</v>
      </c>
      <c r="V358" s="15">
        <f>(E358-F358)/O358</f>
        <v>5.7967168002560306E-2</v>
      </c>
      <c r="W358" s="15">
        <f>H358/K358</f>
        <v>1.3790898650348686</v>
      </c>
      <c r="X358" s="15">
        <f>(H358-I358)/K358</f>
        <v>1.2380149862091556</v>
      </c>
      <c r="Y358" s="15">
        <f>(H358-K358)/G358</f>
        <v>8.4426942395583487E-2</v>
      </c>
      <c r="Z358" s="15">
        <f>J358/N358</f>
        <v>0.31619498832670023</v>
      </c>
      <c r="AA358" s="15">
        <f>J358/G358</f>
        <v>0.24009797880650074</v>
      </c>
      <c r="AB358" s="15">
        <f>C358/G358</f>
        <v>6.4638143223802152E-2</v>
      </c>
      <c r="AC358" s="15">
        <f>C358/(G358-K358)</f>
        <v>8.3158290738913551E-2</v>
      </c>
      <c r="AD358" s="15">
        <f>Q358/E358</f>
        <v>1.7172860740775424</v>
      </c>
      <c r="AE358" s="15">
        <f>Q358/J358</f>
        <v>0.31506044732216143</v>
      </c>
      <c r="AF358" s="15">
        <f>Q358/G358</f>
        <v>7.5645376603922954E-2</v>
      </c>
      <c r="AG358" s="15">
        <f>Q358/K358</f>
        <v>0.33965929350999535</v>
      </c>
      <c r="AH358" s="15">
        <f>Q358/L358</f>
        <v>0.42686485037668687</v>
      </c>
      <c r="AI358" s="6">
        <f>R358</f>
        <v>80.400000000000006</v>
      </c>
      <c r="AJ358" s="6">
        <f>P358</f>
        <v>2365783</v>
      </c>
    </row>
    <row r="359" spans="1:36" s="2" customFormat="1" x14ac:dyDescent="0.25">
      <c r="A359" s="2" t="s">
        <v>72</v>
      </c>
      <c r="B359" s="2">
        <v>2018</v>
      </c>
      <c r="C359" s="3">
        <v>396770</v>
      </c>
      <c r="D359" s="3">
        <v>356733</v>
      </c>
      <c r="E359" s="3">
        <v>328547</v>
      </c>
      <c r="F359" s="3"/>
      <c r="G359" s="3">
        <v>3024792</v>
      </c>
      <c r="H359" s="3">
        <v>146235</v>
      </c>
      <c r="I359" s="3">
        <v>105</v>
      </c>
      <c r="J359" s="3">
        <v>422474</v>
      </c>
      <c r="K359" s="3">
        <v>41258</v>
      </c>
      <c r="L359" s="3">
        <v>0</v>
      </c>
      <c r="M359" s="3">
        <v>0</v>
      </c>
      <c r="N359" s="3">
        <v>2602318</v>
      </c>
      <c r="O359" s="3">
        <v>2602318</v>
      </c>
      <c r="P359" s="3">
        <v>391096</v>
      </c>
      <c r="Q359" s="3">
        <v>131221</v>
      </c>
      <c r="R359" s="3">
        <v>70.099999999999994</v>
      </c>
      <c r="T359" s="2">
        <f>E359/G359</f>
        <v>0.10861804712522381</v>
      </c>
      <c r="U359" s="2">
        <f>D359/C359</f>
        <v>0.89909267333719789</v>
      </c>
      <c r="V359" s="2">
        <f>(E359-F359)/O359</f>
        <v>0.12625167254732128</v>
      </c>
      <c r="W359" s="2">
        <f>H359/K359</f>
        <v>3.5444035096223763</v>
      </c>
      <c r="X359" s="2">
        <f>(H359-I359)/K359</f>
        <v>3.5418585486451111</v>
      </c>
      <c r="Y359" s="2">
        <f>(H359-K359)/G359</f>
        <v>3.4705526859367522E-2</v>
      </c>
      <c r="Z359" s="2">
        <f>J359/N359</f>
        <v>0.1623452629540279</v>
      </c>
      <c r="AA359" s="2">
        <f>J359/G359</f>
        <v>0.13967043023123574</v>
      </c>
      <c r="AB359" s="2">
        <f>C359/G359</f>
        <v>0.13117265583881471</v>
      </c>
      <c r="AC359" s="2">
        <f>C359/(G359-K359)</f>
        <v>0.13298658570674912</v>
      </c>
      <c r="AD359" s="2">
        <f>Q359/E359</f>
        <v>0.39939795523928084</v>
      </c>
      <c r="AE359" s="2">
        <f>Q359/J359</f>
        <v>0.31060136245070702</v>
      </c>
      <c r="AF359" s="2">
        <f>Q359/G359</f>
        <v>4.3381825923898241E-2</v>
      </c>
      <c r="AG359" s="2">
        <f>Q359/K359</f>
        <v>3.1804983275970722</v>
      </c>
      <c r="AH359" s="2" t="e">
        <f>Q359/L359</f>
        <v>#DIV/0!</v>
      </c>
      <c r="AI359" s="3">
        <f>R359</f>
        <v>70.099999999999994</v>
      </c>
      <c r="AJ359" s="3">
        <f>P359</f>
        <v>391096</v>
      </c>
    </row>
    <row r="360" spans="1:36" x14ac:dyDescent="0.25">
      <c r="A360" t="s">
        <v>72</v>
      </c>
      <c r="B360">
        <v>2019</v>
      </c>
      <c r="C360" s="1">
        <v>453849</v>
      </c>
      <c r="D360" s="1">
        <v>399046</v>
      </c>
      <c r="E360" s="1">
        <v>363217</v>
      </c>
      <c r="G360" s="1">
        <v>3343932</v>
      </c>
      <c r="H360" s="1">
        <v>234252</v>
      </c>
      <c r="I360" s="1">
        <v>18</v>
      </c>
      <c r="J360" s="1">
        <v>443222</v>
      </c>
      <c r="K360" s="1">
        <v>42342</v>
      </c>
      <c r="L360" s="1">
        <v>0</v>
      </c>
      <c r="M360" s="1">
        <v>0</v>
      </c>
      <c r="N360" s="1">
        <v>2900710</v>
      </c>
      <c r="O360" s="1">
        <v>2900710</v>
      </c>
      <c r="P360" s="1">
        <v>453609</v>
      </c>
      <c r="Q360" s="1">
        <v>167630</v>
      </c>
      <c r="R360" s="1">
        <v>79.099999999999994</v>
      </c>
      <c r="T360">
        <f>E360/G360</f>
        <v>0.10861973269791371</v>
      </c>
      <c r="U360">
        <f>D360/C360</f>
        <v>0.87924838437453867</v>
      </c>
      <c r="V360">
        <f>(E360-F360)/O360</f>
        <v>0.12521658490507495</v>
      </c>
      <c r="W360">
        <f>H360/K360</f>
        <v>5.5323791979594725</v>
      </c>
      <c r="X360">
        <f>(H360-I360)/K360</f>
        <v>5.531954088139436</v>
      </c>
      <c r="Y360">
        <f>(H360-K360)/G360</f>
        <v>5.7390521099113259E-2</v>
      </c>
      <c r="Z360">
        <f>J360/N360</f>
        <v>0.15279776330622502</v>
      </c>
      <c r="AA360">
        <f>J360/G360</f>
        <v>0.13254515941113634</v>
      </c>
      <c r="AB360">
        <f>C360/G360</f>
        <v>0.13572315465745116</v>
      </c>
      <c r="AC360">
        <f>C360/(G360-K360)</f>
        <v>0.13746376745749775</v>
      </c>
      <c r="AD360">
        <f>Q360/E360</f>
        <v>0.46151474187606856</v>
      </c>
      <c r="AE360">
        <f>Q360/J360</f>
        <v>0.37820776044510424</v>
      </c>
      <c r="AF360">
        <f>Q360/G360</f>
        <v>5.0129607898725212E-2</v>
      </c>
      <c r="AG360">
        <f>Q360/K360</f>
        <v>3.9589532851542204</v>
      </c>
      <c r="AH360" t="e">
        <f>Q360/L360</f>
        <v>#DIV/0!</v>
      </c>
      <c r="AI360" s="1">
        <f>R360</f>
        <v>79.099999999999994</v>
      </c>
      <c r="AJ360" s="1">
        <f>P360</f>
        <v>453609</v>
      </c>
    </row>
    <row r="361" spans="1:36" x14ac:dyDescent="0.25">
      <c r="A361" t="s">
        <v>72</v>
      </c>
      <c r="B361">
        <v>2020</v>
      </c>
      <c r="C361" s="1">
        <v>454906</v>
      </c>
      <c r="D361" s="1">
        <v>149824</v>
      </c>
      <c r="E361" s="1">
        <v>122582</v>
      </c>
      <c r="G361" s="1">
        <v>3449510</v>
      </c>
      <c r="H361" s="1">
        <v>464168</v>
      </c>
      <c r="I361" s="1">
        <v>18</v>
      </c>
      <c r="J361" s="1">
        <v>454405</v>
      </c>
      <c r="K361" s="1">
        <v>51555</v>
      </c>
      <c r="L361" s="1">
        <v>0</v>
      </c>
      <c r="M361" s="1">
        <v>0</v>
      </c>
      <c r="N361" s="1">
        <v>2995105</v>
      </c>
      <c r="O361" s="1">
        <v>2995105</v>
      </c>
      <c r="P361" s="1">
        <v>587661</v>
      </c>
      <c r="Q361" s="1">
        <v>168640</v>
      </c>
      <c r="R361" s="1">
        <v>117</v>
      </c>
      <c r="T361">
        <f>E361/G361</f>
        <v>3.5536061643537779E-2</v>
      </c>
      <c r="U361">
        <f>D361/C361</f>
        <v>0.3293515583439216</v>
      </c>
      <c r="V361">
        <f>(E361-F361)/O361</f>
        <v>4.0927446617063511E-2</v>
      </c>
      <c r="W361">
        <f>H361/K361</f>
        <v>9.003355639608186</v>
      </c>
      <c r="X361">
        <f>(H361-I361)/K361</f>
        <v>9.0030064979148481</v>
      </c>
      <c r="Y361">
        <f>(H361-K361)/G361</f>
        <v>0.11961495980588548</v>
      </c>
      <c r="Z361">
        <f>J361/N361</f>
        <v>0.15171588308256304</v>
      </c>
      <c r="AA361">
        <f>J361/G361</f>
        <v>0.13173030372429709</v>
      </c>
      <c r="AB361">
        <f>C361/G361</f>
        <v>0.13187554174360996</v>
      </c>
      <c r="AC361">
        <f>C361/(G361-K361)</f>
        <v>0.13387640507305129</v>
      </c>
      <c r="AD361">
        <f>Q361/E361</f>
        <v>1.3757321629603041</v>
      </c>
      <c r="AE361">
        <f>Q361/J361</f>
        <v>0.37112267690716433</v>
      </c>
      <c r="AF361">
        <f>Q361/G361</f>
        <v>4.8888102947954926E-2</v>
      </c>
      <c r="AG361">
        <f>Q361/K361</f>
        <v>3.2710697313548636</v>
      </c>
      <c r="AH361" t="e">
        <f>Q361/L361</f>
        <v>#DIV/0!</v>
      </c>
      <c r="AI361" s="1">
        <f>R361</f>
        <v>117</v>
      </c>
      <c r="AJ361" s="1">
        <f>P361</f>
        <v>587661</v>
      </c>
    </row>
    <row r="362" spans="1:36" x14ac:dyDescent="0.25">
      <c r="A362" t="s">
        <v>72</v>
      </c>
      <c r="B362">
        <v>2021</v>
      </c>
      <c r="C362" s="1">
        <v>632287</v>
      </c>
      <c r="D362" s="1">
        <v>396289</v>
      </c>
      <c r="E362" s="1">
        <v>401506</v>
      </c>
      <c r="G362" s="1">
        <v>3785349</v>
      </c>
      <c r="H362" s="1">
        <v>714120</v>
      </c>
      <c r="I362" s="1">
        <v>0</v>
      </c>
      <c r="J362" s="1">
        <v>457986</v>
      </c>
      <c r="K362" s="1">
        <v>74995</v>
      </c>
      <c r="L362" s="1">
        <v>0</v>
      </c>
      <c r="M362" s="1">
        <v>0</v>
      </c>
      <c r="N362" s="1">
        <v>3327363</v>
      </c>
      <c r="O362" s="1">
        <v>3327363</v>
      </c>
      <c r="P362" s="1">
        <v>789199</v>
      </c>
      <c r="Q362" s="1">
        <v>316653</v>
      </c>
      <c r="R362" s="1">
        <v>136</v>
      </c>
      <c r="T362">
        <f>E362/G362</f>
        <v>0.10606842328144644</v>
      </c>
      <c r="U362">
        <f>D362/C362</f>
        <v>0.6267549388173409</v>
      </c>
      <c r="V362">
        <f>(E362-F362)/O362</f>
        <v>0.12066792832642546</v>
      </c>
      <c r="W362">
        <f>H362/K362</f>
        <v>9.522234815654377</v>
      </c>
      <c r="X362">
        <f>(H362-I362)/K362</f>
        <v>9.522234815654377</v>
      </c>
      <c r="Y362">
        <f>(H362-K362)/G362</f>
        <v>0.16884176333542825</v>
      </c>
      <c r="Z362">
        <f>J362/N362</f>
        <v>0.13764233117937538</v>
      </c>
      <c r="AA362">
        <f>J362/G362</f>
        <v>0.12098910826980551</v>
      </c>
      <c r="AB362">
        <f>C362/G362</f>
        <v>0.1670353248802158</v>
      </c>
      <c r="AC362">
        <f>C362/(G362-K362)</f>
        <v>0.17041150251431533</v>
      </c>
      <c r="AD362">
        <f>Q362/E362</f>
        <v>0.78866318311556993</v>
      </c>
      <c r="AE362">
        <f>Q362/J362</f>
        <v>0.69140323066643961</v>
      </c>
      <c r="AF362">
        <f>Q362/G362</f>
        <v>8.3652260333195172E-2</v>
      </c>
      <c r="AG362">
        <f>Q362/K362</f>
        <v>4.2223214880992064</v>
      </c>
      <c r="AH362" t="e">
        <f>Q362/L362</f>
        <v>#DIV/0!</v>
      </c>
      <c r="AI362" s="1">
        <f>R362</f>
        <v>136</v>
      </c>
      <c r="AJ362" s="1">
        <f>P362</f>
        <v>789199</v>
      </c>
    </row>
    <row r="363" spans="1:36" x14ac:dyDescent="0.25">
      <c r="A363" t="s">
        <v>72</v>
      </c>
      <c r="B363">
        <v>2022</v>
      </c>
      <c r="C363" s="1">
        <v>631128</v>
      </c>
      <c r="D363" s="1">
        <v>336334</v>
      </c>
      <c r="E363" s="1">
        <v>224377</v>
      </c>
      <c r="G363" s="1">
        <v>4055082</v>
      </c>
      <c r="H363" s="1">
        <v>878986</v>
      </c>
      <c r="I363" s="1">
        <v>0</v>
      </c>
      <c r="J363" s="1">
        <v>637658</v>
      </c>
      <c r="K363" s="1">
        <v>103867</v>
      </c>
      <c r="L363" s="1">
        <v>0</v>
      </c>
      <c r="M363" s="1">
        <v>0</v>
      </c>
      <c r="N363" s="1">
        <v>3417424</v>
      </c>
      <c r="O363" s="1">
        <v>3417424</v>
      </c>
      <c r="P363" s="1">
        <v>890744</v>
      </c>
      <c r="Q363" s="1">
        <v>174667</v>
      </c>
      <c r="R363" s="1">
        <v>95.5</v>
      </c>
      <c r="T363">
        <f>E363/G363</f>
        <v>5.5332296609538353E-2</v>
      </c>
      <c r="U363">
        <f>D363/C363</f>
        <v>0.53290933059537848</v>
      </c>
      <c r="V363">
        <f>(E363-F363)/O363</f>
        <v>6.5656763691014045E-2</v>
      </c>
      <c r="W363">
        <f>H363/K363</f>
        <v>8.4626108388612362</v>
      </c>
      <c r="X363">
        <f>(H363-I363)/K363</f>
        <v>8.4626108388612362</v>
      </c>
      <c r="Y363">
        <f>(H363-K363)/G363</f>
        <v>0.191147552626556</v>
      </c>
      <c r="Z363">
        <f>J363/N363</f>
        <v>0.18659025043424521</v>
      </c>
      <c r="AA363">
        <f>J363/G363</f>
        <v>0.15724910125122007</v>
      </c>
      <c r="AB363">
        <f>C363/G363</f>
        <v>0.15563877623189865</v>
      </c>
      <c r="AC363">
        <f>C363/(G363-K363)</f>
        <v>0.15973010833376569</v>
      </c>
      <c r="AD363">
        <f>Q363/E363</f>
        <v>0.77845322827205998</v>
      </c>
      <c r="AE363">
        <f>Q363/J363</f>
        <v>0.27391956189681615</v>
      </c>
      <c r="AF363">
        <f>Q363/G363</f>
        <v>4.3073604923402287E-2</v>
      </c>
      <c r="AG363">
        <f>Q363/K363</f>
        <v>1.6816409446696257</v>
      </c>
      <c r="AH363" t="e">
        <f>Q363/L363</f>
        <v>#DIV/0!</v>
      </c>
      <c r="AI363" s="1">
        <f>R363</f>
        <v>95.5</v>
      </c>
      <c r="AJ363" s="1">
        <f>P363</f>
        <v>890744</v>
      </c>
    </row>
    <row r="364" spans="1:36" x14ac:dyDescent="0.25">
      <c r="A364" t="s">
        <v>72</v>
      </c>
      <c r="B364">
        <v>2023</v>
      </c>
      <c r="C364" s="1">
        <v>687511</v>
      </c>
      <c r="D364" s="1">
        <v>337634</v>
      </c>
      <c r="E364" s="1">
        <v>294060</v>
      </c>
      <c r="G364" s="1">
        <v>4326289</v>
      </c>
      <c r="H364" s="1">
        <v>1096099</v>
      </c>
      <c r="I364" s="1">
        <v>0</v>
      </c>
      <c r="J364" s="1">
        <v>704816</v>
      </c>
      <c r="K364" s="1">
        <v>116692</v>
      </c>
      <c r="L364" s="1">
        <v>0</v>
      </c>
      <c r="M364" s="1">
        <v>0</v>
      </c>
      <c r="N364" s="1">
        <v>3621473</v>
      </c>
      <c r="O364" s="1">
        <v>3621473</v>
      </c>
      <c r="P364" s="1">
        <v>1049843</v>
      </c>
      <c r="Q364" s="1">
        <v>102019</v>
      </c>
      <c r="R364" s="1">
        <v>111.75</v>
      </c>
      <c r="T364">
        <f>E364/G364</f>
        <v>6.7970493880552138E-2</v>
      </c>
      <c r="U364">
        <f>D364/C364</f>
        <v>0.49109614246172062</v>
      </c>
      <c r="V364">
        <f>(E364-F364)/O364</f>
        <v>8.1199003830761687E-2</v>
      </c>
      <c r="W364">
        <f>H364/K364</f>
        <v>9.3930946423062416</v>
      </c>
      <c r="X364">
        <f>(H364-I364)/K364</f>
        <v>9.3930946423062416</v>
      </c>
      <c r="Y364">
        <f>(H364-K364)/G364</f>
        <v>0.22638501496317051</v>
      </c>
      <c r="Z364">
        <f>J364/N364</f>
        <v>0.19462135987207416</v>
      </c>
      <c r="AA364">
        <f>J364/G364</f>
        <v>0.16291468276853441</v>
      </c>
      <c r="AB364">
        <f>C364/G364</f>
        <v>0.15891471882715186</v>
      </c>
      <c r="AC364">
        <f>C364/(G364-K364)</f>
        <v>0.16331990924546935</v>
      </c>
      <c r="AD364">
        <f>Q364/E364</f>
        <v>0.34693259878936272</v>
      </c>
      <c r="AE364">
        <f>Q364/J364</f>
        <v>0.1447455789879912</v>
      </c>
      <c r="AF364">
        <f>Q364/G364</f>
        <v>2.3581180082976425E-2</v>
      </c>
      <c r="AG364">
        <f>Q364/K364</f>
        <v>0.87425873238953822</v>
      </c>
      <c r="AH364" t="e">
        <f>Q364/L364</f>
        <v>#DIV/0!</v>
      </c>
      <c r="AI364" s="1">
        <f>R364</f>
        <v>111.75</v>
      </c>
      <c r="AJ364" s="1">
        <f>P364</f>
        <v>1049843</v>
      </c>
    </row>
    <row r="365" spans="1:36" x14ac:dyDescent="0.25">
      <c r="A365" s="15" t="s">
        <v>72</v>
      </c>
      <c r="B365" s="15">
        <v>2024</v>
      </c>
      <c r="C365" s="6">
        <v>708260</v>
      </c>
      <c r="D365" s="6">
        <v>724984</v>
      </c>
      <c r="E365" s="6">
        <v>582623</v>
      </c>
      <c r="F365" s="6"/>
      <c r="G365" s="6">
        <v>4909396</v>
      </c>
      <c r="H365" s="6">
        <v>1247918</v>
      </c>
      <c r="I365" s="6">
        <v>0</v>
      </c>
      <c r="J365" s="6">
        <v>786378</v>
      </c>
      <c r="K365" s="6">
        <v>80081</v>
      </c>
      <c r="L365" s="6">
        <v>0</v>
      </c>
      <c r="M365" s="6">
        <v>0</v>
      </c>
      <c r="N365" s="6">
        <v>4123018</v>
      </c>
      <c r="O365" s="6">
        <v>4123018</v>
      </c>
      <c r="P365" s="6">
        <v>1215973</v>
      </c>
      <c r="Q365" s="6">
        <v>172190</v>
      </c>
      <c r="R365" s="6">
        <v>141</v>
      </c>
      <c r="S365" s="15"/>
      <c r="T365" s="15">
        <f>E365/G365</f>
        <v>0.1186750875260419</v>
      </c>
      <c r="U365" s="15">
        <f>D365/C365</f>
        <v>1.0236127975602181</v>
      </c>
      <c r="V365" s="15">
        <f>(E365-F365)/O365</f>
        <v>0.14130983662938168</v>
      </c>
      <c r="W365" s="15">
        <f>H365/K365</f>
        <v>15.583197013024312</v>
      </c>
      <c r="X365" s="15">
        <f>(H365-I365)/K365</f>
        <v>15.583197013024312</v>
      </c>
      <c r="Y365" s="15">
        <f>(H365-K365)/G365</f>
        <v>0.23787793854885611</v>
      </c>
      <c r="Z365" s="15">
        <f>J365/N365</f>
        <v>0.19072873317555247</v>
      </c>
      <c r="AA365" s="15">
        <f>J365/G365</f>
        <v>0.16017815633532109</v>
      </c>
      <c r="AB365" s="15">
        <f>C365/G365</f>
        <v>0.14426621930681494</v>
      </c>
      <c r="AC365" s="15">
        <f>C365/(G365-K365)</f>
        <v>0.14665848055055428</v>
      </c>
      <c r="AD365" s="15">
        <f>Q365/E365</f>
        <v>0.29554274376397771</v>
      </c>
      <c r="AE365" s="15">
        <f>Q365/J365</f>
        <v>0.21896594258740706</v>
      </c>
      <c r="AF365" s="15">
        <f>Q365/G365</f>
        <v>3.507356098387663E-2</v>
      </c>
      <c r="AG365" s="15">
        <f>Q365/K365</f>
        <v>2.1501979246013412</v>
      </c>
      <c r="AH365" s="15" t="e">
        <f>Q365/L365</f>
        <v>#DIV/0!</v>
      </c>
      <c r="AI365" s="6">
        <f>R365</f>
        <v>141</v>
      </c>
      <c r="AJ365" s="6">
        <f>P365</f>
        <v>1215973</v>
      </c>
    </row>
    <row r="366" spans="1:36" s="2" customFormat="1" x14ac:dyDescent="0.25">
      <c r="A366" s="2" t="s">
        <v>98</v>
      </c>
      <c r="B366" s="2">
        <v>2018</v>
      </c>
      <c r="C366" s="3">
        <v>1442894</v>
      </c>
      <c r="D366" s="3">
        <f>50051+163046-17373</f>
        <v>195724</v>
      </c>
      <c r="E366" s="3">
        <v>8038</v>
      </c>
      <c r="F366" s="3"/>
      <c r="G366" s="3">
        <v>5634949</v>
      </c>
      <c r="H366" s="3">
        <v>607443</v>
      </c>
      <c r="I366" s="3">
        <v>36988</v>
      </c>
      <c r="J366" s="3">
        <f>G366-O366</f>
        <v>1940579</v>
      </c>
      <c r="K366" s="3">
        <v>884474</v>
      </c>
      <c r="L366" s="3">
        <v>1447915</v>
      </c>
      <c r="M366" s="3">
        <v>872824</v>
      </c>
      <c r="N366" s="3">
        <v>3487773</v>
      </c>
      <c r="O366" s="3">
        <v>3694370</v>
      </c>
      <c r="P366" s="3">
        <v>2406462</v>
      </c>
      <c r="Q366" s="3">
        <v>52255</v>
      </c>
      <c r="R366" s="3">
        <v>52.8</v>
      </c>
      <c r="T366" s="2">
        <f>E366/G366</f>
        <v>1.426454791338839E-3</v>
      </c>
      <c r="U366" s="2">
        <f>D366/C366</f>
        <v>0.13564683199181646</v>
      </c>
      <c r="V366" s="2">
        <f>(E366-F366)/O366</f>
        <v>2.1757430901615162E-3</v>
      </c>
      <c r="W366" s="2">
        <f>H366/K366</f>
        <v>0.68678446172527396</v>
      </c>
      <c r="X366" s="2">
        <f>(H366-I366)/K366</f>
        <v>0.64496525618616263</v>
      </c>
      <c r="Y366" s="2">
        <f>(H366-K366)/G366</f>
        <v>-4.9163000410473993E-2</v>
      </c>
      <c r="Z366" s="2">
        <f>J366/N366</f>
        <v>0.55639486858806464</v>
      </c>
      <c r="AA366" s="2">
        <f>J366/G366</f>
        <v>0.344382708698872</v>
      </c>
      <c r="AB366" s="2">
        <f>C366/G366</f>
        <v>0.25606158990968686</v>
      </c>
      <c r="AC366" s="2">
        <f>C366/(G366-K366)</f>
        <v>0.30373678421631523</v>
      </c>
      <c r="AD366" s="2">
        <f>Q366/E366</f>
        <v>6.5009952724558344</v>
      </c>
      <c r="AE366" s="2">
        <f>Q366/J366</f>
        <v>2.6927530391702682E-2</v>
      </c>
      <c r="AF366" s="2">
        <f>Q366/G366</f>
        <v>9.2733758548657671E-3</v>
      </c>
      <c r="AG366" s="2">
        <f>Q366/K366</f>
        <v>5.9080312140322951E-2</v>
      </c>
      <c r="AH366" s="2">
        <f>Q366/L366</f>
        <v>3.6089825714907299E-2</v>
      </c>
      <c r="AI366" s="3">
        <f>R366</f>
        <v>52.8</v>
      </c>
      <c r="AJ366" s="3">
        <f>P366</f>
        <v>2406462</v>
      </c>
    </row>
    <row r="367" spans="1:36" x14ac:dyDescent="0.25">
      <c r="A367" t="s">
        <v>98</v>
      </c>
      <c r="B367">
        <v>2019</v>
      </c>
      <c r="C367" s="1">
        <v>1643863</v>
      </c>
      <c r="D367" s="1">
        <f>270449+171697-34074</f>
        <v>408072</v>
      </c>
      <c r="E367" s="1">
        <v>235232</v>
      </c>
      <c r="G367" s="1">
        <v>5830305</v>
      </c>
      <c r="H367" s="1">
        <v>830547</v>
      </c>
      <c r="I367" s="1">
        <v>42184</v>
      </c>
      <c r="J367" s="1">
        <f>G367-O367</f>
        <v>2003672</v>
      </c>
      <c r="K367" s="1">
        <v>1177582</v>
      </c>
      <c r="L367" s="1">
        <v>1354460</v>
      </c>
      <c r="M367" s="1">
        <v>628746</v>
      </c>
      <c r="N367" s="1">
        <v>3698380</v>
      </c>
      <c r="O367" s="1">
        <v>3826633</v>
      </c>
      <c r="P367" s="1">
        <v>2414321</v>
      </c>
      <c r="Q367" s="1">
        <v>360239</v>
      </c>
      <c r="R367" s="1">
        <v>37.200000000000003</v>
      </c>
      <c r="T367">
        <f>E367/G367</f>
        <v>4.0346431275893803E-2</v>
      </c>
      <c r="U367">
        <f>D367/C367</f>
        <v>0.24823966474091819</v>
      </c>
      <c r="V367">
        <f>(E367-F367)/O367</f>
        <v>6.1472317831367682E-2</v>
      </c>
      <c r="W367">
        <f>H367/K367</f>
        <v>0.70529865436122496</v>
      </c>
      <c r="X367">
        <f>(H367-I367)/K367</f>
        <v>0.66947609593217283</v>
      </c>
      <c r="Y367">
        <f>(H367-K367)/G367</f>
        <v>-5.9522615026143574E-2</v>
      </c>
      <c r="Z367">
        <f>J367/N367</f>
        <v>0.54177018045738945</v>
      </c>
      <c r="AA367">
        <f>J367/G367</f>
        <v>0.34366503982210195</v>
      </c>
      <c r="AB367">
        <f>C367/G367</f>
        <v>0.28195145880018285</v>
      </c>
      <c r="AC367">
        <f>C367/(G367-K367)</f>
        <v>0.35331202824668478</v>
      </c>
      <c r="AD367">
        <f>Q367/E367</f>
        <v>1.5314200448918514</v>
      </c>
      <c r="AE367">
        <f>Q367/J367</f>
        <v>0.17978940664939172</v>
      </c>
      <c r="AF367">
        <f>Q367/G367</f>
        <v>6.1787333595755285E-2</v>
      </c>
      <c r="AG367">
        <f>Q367/K367</f>
        <v>0.3059141528997556</v>
      </c>
      <c r="AH367">
        <f>Q367/L367</f>
        <v>0.26596503403570426</v>
      </c>
      <c r="AI367" s="1">
        <f>R367</f>
        <v>37.200000000000003</v>
      </c>
      <c r="AJ367" s="1">
        <f>P367</f>
        <v>2414321</v>
      </c>
    </row>
    <row r="368" spans="1:36" x14ac:dyDescent="0.25">
      <c r="A368" t="s">
        <v>98</v>
      </c>
      <c r="B368">
        <v>2020</v>
      </c>
      <c r="C368" s="1">
        <v>1225951</v>
      </c>
      <c r="D368" s="1">
        <f>-252362+168224-30141</f>
        <v>-114279</v>
      </c>
      <c r="E368" s="1">
        <v>-266361</v>
      </c>
      <c r="G368" s="1">
        <v>5668512</v>
      </c>
      <c r="H368" s="1">
        <v>695115</v>
      </c>
      <c r="I368" s="1">
        <v>45996</v>
      </c>
      <c r="J368" s="1">
        <f>G368-O368</f>
        <v>2137477</v>
      </c>
      <c r="K368" s="1">
        <v>1189790</v>
      </c>
      <c r="L368" s="1">
        <v>1568828</v>
      </c>
      <c r="M368" s="1">
        <v>754200</v>
      </c>
      <c r="N368" s="1">
        <v>3508763</v>
      </c>
      <c r="O368" s="1">
        <v>3531035</v>
      </c>
      <c r="P368" s="1">
        <v>2236086</v>
      </c>
      <c r="Q368" s="1">
        <v>-114412</v>
      </c>
      <c r="R368" s="1">
        <v>25</v>
      </c>
      <c r="T368">
        <f>E368/G368</f>
        <v>-4.6989580334309958E-2</v>
      </c>
      <c r="U368">
        <f>D368/C368</f>
        <v>-9.3216613062022877E-2</v>
      </c>
      <c r="V368">
        <f>(E368-F368)/O368</f>
        <v>-7.5434256528185084E-2</v>
      </c>
      <c r="W368">
        <f>H368/K368</f>
        <v>0.58423335210415284</v>
      </c>
      <c r="X368">
        <f>(H368-I368)/K368</f>
        <v>0.54557442910093379</v>
      </c>
      <c r="Y368">
        <f>(H368-K368)/G368</f>
        <v>-8.7267169938071931E-2</v>
      </c>
      <c r="Z368">
        <f>J368/N368</f>
        <v>0.60918249536945068</v>
      </c>
      <c r="AA368">
        <f>J368/G368</f>
        <v>0.37707902885272182</v>
      </c>
      <c r="AB368">
        <f>C368/G368</f>
        <v>0.21627386516955419</v>
      </c>
      <c r="AC368">
        <f>C368/(G368-K368)</f>
        <v>0.27372786254650322</v>
      </c>
      <c r="AD368">
        <f>Q368/E368</f>
        <v>0.42953735719568553</v>
      </c>
      <c r="AE368">
        <f>Q368/J368</f>
        <v>-5.3526657830704143E-2</v>
      </c>
      <c r="AF368">
        <f>Q368/G368</f>
        <v>-2.0183780152533859E-2</v>
      </c>
      <c r="AG368">
        <f>Q368/K368</f>
        <v>-9.6161507492918921E-2</v>
      </c>
      <c r="AH368">
        <f>Q368/L368</f>
        <v>-7.2928326113506386E-2</v>
      </c>
      <c r="AI368" s="1">
        <f>R368</f>
        <v>25</v>
      </c>
      <c r="AJ368" s="1">
        <f>P368</f>
        <v>2236086</v>
      </c>
    </row>
    <row r="369" spans="1:36" x14ac:dyDescent="0.25">
      <c r="A369" t="s">
        <v>98</v>
      </c>
      <c r="B369">
        <v>2021</v>
      </c>
      <c r="C369" s="1">
        <v>362362</v>
      </c>
      <c r="D369" s="1">
        <f>-784638+231073-29149</f>
        <v>-582714</v>
      </c>
      <c r="E369" s="1">
        <v>-789719</v>
      </c>
      <c r="G369" s="1">
        <v>5489824</v>
      </c>
      <c r="H369" s="1">
        <v>396390</v>
      </c>
      <c r="I369" s="1">
        <v>41592</v>
      </c>
      <c r="J369" s="1">
        <f>G369-O369</f>
        <v>2590121</v>
      </c>
      <c r="K369" s="1">
        <v>1354610</v>
      </c>
      <c r="L369" s="1">
        <v>2023826</v>
      </c>
      <c r="M369" s="1">
        <v>1049379</v>
      </c>
      <c r="N369" s="1">
        <v>2874212</v>
      </c>
      <c r="O369" s="1">
        <v>2899703</v>
      </c>
      <c r="P369" s="1">
        <v>1469067</v>
      </c>
      <c r="Q369" s="1">
        <v>-619332</v>
      </c>
      <c r="R369" s="1">
        <v>17.8</v>
      </c>
      <c r="T369">
        <f>E369/G369</f>
        <v>-0.14385142401650763</v>
      </c>
      <c r="U369">
        <f>D369/C369</f>
        <v>-1.6080990832372049</v>
      </c>
      <c r="V369">
        <f>(E369-F369)/O369</f>
        <v>-0.27234478841453763</v>
      </c>
      <c r="W369">
        <f>H369/K369</f>
        <v>0.29262296897261941</v>
      </c>
      <c r="X369">
        <f>(H369-I369)/K369</f>
        <v>0.26191892869534406</v>
      </c>
      <c r="Y369">
        <f>(H369-K369)/G369</f>
        <v>-0.17454475771900885</v>
      </c>
      <c r="Z369">
        <f>J369/N369</f>
        <v>0.90115864800508805</v>
      </c>
      <c r="AA369">
        <f>J369/G369</f>
        <v>0.4718040141177568</v>
      </c>
      <c r="AB369">
        <f>C369/G369</f>
        <v>6.6006123329272484E-2</v>
      </c>
      <c r="AC369">
        <f>C369/(G369-K369)</f>
        <v>8.7628354904969855E-2</v>
      </c>
      <c r="AD369">
        <f>Q369/E369</f>
        <v>0.78424350940017906</v>
      </c>
      <c r="AE369">
        <f>Q369/J369</f>
        <v>-0.2391131534009415</v>
      </c>
      <c r="AF369">
        <f>Q369/G369</f>
        <v>-0.11281454560291915</v>
      </c>
      <c r="AG369">
        <f>Q369/K369</f>
        <v>-0.45720318025114237</v>
      </c>
      <c r="AH369">
        <f>Q369/L369</f>
        <v>-0.30602037922232445</v>
      </c>
      <c r="AI369" s="1">
        <f>R369</f>
        <v>17.8</v>
      </c>
      <c r="AJ369" s="1">
        <f>P369</f>
        <v>1469067</v>
      </c>
    </row>
    <row r="370" spans="1:36" x14ac:dyDescent="0.25">
      <c r="A370" t="s">
        <v>98</v>
      </c>
      <c r="B370">
        <v>2022</v>
      </c>
      <c r="C370" s="1">
        <v>777262</v>
      </c>
      <c r="D370" s="1">
        <f>-892717+356587-86593</f>
        <v>-622723</v>
      </c>
      <c r="E370" s="1">
        <v>-898540</v>
      </c>
      <c r="G370" s="1">
        <v>5659464</v>
      </c>
      <c r="H370" s="1">
        <v>663129</v>
      </c>
      <c r="I370" s="1">
        <v>72876</v>
      </c>
      <c r="J370" s="1">
        <f>G370-O370</f>
        <v>3514094</v>
      </c>
      <c r="K370" s="1">
        <v>2230343</v>
      </c>
      <c r="L370" s="1">
        <v>2775877</v>
      </c>
      <c r="M370" s="1">
        <v>1039018</v>
      </c>
      <c r="N370" s="1">
        <v>2198160</v>
      </c>
      <c r="O370" s="1">
        <v>2145370</v>
      </c>
      <c r="P370" s="1">
        <v>825883</v>
      </c>
      <c r="Q370" s="1">
        <v>-737321</v>
      </c>
      <c r="R370" s="1">
        <v>16.2</v>
      </c>
      <c r="T370">
        <f>E370/G370</f>
        <v>-0.15876768542038611</v>
      </c>
      <c r="U370">
        <f>D370/C370</f>
        <v>-0.80117515072137835</v>
      </c>
      <c r="V370">
        <f>(E370-F370)/O370</f>
        <v>-0.41882752159301195</v>
      </c>
      <c r="W370">
        <f>H370/K370</f>
        <v>0.29732153305567799</v>
      </c>
      <c r="X370">
        <f>(H370-I370)/K370</f>
        <v>0.26464673819228701</v>
      </c>
      <c r="Y370">
        <f>(H370-K370)/G370</f>
        <v>-0.27691915700850822</v>
      </c>
      <c r="Z370">
        <f>J370/N370</f>
        <v>1.5986525093714743</v>
      </c>
      <c r="AA370">
        <f>J370/G370</f>
        <v>0.62092346554373345</v>
      </c>
      <c r="AB370">
        <f>C370/G370</f>
        <v>0.13733844759857117</v>
      </c>
      <c r="AC370">
        <f>C370/(G370-K370)</f>
        <v>0.22666508414255432</v>
      </c>
      <c r="AD370">
        <f>Q370/E370</f>
        <v>0.82057671333496562</v>
      </c>
      <c r="AE370">
        <f>Q370/J370</f>
        <v>-0.20981823479963826</v>
      </c>
      <c r="AF370">
        <f>Q370/G370</f>
        <v>-0.13028106548606017</v>
      </c>
      <c r="AG370">
        <f>Q370/K370</f>
        <v>-0.33058637169260513</v>
      </c>
      <c r="AH370">
        <f>Q370/L370</f>
        <v>-0.26561731661741494</v>
      </c>
      <c r="AI370" s="1">
        <f>R370</f>
        <v>16.2</v>
      </c>
      <c r="AJ370" s="1">
        <f>P370</f>
        <v>825883</v>
      </c>
    </row>
    <row r="371" spans="1:36" x14ac:dyDescent="0.25">
      <c r="A371" t="s">
        <v>98</v>
      </c>
      <c r="B371">
        <v>2023</v>
      </c>
      <c r="C371" s="1">
        <v>1531664</v>
      </c>
      <c r="D371" s="1">
        <f>-892029-74575+521920</f>
        <v>-444684</v>
      </c>
      <c r="E371" s="1">
        <v>-824431</v>
      </c>
      <c r="G371" s="1">
        <v>5408977</v>
      </c>
      <c r="H371" s="1">
        <v>664128</v>
      </c>
      <c r="I371" s="1">
        <v>116923</v>
      </c>
      <c r="J371" s="1">
        <f>G371-O371</f>
        <v>4175000</v>
      </c>
      <c r="K371" s="1">
        <v>2072698</v>
      </c>
      <c r="L371" s="1">
        <v>2790881</v>
      </c>
      <c r="M371" s="1">
        <v>1832171</v>
      </c>
      <c r="N371" s="1">
        <v>1370097</v>
      </c>
      <c r="O371" s="1">
        <v>1233977</v>
      </c>
      <c r="P371" s="1">
        <v>83737</v>
      </c>
      <c r="Q371" s="1">
        <v>-173504</v>
      </c>
      <c r="R371" s="1">
        <v>24</v>
      </c>
      <c r="T371">
        <f>E371/G371</f>
        <v>-0.15241902489139814</v>
      </c>
      <c r="U371">
        <f>D371/C371</f>
        <v>-0.29032738250686835</v>
      </c>
      <c r="V371">
        <f>(E371-F371)/O371</f>
        <v>-0.66810888695656401</v>
      </c>
      <c r="W371">
        <f>H371/K371</f>
        <v>0.32041715676861754</v>
      </c>
      <c r="X371">
        <f>(H371-I371)/K371</f>
        <v>0.26400614078847956</v>
      </c>
      <c r="Y371">
        <f>(H371-K371)/G371</f>
        <v>-0.26041338315914453</v>
      </c>
      <c r="Z371">
        <f>J371/N371</f>
        <v>3.0472295027286389</v>
      </c>
      <c r="AA371">
        <f>J371/G371</f>
        <v>0.77186499406449682</v>
      </c>
      <c r="AB371">
        <f>C371/G371</f>
        <v>0.28317073635180923</v>
      </c>
      <c r="AC371">
        <f>C371/(G371-K371)</f>
        <v>0.45909349907486752</v>
      </c>
      <c r="AD371">
        <f>Q371/E371</f>
        <v>0.21045302760328033</v>
      </c>
      <c r="AE371">
        <f>Q371/J371</f>
        <v>-4.1557844311377247E-2</v>
      </c>
      <c r="AF371">
        <f>Q371/G371</f>
        <v>-3.2077045252734485E-2</v>
      </c>
      <c r="AG371">
        <f>Q371/K371</f>
        <v>-8.370925238505561E-2</v>
      </c>
      <c r="AH371">
        <f>Q371/L371</f>
        <v>-6.2168182735129161E-2</v>
      </c>
      <c r="AI371" s="1">
        <f>R371</f>
        <v>24</v>
      </c>
      <c r="AJ371" s="1">
        <f>P371</f>
        <v>83737</v>
      </c>
    </row>
    <row r="372" spans="1:36" x14ac:dyDescent="0.25">
      <c r="A372" t="s">
        <v>98</v>
      </c>
      <c r="B372">
        <v>2024</v>
      </c>
      <c r="C372" s="1">
        <v>2877808</v>
      </c>
      <c r="D372" s="1">
        <f>-154507-86767+385347</f>
        <v>144073</v>
      </c>
      <c r="E372" s="1">
        <v>-145986</v>
      </c>
      <c r="G372" s="1">
        <v>5815109</v>
      </c>
      <c r="H372" s="1">
        <v>1010254</v>
      </c>
      <c r="I372" s="1">
        <v>99496</v>
      </c>
      <c r="J372" s="1">
        <f>G372-O372</f>
        <v>4640434</v>
      </c>
      <c r="K372" s="1">
        <v>2782151</v>
      </c>
      <c r="L372" s="1">
        <v>2575416</v>
      </c>
      <c r="M372" s="1">
        <v>1539920</v>
      </c>
      <c r="N372" s="1">
        <v>1344453</v>
      </c>
      <c r="O372" s="1">
        <v>1174675</v>
      </c>
      <c r="P372" s="1">
        <v>-34613</v>
      </c>
      <c r="Q372" s="1">
        <v>323798</v>
      </c>
      <c r="R372" s="1">
        <v>20</v>
      </c>
      <c r="T372">
        <f>E372/G372</f>
        <v>-2.5104602510460251E-2</v>
      </c>
      <c r="U372">
        <f>D372/C372</f>
        <v>5.0063451071093001E-2</v>
      </c>
      <c r="V372">
        <f>(E372-F372)/O372</f>
        <v>-0.12427777896013791</v>
      </c>
      <c r="W372">
        <f>H372/K372</f>
        <v>0.36311975877657249</v>
      </c>
      <c r="X372">
        <f>(H372-I372)/K372</f>
        <v>0.32735750144402659</v>
      </c>
      <c r="Y372">
        <f>(H372-K372)/G372</f>
        <v>-0.30470572434669752</v>
      </c>
      <c r="Z372">
        <f>J372/N372</f>
        <v>3.4515405149901111</v>
      </c>
      <c r="AA372">
        <f>J372/G372</f>
        <v>0.7979960478814756</v>
      </c>
      <c r="AB372">
        <f>C372/G372</f>
        <v>0.49488461867180822</v>
      </c>
      <c r="AC372">
        <f>C372/(G372-K372)</f>
        <v>0.94884531866250699</v>
      </c>
      <c r="AD372">
        <f>Q372/E372</f>
        <v>-2.2180072061704545</v>
      </c>
      <c r="AE372">
        <f>Q372/J372</f>
        <v>6.9777525119417705E-2</v>
      </c>
      <c r="AF372">
        <f>Q372/G372</f>
        <v>5.5682189276245728E-2</v>
      </c>
      <c r="AG372">
        <f>Q372/K372</f>
        <v>0.11638404960765969</v>
      </c>
      <c r="AH372">
        <f>Q372/L372</f>
        <v>0.12572648457569574</v>
      </c>
      <c r="AI372" s="1">
        <f>R372</f>
        <v>20</v>
      </c>
      <c r="AJ372" s="1">
        <f>P372</f>
        <v>-34613</v>
      </c>
    </row>
    <row r="373" spans="1:36" s="2" customFormat="1" x14ac:dyDescent="0.25">
      <c r="A373" s="2" t="s">
        <v>121</v>
      </c>
      <c r="B373" s="2">
        <v>2018</v>
      </c>
      <c r="C373" s="3">
        <v>223353936</v>
      </c>
      <c r="D373" s="3">
        <v>-5397309</v>
      </c>
      <c r="E373" s="3">
        <v>-13341691</v>
      </c>
      <c r="F373" s="3"/>
      <c r="G373" s="3">
        <v>135158528</v>
      </c>
      <c r="H373" s="3">
        <v>92355710</v>
      </c>
      <c r="I373" s="3">
        <v>31807228</v>
      </c>
      <c r="J373" s="3">
        <v>113248279</v>
      </c>
      <c r="K373" s="3">
        <v>92565658</v>
      </c>
      <c r="L373" s="3">
        <v>66059229</v>
      </c>
      <c r="M373" s="3">
        <v>8670000</v>
      </c>
      <c r="N373" s="3">
        <v>21910249</v>
      </c>
      <c r="O373" s="3">
        <f>G373-J373</f>
        <v>21910249</v>
      </c>
      <c r="P373" s="3">
        <v>-11313158</v>
      </c>
      <c r="Q373" s="3">
        <v>-10493445</v>
      </c>
      <c r="R373" s="3">
        <v>68.900000000000006</v>
      </c>
      <c r="T373" s="2">
        <f>E373/G373</f>
        <v>-9.8711425741481881E-2</v>
      </c>
      <c r="U373" s="2">
        <f>D373/C373</f>
        <v>-2.4164826000648586E-2</v>
      </c>
      <c r="V373" s="2">
        <f>(E373-F373)/O373</f>
        <v>-0.60892466352162411</v>
      </c>
      <c r="W373" s="2">
        <f>H373/K373</f>
        <v>0.99773190182475668</v>
      </c>
      <c r="X373" s="2">
        <f>(H373-I373)/K373</f>
        <v>0.65411388314227725</v>
      </c>
      <c r="Y373" s="2">
        <f>(H373-K373)/G373</f>
        <v>-1.5533463045705855E-3</v>
      </c>
      <c r="Z373" s="2">
        <f>J373/N373</f>
        <v>5.1687353712867434</v>
      </c>
      <c r="AA373" s="2">
        <f>J373/G373</f>
        <v>0.83789221942399372</v>
      </c>
      <c r="AB373" s="2">
        <f>C373/G373</f>
        <v>1.652533061028898</v>
      </c>
      <c r="AC373" s="2">
        <f>C373/(G373-K373)</f>
        <v>5.2439278217222745</v>
      </c>
      <c r="AD373" s="2">
        <f>Q373/E373</f>
        <v>0.78651536750476381</v>
      </c>
      <c r="AE373" s="2">
        <f>Q373/J373</f>
        <v>-9.2658759079243938E-2</v>
      </c>
      <c r="AF373" s="2">
        <f>Q373/G373</f>
        <v>-7.7638053293980824E-2</v>
      </c>
      <c r="AG373" s="2">
        <f>Q373/K373</f>
        <v>-0.11336218233332279</v>
      </c>
      <c r="AH373" s="2">
        <f>Q373/L373</f>
        <v>-0.15884903833800421</v>
      </c>
      <c r="AI373" s="3">
        <f>R373</f>
        <v>68.900000000000006</v>
      </c>
      <c r="AJ373" s="3">
        <f>P373</f>
        <v>-11313158</v>
      </c>
    </row>
    <row r="374" spans="1:36" x14ac:dyDescent="0.25">
      <c r="A374" t="s">
        <v>121</v>
      </c>
      <c r="B374">
        <v>2019</v>
      </c>
      <c r="C374" s="1">
        <v>239655487</v>
      </c>
      <c r="D374" s="1">
        <v>-14790070</v>
      </c>
      <c r="E374" s="1">
        <v>-20655124</v>
      </c>
      <c r="G374" s="1">
        <v>143055544</v>
      </c>
      <c r="H374" s="1">
        <v>83302291</v>
      </c>
      <c r="I374" s="1">
        <v>26359764</v>
      </c>
      <c r="J374" s="1">
        <v>119654002</v>
      </c>
      <c r="K374" s="1">
        <v>82741049</v>
      </c>
      <c r="L374" s="1">
        <v>55857766</v>
      </c>
      <c r="M374" s="1">
        <v>23650000</v>
      </c>
      <c r="N374" s="1">
        <v>23401542</v>
      </c>
      <c r="O374" s="1">
        <f>G374-J374</f>
        <v>23401542</v>
      </c>
      <c r="P374" s="1">
        <v>-31735024</v>
      </c>
      <c r="Q374" s="1">
        <v>14422759</v>
      </c>
      <c r="R374" s="1">
        <v>59.2</v>
      </c>
      <c r="T374">
        <f>E374/G374</f>
        <v>-0.14438534447850548</v>
      </c>
      <c r="U374">
        <f>D374/C374</f>
        <v>-6.1713880141621796E-2</v>
      </c>
      <c r="V374">
        <f>(E374-F374)/O374</f>
        <v>-0.88263944316148057</v>
      </c>
      <c r="W374">
        <f>H374/K374</f>
        <v>1.006783114388603</v>
      </c>
      <c r="X374">
        <f>(H374-I374)/K374</f>
        <v>0.68820165671334432</v>
      </c>
      <c r="Y374">
        <f>(H374-K374)/G374</f>
        <v>3.9232453654504994E-3</v>
      </c>
      <c r="Z374">
        <f>J374/N374</f>
        <v>5.1130819498988567</v>
      </c>
      <c r="AA374">
        <f>J374/G374</f>
        <v>0.83641639222314934</v>
      </c>
      <c r="AB374">
        <f>C374/G374</f>
        <v>1.6752617920211468</v>
      </c>
      <c r="AC374">
        <f>C374/(G374-K374)</f>
        <v>3.9734310467160507</v>
      </c>
      <c r="AD374">
        <f>Q374/E374</f>
        <v>-0.69826542798774771</v>
      </c>
      <c r="AE374">
        <f>Q374/J374</f>
        <v>0.12053720526623088</v>
      </c>
      <c r="AF374">
        <f>Q374/G374</f>
        <v>0.10081929435744202</v>
      </c>
      <c r="AG374">
        <f>Q374/K374</f>
        <v>0.17431201530935389</v>
      </c>
      <c r="AH374">
        <f>Q374/L374</f>
        <v>0.25820508109830242</v>
      </c>
      <c r="AI374" s="1">
        <f>R374</f>
        <v>59.2</v>
      </c>
      <c r="AJ374" s="1">
        <f>P374</f>
        <v>-31735024</v>
      </c>
    </row>
    <row r="375" spans="1:36" x14ac:dyDescent="0.25">
      <c r="A375" t="s">
        <v>121</v>
      </c>
      <c r="B375">
        <v>2020</v>
      </c>
      <c r="C375" s="1">
        <v>182472530</v>
      </c>
      <c r="D375" s="1">
        <v>-23888471</v>
      </c>
      <c r="E375" s="1">
        <v>-26829620</v>
      </c>
      <c r="G375" s="1">
        <v>112201734</v>
      </c>
      <c r="H375" s="1">
        <v>58972877</v>
      </c>
      <c r="I375" s="1">
        <v>17097069</v>
      </c>
      <c r="J375" s="1">
        <v>115084235</v>
      </c>
      <c r="K375" s="1">
        <v>74844510</v>
      </c>
      <c r="L375" s="1">
        <v>56372833</v>
      </c>
      <c r="M375" s="1">
        <v>26254000</v>
      </c>
      <c r="N375" s="1">
        <v>-2882501</v>
      </c>
      <c r="O375" s="1">
        <f>G375-J375</f>
        <v>-2882501</v>
      </c>
      <c r="P375" s="1">
        <v>-55215183</v>
      </c>
      <c r="Q375" s="1">
        <v>-398091</v>
      </c>
      <c r="R375" s="1">
        <v>64.5</v>
      </c>
      <c r="S375" s="14"/>
      <c r="T375">
        <f>E375/G375</f>
        <v>-0.23911947742269296</v>
      </c>
      <c r="U375">
        <f>D375/C375</f>
        <v>-0.13091543697015656</v>
      </c>
      <c r="V375">
        <f>(E375-F375)/O375</f>
        <v>9.3077573954007295</v>
      </c>
      <c r="W375">
        <f>H375/K375</f>
        <v>0.78793858093265623</v>
      </c>
      <c r="X375">
        <f>(H375-I375)/K375</f>
        <v>0.559504070505639</v>
      </c>
      <c r="Y375">
        <f>(H375-K375)/G375</f>
        <v>-0.14145621849302259</v>
      </c>
      <c r="Z375">
        <f>J375/N375</f>
        <v>-39.925132723284399</v>
      </c>
      <c r="AA375">
        <f>J375/G375</f>
        <v>1.0256903427178763</v>
      </c>
      <c r="AB375">
        <f>C375/G375</f>
        <v>1.6262897505666001</v>
      </c>
      <c r="AC375">
        <f>C375/(G375-K375)</f>
        <v>4.8845313024329648</v>
      </c>
      <c r="AD375">
        <f>Q375/E375</f>
        <v>1.4837742763408502E-2</v>
      </c>
      <c r="AE375">
        <f>Q375/J375</f>
        <v>-3.4591271341378772E-3</v>
      </c>
      <c r="AF375">
        <f>Q375/G375</f>
        <v>-3.5479932957185848E-3</v>
      </c>
      <c r="AG375">
        <f>Q375/K375</f>
        <v>-5.3189071583206304E-3</v>
      </c>
      <c r="AH375">
        <f>Q375/L375</f>
        <v>-7.0617525998737723E-3</v>
      </c>
      <c r="AI375" s="1">
        <f>R375</f>
        <v>64.5</v>
      </c>
      <c r="AJ375" s="1">
        <f>P375</f>
        <v>-55215183</v>
      </c>
    </row>
    <row r="376" spans="1:36" x14ac:dyDescent="0.25">
      <c r="A376" t="s">
        <v>121</v>
      </c>
      <c r="B376">
        <v>2021</v>
      </c>
      <c r="C376" s="1">
        <v>151502581</v>
      </c>
      <c r="D376" s="1">
        <v>422625</v>
      </c>
      <c r="E376" s="1">
        <v>-3379727</v>
      </c>
      <c r="G376" s="1">
        <v>102337713</v>
      </c>
      <c r="H376" s="1">
        <v>56998464</v>
      </c>
      <c r="I376" s="1">
        <v>17932655</v>
      </c>
      <c r="J376" s="1">
        <v>105261433</v>
      </c>
      <c r="K376" s="1">
        <v>69841945</v>
      </c>
      <c r="L376" s="1">
        <v>63946547</v>
      </c>
      <c r="M376" s="1">
        <v>26354000</v>
      </c>
      <c r="N376" s="1">
        <v>-2923719</v>
      </c>
      <c r="O376" s="1">
        <f>G376-J376</f>
        <v>-2923720</v>
      </c>
      <c r="P376" s="1">
        <v>-52415379</v>
      </c>
      <c r="Q376" s="1">
        <v>-6919073</v>
      </c>
      <c r="R376" s="1">
        <v>52</v>
      </c>
      <c r="S376" s="14"/>
      <c r="T376">
        <f>E376/G376</f>
        <v>-3.3025234792964347E-2</v>
      </c>
      <c r="U376">
        <f>D376/C376</f>
        <v>2.7895564366655907E-3</v>
      </c>
      <c r="V376">
        <f>(E376-F376)/O376</f>
        <v>1.1559680817588551</v>
      </c>
      <c r="W376">
        <f>H376/K376</f>
        <v>0.81610648157063781</v>
      </c>
      <c r="X376">
        <f>(H376-I376)/K376</f>
        <v>0.55934594891365064</v>
      </c>
      <c r="Y376">
        <f>(H376-K376)/G376</f>
        <v>-0.12550095779451315</v>
      </c>
      <c r="Z376">
        <f>J376/N376</f>
        <v>-36.002581985478088</v>
      </c>
      <c r="AA376">
        <f>J376/G376</f>
        <v>1.028569331034396</v>
      </c>
      <c r="AB376">
        <f>C376/G376</f>
        <v>1.4804178885646975</v>
      </c>
      <c r="AC376">
        <f>C376/(G376-K376)</f>
        <v>4.6622249703407537</v>
      </c>
      <c r="AD376">
        <f>Q376/E376</f>
        <v>2.0472283708121988</v>
      </c>
      <c r="AE376">
        <f>Q376/J376</f>
        <v>-6.5732270621852551E-2</v>
      </c>
      <c r="AF376">
        <f>Q376/G376</f>
        <v>-6.7610197620890752E-2</v>
      </c>
      <c r="AG376">
        <f>Q376/K376</f>
        <v>-9.9067587536400936E-2</v>
      </c>
      <c r="AH376">
        <f>Q376/L376</f>
        <v>-0.10820088534256588</v>
      </c>
      <c r="AI376" s="1">
        <f>R376</f>
        <v>52</v>
      </c>
      <c r="AJ376" s="1">
        <f>P376</f>
        <v>-52415379</v>
      </c>
    </row>
    <row r="377" spans="1:36" x14ac:dyDescent="0.25">
      <c r="A377" t="s">
        <v>121</v>
      </c>
      <c r="B377">
        <v>2022</v>
      </c>
      <c r="C377" s="1">
        <v>163458921</v>
      </c>
      <c r="D377" s="1">
        <v>-32163</v>
      </c>
      <c r="E377" s="1">
        <v>-4645231</v>
      </c>
      <c r="G377" s="1">
        <v>108081290</v>
      </c>
      <c r="H377" s="1">
        <v>65812065</v>
      </c>
      <c r="I377" s="1">
        <v>31407419</v>
      </c>
      <c r="J377" s="1">
        <v>109895089</v>
      </c>
      <c r="K377" s="1">
        <v>76712103</v>
      </c>
      <c r="L377" s="1">
        <v>60502612</v>
      </c>
      <c r="M377" s="1">
        <v>26059000</v>
      </c>
      <c r="N377" s="1">
        <v>-1813799</v>
      </c>
      <c r="O377" s="1">
        <f>G377-J377</f>
        <v>-1813799</v>
      </c>
      <c r="P377" s="1">
        <v>-53204442</v>
      </c>
      <c r="Q377" s="1">
        <v>2648648</v>
      </c>
      <c r="R377" s="1">
        <v>0</v>
      </c>
      <c r="S377" s="14"/>
      <c r="T377">
        <f>E377/G377</f>
        <v>-4.2979048455102635E-2</v>
      </c>
      <c r="U377">
        <f>D377/C377</f>
        <v>-1.9676503309354402E-4</v>
      </c>
      <c r="V377">
        <f>(E377-F377)/O377</f>
        <v>2.561050590500932</v>
      </c>
      <c r="W377">
        <f>H377/K377</f>
        <v>0.85790980075204037</v>
      </c>
      <c r="X377">
        <f>(H377-I377)/K377</f>
        <v>0.44849045528057024</v>
      </c>
      <c r="Y377">
        <f>(H377-K377)/G377</f>
        <v>-0.10085036919896126</v>
      </c>
      <c r="Z377">
        <f>J377/N377</f>
        <v>-60.588350197568751</v>
      </c>
      <c r="AA377">
        <f>J377/G377</f>
        <v>1.0167818037701069</v>
      </c>
      <c r="AB377">
        <f>C377/G377</f>
        <v>1.512370189141895</v>
      </c>
      <c r="AC377">
        <f>C377/(G377-K377)</f>
        <v>5.2108115202348086</v>
      </c>
      <c r="AD377">
        <f>Q377/E377</f>
        <v>-0.57018649879844507</v>
      </c>
      <c r="AE377">
        <f>Q377/J377</f>
        <v>2.4101604758698544E-2</v>
      </c>
      <c r="AF377">
        <f>Q377/G377</f>
        <v>2.4506073160303694E-2</v>
      </c>
      <c r="AG377">
        <f>Q377/K377</f>
        <v>3.4527120185976388E-2</v>
      </c>
      <c r="AH377">
        <f>Q377/L377</f>
        <v>4.3777415758513037E-2</v>
      </c>
      <c r="AI377" s="1">
        <f>R377</f>
        <v>0</v>
      </c>
      <c r="AJ377" s="1">
        <f>P377</f>
        <v>-53204442</v>
      </c>
    </row>
    <row r="378" spans="1:36" x14ac:dyDescent="0.25">
      <c r="A378" t="s">
        <v>121</v>
      </c>
      <c r="B378">
        <v>2023</v>
      </c>
      <c r="C378" s="1">
        <v>84106950</v>
      </c>
      <c r="D378" s="1">
        <v>-6208786</v>
      </c>
      <c r="E378" s="1">
        <v>-9449199</v>
      </c>
      <c r="G378" s="1">
        <v>42953068</v>
      </c>
      <c r="H378" s="1">
        <v>22162030</v>
      </c>
      <c r="I378" s="1">
        <v>1023612</v>
      </c>
      <c r="J378" s="1">
        <v>59061085</v>
      </c>
      <c r="K378" s="1">
        <v>34107085</v>
      </c>
      <c r="L378" s="1">
        <v>35490461</v>
      </c>
      <c r="M378" s="1">
        <v>24954000</v>
      </c>
      <c r="N378" s="1">
        <v>-16108018</v>
      </c>
      <c r="O378" s="1">
        <f>G378-J378</f>
        <v>-16108017</v>
      </c>
      <c r="P378" s="1">
        <v>-53504217</v>
      </c>
      <c r="Q378" s="1">
        <v>10242264</v>
      </c>
      <c r="R378" s="1">
        <v>0</v>
      </c>
      <c r="S378" s="14"/>
      <c r="T378">
        <f>E378/G378</f>
        <v>-0.21998891906859833</v>
      </c>
      <c r="U378">
        <f>D378/C378</f>
        <v>-7.3820130203270953E-2</v>
      </c>
      <c r="V378">
        <f>(E378-F378)/O378</f>
        <v>0.58661466523160488</v>
      </c>
      <c r="W378">
        <f>H378/K378</f>
        <v>0.64977789805256003</v>
      </c>
      <c r="X378">
        <f>(H378-I378)/K378</f>
        <v>0.61976618640965653</v>
      </c>
      <c r="Y378">
        <f>(H378-K378)/G378</f>
        <v>-0.27809550181607517</v>
      </c>
      <c r="Z378">
        <f>J378/N378</f>
        <v>-3.6665643780631485</v>
      </c>
      <c r="AA378">
        <f>J378/G378</f>
        <v>1.3750143528746306</v>
      </c>
      <c r="AB378">
        <f>C378/G378</f>
        <v>1.9581127476156068</v>
      </c>
      <c r="AC378">
        <f>C378/(G378-K378)</f>
        <v>9.507925800897425</v>
      </c>
      <c r="AD378">
        <f>Q378/E378</f>
        <v>-1.0839293362326268</v>
      </c>
      <c r="AE378">
        <f>Q378/J378</f>
        <v>0.17341814834590322</v>
      </c>
      <c r="AF378">
        <f>Q378/G378</f>
        <v>0.23845244302455881</v>
      </c>
      <c r="AG378">
        <f>Q378/K378</f>
        <v>0.30029725495450577</v>
      </c>
      <c r="AH378">
        <f>Q378/L378</f>
        <v>0.28859202476969797</v>
      </c>
      <c r="AI378" s="1">
        <f>R378</f>
        <v>0</v>
      </c>
      <c r="AJ378" s="1">
        <f>P378</f>
        <v>-53504217</v>
      </c>
    </row>
    <row r="379" spans="1:36" x14ac:dyDescent="0.25">
      <c r="A379" t="s">
        <v>121</v>
      </c>
      <c r="B379">
        <v>2024</v>
      </c>
      <c r="C379" s="1">
        <v>8316079</v>
      </c>
      <c r="D379" s="1">
        <v>-5350309</v>
      </c>
      <c r="E379" s="1">
        <v>-5757210</v>
      </c>
      <c r="G379" s="1">
        <v>6362851</v>
      </c>
      <c r="H379" s="1">
        <v>5449624</v>
      </c>
      <c r="I379" s="1">
        <v>487780</v>
      </c>
      <c r="J379" s="1">
        <v>32370686</v>
      </c>
      <c r="K379" s="1">
        <v>7416686</v>
      </c>
      <c r="L379" s="1">
        <v>25314270</v>
      </c>
      <c r="M379" s="1">
        <v>24954000</v>
      </c>
      <c r="N379" s="1">
        <v>-26007835</v>
      </c>
      <c r="O379" s="1">
        <f>G379-J379</f>
        <v>-26007835</v>
      </c>
      <c r="P379" s="1">
        <v>-59055952</v>
      </c>
      <c r="Q379" s="1">
        <v>-22627386</v>
      </c>
      <c r="R379" s="1">
        <v>109.5</v>
      </c>
      <c r="S379" s="14"/>
      <c r="T379">
        <f>E379/G379</f>
        <v>-0.90481609580359501</v>
      </c>
      <c r="U379">
        <f>D379/C379</f>
        <v>-0.64336918877273774</v>
      </c>
      <c r="V379">
        <f>(E379-F379)/O379</f>
        <v>0.22136444652159629</v>
      </c>
      <c r="W379">
        <f>H379/K379</f>
        <v>0.734778848666372</v>
      </c>
      <c r="X379">
        <f>(H379-I379)/K379</f>
        <v>0.66901093021869873</v>
      </c>
      <c r="Y379">
        <f>(H379-K379)/G379</f>
        <v>-0.30914789612392307</v>
      </c>
      <c r="Z379">
        <f>J379/N379</f>
        <v>-1.2446513137291129</v>
      </c>
      <c r="AA379">
        <f>J379/G379</f>
        <v>5.0874499497159373</v>
      </c>
      <c r="AB379">
        <f>C379/G379</f>
        <v>1.3069737135130148</v>
      </c>
      <c r="AC379">
        <f>C379/(G379-K379)</f>
        <v>-7.8912533745795121</v>
      </c>
      <c r="AD379">
        <f>Q379/E379</f>
        <v>3.9302693492160263</v>
      </c>
      <c r="AE379">
        <f>Q379/J379</f>
        <v>-0.69900854124623746</v>
      </c>
      <c r="AF379">
        <f>Q379/G379</f>
        <v>-3.5561709680141811</v>
      </c>
      <c r="AG379">
        <f>Q379/K379</f>
        <v>-3.05087555277384</v>
      </c>
      <c r="AH379">
        <f>Q379/L379</f>
        <v>-0.89385891830971231</v>
      </c>
      <c r="AI379" s="1">
        <f>R379</f>
        <v>109.5</v>
      </c>
      <c r="AJ379" s="1">
        <f>P379</f>
        <v>-59055952</v>
      </c>
    </row>
    <row r="380" spans="1:36" s="2" customFormat="1" x14ac:dyDescent="0.25">
      <c r="A380" s="2" t="s">
        <v>184</v>
      </c>
      <c r="B380" s="2">
        <v>2018</v>
      </c>
      <c r="C380" s="3">
        <v>291487</v>
      </c>
      <c r="D380" s="3">
        <v>291487</v>
      </c>
      <c r="E380" s="3">
        <v>255036</v>
      </c>
      <c r="F380" s="3"/>
      <c r="G380" s="3">
        <v>5646640</v>
      </c>
      <c r="H380" s="3">
        <v>187282</v>
      </c>
      <c r="I380" s="3">
        <v>5441</v>
      </c>
      <c r="J380" s="3">
        <v>712091</v>
      </c>
      <c r="K380" s="3">
        <v>165726</v>
      </c>
      <c r="L380" s="3"/>
      <c r="M380" s="3"/>
      <c r="N380" s="3"/>
      <c r="O380" s="3">
        <v>4934549</v>
      </c>
      <c r="P380" s="3">
        <v>2821086</v>
      </c>
      <c r="Q380" s="3">
        <v>174891</v>
      </c>
      <c r="R380" s="3">
        <v>11</v>
      </c>
      <c r="T380" s="2">
        <f>E380/G380</f>
        <v>4.5165974809798393E-2</v>
      </c>
      <c r="U380" s="2">
        <f>D380/C380</f>
        <v>1</v>
      </c>
      <c r="V380" s="2">
        <f>(E380-F380)/O380</f>
        <v>5.1683750632529946E-2</v>
      </c>
      <c r="W380" s="2">
        <f>H380/K380</f>
        <v>1.1300701157331983</v>
      </c>
      <c r="X380" s="2">
        <f>(H380-I380)/K380</f>
        <v>1.0972388158768087</v>
      </c>
      <c r="Y380" s="2">
        <f>(H380-K380)/G380</f>
        <v>3.8174914639502429E-3</v>
      </c>
      <c r="Z380" s="2" t="e">
        <f>J380/N380</f>
        <v>#DIV/0!</v>
      </c>
      <c r="AA380" s="2">
        <f>J380/G380</f>
        <v>0.12610880098607313</v>
      </c>
      <c r="AB380" s="2">
        <f>C380/G380</f>
        <v>5.1621318164430531E-2</v>
      </c>
      <c r="AC380" s="2">
        <f>C380/(G380-K380)</f>
        <v>5.3182188226270292E-2</v>
      </c>
      <c r="AD380" s="2">
        <f>Q380/E380</f>
        <v>0.6857502470239496</v>
      </c>
      <c r="AE380" s="2">
        <f>Q380/J380</f>
        <v>0.24560203681832798</v>
      </c>
      <c r="AF380" s="2">
        <f>Q380/G380</f>
        <v>3.0972578382896732E-2</v>
      </c>
      <c r="AG380" s="2">
        <f>Q380/K380</f>
        <v>1.0553021251945982</v>
      </c>
      <c r="AH380" s="2" t="e">
        <f>Q380/L380</f>
        <v>#DIV/0!</v>
      </c>
      <c r="AI380" s="3">
        <f>R380</f>
        <v>11</v>
      </c>
      <c r="AJ380" s="3">
        <f>P380</f>
        <v>2821086</v>
      </c>
    </row>
    <row r="381" spans="1:36" x14ac:dyDescent="0.25">
      <c r="A381" t="s">
        <v>184</v>
      </c>
      <c r="B381">
        <v>2019</v>
      </c>
      <c r="C381" s="1">
        <v>295830</v>
      </c>
      <c r="D381" s="1">
        <v>295830</v>
      </c>
      <c r="E381" s="1">
        <v>193012</v>
      </c>
      <c r="G381" s="1">
        <v>5775019</v>
      </c>
      <c r="H381" s="1">
        <v>163821</v>
      </c>
      <c r="I381" s="1">
        <v>4166</v>
      </c>
      <c r="J381" s="1">
        <v>781326</v>
      </c>
      <c r="K381" s="1">
        <v>171847</v>
      </c>
      <c r="L381" s="1">
        <v>0</v>
      </c>
      <c r="M381" s="1">
        <v>0</v>
      </c>
      <c r="O381" s="1">
        <v>4993693</v>
      </c>
      <c r="P381" s="1">
        <v>2863203</v>
      </c>
      <c r="Q381" s="1">
        <v>183991</v>
      </c>
      <c r="R381" s="1">
        <v>11.5</v>
      </c>
      <c r="T381">
        <f>E381/G381</f>
        <v>3.3421881382554759E-2</v>
      </c>
      <c r="U381">
        <f>D381/C381</f>
        <v>1</v>
      </c>
      <c r="V381">
        <f>(E381-F381)/O381</f>
        <v>3.865115456637002E-2</v>
      </c>
      <c r="W381">
        <f>H381/K381</f>
        <v>0.95329566416638056</v>
      </c>
      <c r="X381">
        <f>(H381-I381)/K381</f>
        <v>0.92905316938904958</v>
      </c>
      <c r="Y381">
        <f>(H381-K381)/G381</f>
        <v>-1.3897789773505507E-3</v>
      </c>
      <c r="Z381" t="e">
        <f>J381/N381</f>
        <v>#DIV/0!</v>
      </c>
      <c r="AA381">
        <f>J381/G381</f>
        <v>0.13529410033109848</v>
      </c>
      <c r="AB381">
        <f>C381/G381</f>
        <v>5.1225805490856396E-2</v>
      </c>
      <c r="AC381">
        <f>C381/(G381-K381)</f>
        <v>5.279688005294144E-2</v>
      </c>
      <c r="AD381">
        <f>Q381/E381</f>
        <v>0.95326197334880736</v>
      </c>
      <c r="AE381">
        <f>Q381/J381</f>
        <v>0.23548557196355938</v>
      </c>
      <c r="AF381">
        <f>Q381/G381</f>
        <v>3.1859808599763915E-2</v>
      </c>
      <c r="AG381">
        <f>Q381/K381</f>
        <v>1.0706675123801987</v>
      </c>
      <c r="AH381" t="e">
        <f>Q381/L381</f>
        <v>#DIV/0!</v>
      </c>
      <c r="AI381" s="1">
        <f>R381</f>
        <v>11.5</v>
      </c>
      <c r="AJ381" s="1">
        <f>P381</f>
        <v>2863203</v>
      </c>
    </row>
    <row r="382" spans="1:36" x14ac:dyDescent="0.25">
      <c r="A382" t="s">
        <v>184</v>
      </c>
      <c r="B382">
        <v>2020</v>
      </c>
      <c r="C382" s="1">
        <v>375271</v>
      </c>
      <c r="D382" s="1">
        <v>375271</v>
      </c>
      <c r="E382" s="1">
        <v>260214</v>
      </c>
      <c r="G382" s="1">
        <v>5917806</v>
      </c>
      <c r="H382" s="1">
        <v>222700</v>
      </c>
      <c r="I382" s="1">
        <v>4236</v>
      </c>
      <c r="J382" s="1">
        <v>815886</v>
      </c>
      <c r="K382" s="1">
        <v>131617</v>
      </c>
      <c r="L382" s="1">
        <v>0</v>
      </c>
      <c r="M382" s="1">
        <v>0</v>
      </c>
      <c r="O382" s="1">
        <v>5101920</v>
      </c>
      <c r="P382" s="1">
        <v>2960814</v>
      </c>
      <c r="Q382" s="1">
        <v>247278</v>
      </c>
      <c r="R382" s="1">
        <v>14.4</v>
      </c>
      <c r="T382">
        <f>E382/G382</f>
        <v>4.3971363711483615E-2</v>
      </c>
      <c r="U382">
        <f>D382/C382</f>
        <v>1</v>
      </c>
      <c r="V382">
        <f>(E382-F382)/O382</f>
        <v>5.1003151754633547E-2</v>
      </c>
      <c r="W382">
        <f>H382/K382</f>
        <v>1.6920306647317596</v>
      </c>
      <c r="X382">
        <f>(H382-I382)/K382</f>
        <v>1.6598463724290935</v>
      </c>
      <c r="Y382">
        <f>(H382-K382)/G382</f>
        <v>1.5391346049532547E-2</v>
      </c>
      <c r="Z382" t="e">
        <f>J382/N382</f>
        <v>#DIV/0!</v>
      </c>
      <c r="AA382">
        <f>J382/G382</f>
        <v>0.13786967670112876</v>
      </c>
      <c r="AB382">
        <f>C382/G382</f>
        <v>6.3413873317239536E-2</v>
      </c>
      <c r="AC382">
        <f>C382/(G382-K382)</f>
        <v>6.4856332898908076E-2</v>
      </c>
      <c r="AD382">
        <f>Q382/E382</f>
        <v>0.95028707141045443</v>
      </c>
      <c r="AE382">
        <f>Q382/J382</f>
        <v>0.30307910663989823</v>
      </c>
      <c r="AF382">
        <f>Q382/G382</f>
        <v>4.1785418447309694E-2</v>
      </c>
      <c r="AG382">
        <f>Q382/K382</f>
        <v>1.8787694598722049</v>
      </c>
      <c r="AH382" t="e">
        <f>Q382/L382</f>
        <v>#DIV/0!</v>
      </c>
      <c r="AI382" s="1">
        <f>R382</f>
        <v>14.4</v>
      </c>
      <c r="AJ382" s="1">
        <f>P382</f>
        <v>2960814</v>
      </c>
    </row>
    <row r="383" spans="1:36" x14ac:dyDescent="0.25">
      <c r="A383" t="s">
        <v>184</v>
      </c>
      <c r="B383">
        <v>2021</v>
      </c>
      <c r="C383" s="1">
        <v>362047</v>
      </c>
      <c r="D383" s="1">
        <v>362047</v>
      </c>
      <c r="E383" s="1">
        <v>350816</v>
      </c>
      <c r="G383" s="1">
        <v>6068000</v>
      </c>
      <c r="H383" s="1">
        <v>311946</v>
      </c>
      <c r="I383" s="1">
        <v>6263</v>
      </c>
      <c r="J383" s="1">
        <v>794370</v>
      </c>
      <c r="K383" s="1">
        <v>134859</v>
      </c>
      <c r="L383" s="1">
        <v>0</v>
      </c>
      <c r="M383" s="1">
        <v>0</v>
      </c>
      <c r="O383" s="1">
        <v>5273630</v>
      </c>
      <c r="P383" s="1">
        <v>3133404</v>
      </c>
      <c r="Q383" s="1">
        <v>277844</v>
      </c>
      <c r="R383" s="1">
        <v>18</v>
      </c>
      <c r="T383">
        <f>E383/G383</f>
        <v>5.7814106789716546E-2</v>
      </c>
      <c r="U383">
        <f>D383/C383</f>
        <v>1</v>
      </c>
      <c r="V383">
        <f>(E383-F383)/O383</f>
        <v>6.6522679823954281E-2</v>
      </c>
      <c r="W383">
        <f>H383/K383</f>
        <v>2.3131270438013036</v>
      </c>
      <c r="X383">
        <f>(H383-I383)/K383</f>
        <v>2.2666859460621835</v>
      </c>
      <c r="Y383">
        <f>(H383-K383)/G383</f>
        <v>2.9183750823994728E-2</v>
      </c>
      <c r="Z383" t="e">
        <f>J383/N383</f>
        <v>#DIV/0!</v>
      </c>
      <c r="AA383">
        <f>J383/G383</f>
        <v>0.13091133816743572</v>
      </c>
      <c r="AB383">
        <f>C383/G383</f>
        <v>5.9664963744232039E-2</v>
      </c>
      <c r="AC383">
        <f>C383/(G383-K383)</f>
        <v>6.1021135348039088E-2</v>
      </c>
      <c r="AD383">
        <f>Q383/E383</f>
        <v>0.79199352367052811</v>
      </c>
      <c r="AE383">
        <f>Q383/J383</f>
        <v>0.34976648161436108</v>
      </c>
      <c r="AF383">
        <f>Q383/G383</f>
        <v>4.5788398154251814E-2</v>
      </c>
      <c r="AG383">
        <f>Q383/K383</f>
        <v>2.0602555261421189</v>
      </c>
      <c r="AH383" t="e">
        <f>Q383/L383</f>
        <v>#DIV/0!</v>
      </c>
      <c r="AI383" s="1">
        <f>R383</f>
        <v>18</v>
      </c>
      <c r="AJ383" s="1">
        <f>P383</f>
        <v>3133404</v>
      </c>
    </row>
    <row r="384" spans="1:36" x14ac:dyDescent="0.25">
      <c r="A384" t="s">
        <v>184</v>
      </c>
      <c r="B384">
        <v>2022</v>
      </c>
      <c r="C384" s="1">
        <v>391369</v>
      </c>
      <c r="D384" s="1">
        <v>391369</v>
      </c>
      <c r="E384" s="1">
        <v>238955</v>
      </c>
      <c r="G384" s="1">
        <v>6363238</v>
      </c>
      <c r="H384" s="1">
        <v>551942</v>
      </c>
      <c r="I384" s="1">
        <v>14687</v>
      </c>
      <c r="J384" s="1">
        <v>1074502</v>
      </c>
      <c r="K384" s="1">
        <v>196395</v>
      </c>
      <c r="L384" s="1">
        <v>0</v>
      </c>
      <c r="M384" s="1">
        <v>0</v>
      </c>
      <c r="O384" s="1">
        <v>5288736</v>
      </c>
      <c r="P384" s="1">
        <v>3166788</v>
      </c>
      <c r="Q384" s="1">
        <v>288430</v>
      </c>
      <c r="R384" s="1">
        <v>11.8</v>
      </c>
      <c r="T384">
        <f>E384/G384</f>
        <v>3.7552422210201788E-2</v>
      </c>
      <c r="U384">
        <f>D384/C384</f>
        <v>1</v>
      </c>
      <c r="V384">
        <f>(E384-F384)/O384</f>
        <v>4.5181873324741488E-2</v>
      </c>
      <c r="W384">
        <f>H384/K384</f>
        <v>2.8103668627001706</v>
      </c>
      <c r="X384">
        <f>(H384-I384)/K384</f>
        <v>2.7355838997937831</v>
      </c>
      <c r="Y384">
        <f>(H384-K384)/G384</f>
        <v>5.5875169214164237E-2</v>
      </c>
      <c r="Z384" t="e">
        <f>J384/N384</f>
        <v>#DIV/0!</v>
      </c>
      <c r="AA384">
        <f>J384/G384</f>
        <v>0.16886088497711385</v>
      </c>
      <c r="AB384">
        <f>C384/G384</f>
        <v>6.1504693050927844E-2</v>
      </c>
      <c r="AC384">
        <f>C384/(G384-K384)</f>
        <v>6.3463428532232788E-2</v>
      </c>
      <c r="AD384">
        <f>Q384/E384</f>
        <v>1.2070473520118852</v>
      </c>
      <c r="AE384">
        <f>Q384/J384</f>
        <v>0.26843132911804723</v>
      </c>
      <c r="AF384">
        <f>Q384/G384</f>
        <v>4.5327551790456368E-2</v>
      </c>
      <c r="AG384">
        <f>Q384/K384</f>
        <v>1.4686219099264237</v>
      </c>
      <c r="AH384" t="e">
        <f>Q384/L384</f>
        <v>#DIV/0!</v>
      </c>
      <c r="AI384" s="1">
        <f>R384</f>
        <v>11.8</v>
      </c>
      <c r="AJ384" s="1">
        <f>P384</f>
        <v>3166788</v>
      </c>
    </row>
    <row r="385" spans="1:36" x14ac:dyDescent="0.25">
      <c r="A385" t="s">
        <v>184</v>
      </c>
      <c r="B385">
        <v>2023</v>
      </c>
      <c r="C385" s="1">
        <v>393801</v>
      </c>
      <c r="D385" s="1">
        <v>393801</v>
      </c>
      <c r="E385" s="1">
        <v>353812</v>
      </c>
      <c r="G385" s="1">
        <v>6549940</v>
      </c>
      <c r="H385" s="1">
        <v>439335</v>
      </c>
      <c r="I385" s="1">
        <v>13148</v>
      </c>
      <c r="J385" s="1">
        <v>1080365</v>
      </c>
      <c r="K385" s="1">
        <v>181474</v>
      </c>
      <c r="L385" s="1">
        <v>0</v>
      </c>
      <c r="M385" s="1">
        <v>0</v>
      </c>
      <c r="O385" s="1">
        <v>5469575</v>
      </c>
      <c r="P385" s="1">
        <v>3337356</v>
      </c>
      <c r="Q385" s="1">
        <v>203965</v>
      </c>
      <c r="R385" s="1">
        <v>14.4</v>
      </c>
      <c r="T385">
        <f>E385/G385</f>
        <v>5.401759405429668E-2</v>
      </c>
      <c r="U385">
        <f>D385/C385</f>
        <v>1</v>
      </c>
      <c r="V385">
        <f>(E385-F385)/O385</f>
        <v>6.4687292888387121E-2</v>
      </c>
      <c r="W385">
        <f>H385/K385</f>
        <v>2.4209253116148868</v>
      </c>
      <c r="X385">
        <f>(H385-I385)/K385</f>
        <v>2.3484741615878857</v>
      </c>
      <c r="Y385">
        <f>(H385-K385)/G385</f>
        <v>3.9368452230096766E-2</v>
      </c>
      <c r="Z385" t="e">
        <f>J385/N385</f>
        <v>#DIV/0!</v>
      </c>
      <c r="AA385">
        <f>J385/G385</f>
        <v>0.16494273229983786</v>
      </c>
      <c r="AB385">
        <f>C385/G385</f>
        <v>6.012284081991591E-2</v>
      </c>
      <c r="AC385">
        <f>C385/(G385-K385)</f>
        <v>6.1836084231273278E-2</v>
      </c>
      <c r="AD385">
        <f>Q385/E385</f>
        <v>0.57647846879133546</v>
      </c>
      <c r="AE385">
        <f>Q385/J385</f>
        <v>0.18879267654912923</v>
      </c>
      <c r="AF385">
        <f>Q385/G385</f>
        <v>3.1139979908212899E-2</v>
      </c>
      <c r="AG385">
        <f>Q385/K385</f>
        <v>1.123935109161643</v>
      </c>
      <c r="AH385" t="e">
        <f>Q385/L385</f>
        <v>#DIV/0!</v>
      </c>
      <c r="AI385" s="1">
        <f>R385</f>
        <v>14.4</v>
      </c>
      <c r="AJ385" s="1">
        <f>P385</f>
        <v>3337356</v>
      </c>
    </row>
    <row r="386" spans="1:36" x14ac:dyDescent="0.25">
      <c r="A386" t="s">
        <v>184</v>
      </c>
      <c r="B386">
        <v>2024</v>
      </c>
      <c r="C386" s="1">
        <v>404795</v>
      </c>
      <c r="D386" s="1">
        <v>404795</v>
      </c>
      <c r="E386" s="1">
        <v>350809</v>
      </c>
      <c r="G386" s="1">
        <v>6619091</v>
      </c>
      <c r="H386" s="1">
        <v>182316</v>
      </c>
      <c r="I386" s="1">
        <v>10488</v>
      </c>
      <c r="J386" s="1">
        <v>1098327</v>
      </c>
      <c r="K386" s="1">
        <v>174264</v>
      </c>
      <c r="L386" s="1">
        <v>0</v>
      </c>
      <c r="M386" s="1">
        <v>0</v>
      </c>
      <c r="O386" s="1">
        <v>5520764</v>
      </c>
      <c r="P386" s="1">
        <v>3370660</v>
      </c>
      <c r="Q386" s="1">
        <v>164678</v>
      </c>
      <c r="R386" s="1">
        <v>25</v>
      </c>
      <c r="T386">
        <f>E386/G386</f>
        <v>5.2999573506392346E-2</v>
      </c>
      <c r="U386">
        <f>D386/C386</f>
        <v>1</v>
      </c>
      <c r="V386">
        <f>(E386-F386)/O386</f>
        <v>6.3543560275353198E-2</v>
      </c>
      <c r="W386">
        <f>H386/K386</f>
        <v>1.0462057567828122</v>
      </c>
      <c r="X386">
        <f>(H386-I386)/K386</f>
        <v>0.98602120919983471</v>
      </c>
      <c r="Y386">
        <f>(H386-K386)/G386</f>
        <v>1.2164812358675837E-3</v>
      </c>
      <c r="Z386" t="e">
        <f>J386/N386</f>
        <v>#DIV/0!</v>
      </c>
      <c r="AA386">
        <f>J386/G386</f>
        <v>0.16593320744494977</v>
      </c>
      <c r="AB386">
        <f>C386/G386</f>
        <v>6.1155678325014722E-2</v>
      </c>
      <c r="AC386">
        <f>C386/(G386-K386)</f>
        <v>6.2809288752048734E-2</v>
      </c>
      <c r="AD386">
        <f>Q386/E386</f>
        <v>0.4694235324635343</v>
      </c>
      <c r="AE386">
        <f>Q386/J386</f>
        <v>0.14993531070437127</v>
      </c>
      <c r="AF386">
        <f>Q386/G386</f>
        <v>2.4879247014431439E-2</v>
      </c>
      <c r="AG386">
        <f>Q386/K386</f>
        <v>0.94499150713859437</v>
      </c>
      <c r="AH386" t="e">
        <f>Q386/L386</f>
        <v>#DIV/0!</v>
      </c>
      <c r="AI386" s="1">
        <f>R386</f>
        <v>25</v>
      </c>
      <c r="AJ386" s="1">
        <f>P386</f>
        <v>3370660</v>
      </c>
    </row>
    <row r="387" spans="1:36" s="2" customFormat="1" x14ac:dyDescent="0.25">
      <c r="A387" s="2" t="s">
        <v>62</v>
      </c>
      <c r="B387" s="2">
        <v>2018</v>
      </c>
      <c r="C387" s="3">
        <v>655918</v>
      </c>
      <c r="D387" s="3">
        <v>596860</v>
      </c>
      <c r="E387" s="3">
        <v>100037</v>
      </c>
      <c r="F387" s="3"/>
      <c r="G387" s="3">
        <v>2080513</v>
      </c>
      <c r="H387" s="3">
        <v>1742161</v>
      </c>
      <c r="I387" s="3">
        <v>0</v>
      </c>
      <c r="J387" s="3">
        <f>1599565+K387</f>
        <v>1616021</v>
      </c>
      <c r="K387" s="3">
        <v>16456</v>
      </c>
      <c r="L387" s="3">
        <v>693000</v>
      </c>
      <c r="M387" s="3">
        <v>0</v>
      </c>
      <c r="N387" s="3">
        <v>464490</v>
      </c>
      <c r="O387" s="3">
        <v>464490</v>
      </c>
      <c r="P387" s="3">
        <v>131290</v>
      </c>
      <c r="Q387" s="3">
        <v>-211018</v>
      </c>
      <c r="R387" s="3">
        <v>3.6</v>
      </c>
      <c r="T387" s="2">
        <f>E387/G387</f>
        <v>4.8082852642593439E-2</v>
      </c>
      <c r="U387" s="2">
        <f>D387/C387</f>
        <v>0.90996130613887716</v>
      </c>
      <c r="V387" s="2">
        <f>(E387-F387)/O387</f>
        <v>0.215369545092467</v>
      </c>
      <c r="W387" s="2">
        <f>H387/K387</f>
        <v>105.86782936315022</v>
      </c>
      <c r="X387" s="2">
        <f>(H387-I387)/K387</f>
        <v>105.86782936315022</v>
      </c>
      <c r="Y387" s="2">
        <f>(H387-K387)/G387</f>
        <v>0.82946129151800541</v>
      </c>
      <c r="Z387" s="2">
        <f>J387/N387</f>
        <v>3.4791297982733753</v>
      </c>
      <c r="AA387" s="2">
        <f>J387/G387</f>
        <v>0.77674160171073192</v>
      </c>
      <c r="AB387" s="2">
        <f>C387/G387</f>
        <v>0.31526743644476146</v>
      </c>
      <c r="AC387" s="2">
        <f>C387/(G387-K387)</f>
        <v>0.3177809527546962</v>
      </c>
      <c r="AD387" s="2">
        <f>Q387/E387</f>
        <v>-2.1093995221767945</v>
      </c>
      <c r="AE387" s="2">
        <f>Q387/J387</f>
        <v>-0.13057874866725122</v>
      </c>
      <c r="AF387" s="2">
        <f>Q387/G387</f>
        <v>-0.10142594638918383</v>
      </c>
      <c r="AG387" s="2">
        <f>Q387/K387</f>
        <v>-12.823164803111327</v>
      </c>
      <c r="AH387" s="2">
        <f>Q387/L387</f>
        <v>-0.30449927849927849</v>
      </c>
      <c r="AI387" s="3">
        <f>R387</f>
        <v>3.6</v>
      </c>
      <c r="AJ387" s="3">
        <f>P387</f>
        <v>131290</v>
      </c>
    </row>
    <row r="388" spans="1:36" x14ac:dyDescent="0.25">
      <c r="A388" t="s">
        <v>62</v>
      </c>
      <c r="B388">
        <v>2019</v>
      </c>
      <c r="C388" s="1">
        <v>769651</v>
      </c>
      <c r="D388" s="1">
        <v>393965</v>
      </c>
      <c r="E388" s="1">
        <v>113554</v>
      </c>
      <c r="G388" s="1">
        <v>3040773</v>
      </c>
      <c r="H388" s="1">
        <v>2281332</v>
      </c>
      <c r="I388" s="1">
        <v>0</v>
      </c>
      <c r="J388" s="1">
        <v>2466703</v>
      </c>
      <c r="K388" s="1">
        <v>1984352</v>
      </c>
      <c r="L388" s="1">
        <f>774981+M388</f>
        <v>1237139</v>
      </c>
      <c r="M388" s="1">
        <v>462158</v>
      </c>
      <c r="N388" s="1">
        <v>574069</v>
      </c>
      <c r="O388" s="1">
        <v>574069</v>
      </c>
      <c r="P388" s="1">
        <v>240869</v>
      </c>
      <c r="Q388" s="1">
        <v>89361</v>
      </c>
      <c r="R388" s="1">
        <v>2.7</v>
      </c>
      <c r="T388">
        <f>E388/G388</f>
        <v>3.7343793831371166E-2</v>
      </c>
      <c r="U388">
        <f>D388/C388</f>
        <v>0.51187486276247285</v>
      </c>
      <c r="V388">
        <f>(E388-F388)/O388</f>
        <v>0.19780549028078506</v>
      </c>
      <c r="W388">
        <f>H388/K388</f>
        <v>1.1496609472512942</v>
      </c>
      <c r="X388">
        <f>(H388-I388)/K388</f>
        <v>1.1496609472512942</v>
      </c>
      <c r="Y388">
        <f>(H388-K388)/G388</f>
        <v>9.7665955334383728E-2</v>
      </c>
      <c r="Z388">
        <f>J388/N388</f>
        <v>4.2968754627057022</v>
      </c>
      <c r="AA388">
        <f>J388/G388</f>
        <v>0.81120918924234064</v>
      </c>
      <c r="AB388">
        <f>C388/G388</f>
        <v>0.25311031109523796</v>
      </c>
      <c r="AC388">
        <f>C388/(G388-K388)</f>
        <v>0.72854572182870281</v>
      </c>
      <c r="AD388">
        <f>Q388/E388</f>
        <v>0.7869471793155679</v>
      </c>
      <c r="AE388">
        <f>Q388/J388</f>
        <v>3.6226898820003871E-2</v>
      </c>
      <c r="AF388">
        <f>Q388/G388</f>
        <v>2.9387593220539646E-2</v>
      </c>
      <c r="AG388">
        <f>Q388/K388</f>
        <v>4.5032836916031029E-2</v>
      </c>
      <c r="AH388">
        <f>Q388/L388</f>
        <v>7.2231980399938889E-2</v>
      </c>
      <c r="AI388" s="1">
        <f>R388</f>
        <v>2.7</v>
      </c>
      <c r="AJ388" s="1">
        <f>P388</f>
        <v>240869</v>
      </c>
    </row>
    <row r="389" spans="1:36" x14ac:dyDescent="0.25">
      <c r="A389" t="s">
        <v>62</v>
      </c>
      <c r="B389">
        <v>2020</v>
      </c>
      <c r="C389" s="1">
        <v>692627</v>
      </c>
      <c r="D389" s="1">
        <v>192229</v>
      </c>
      <c r="E389" s="1">
        <v>-62497</v>
      </c>
      <c r="G389" s="1">
        <v>2228342</v>
      </c>
      <c r="H389" s="1">
        <v>1126518</v>
      </c>
      <c r="I389" s="1">
        <v>0</v>
      </c>
      <c r="J389" s="1">
        <v>1778894</v>
      </c>
      <c r="K389" s="1">
        <v>811672</v>
      </c>
      <c r="L389" s="1">
        <f>676806+M389</f>
        <v>1573028</v>
      </c>
      <c r="M389" s="1">
        <v>896222</v>
      </c>
      <c r="N389" s="1">
        <v>449448</v>
      </c>
      <c r="O389" s="1">
        <v>449448</v>
      </c>
      <c r="P389" s="1">
        <v>116248</v>
      </c>
      <c r="Q389" s="1">
        <v>993212</v>
      </c>
      <c r="R389" s="1">
        <v>2.2999999999999998</v>
      </c>
      <c r="T389">
        <f>E389/G389</f>
        <v>-2.8046412983285331E-2</v>
      </c>
      <c r="U389">
        <f>D389/C389</f>
        <v>0.2775361052918815</v>
      </c>
      <c r="V389">
        <f>(E389-F389)/O389</f>
        <v>-0.13905279364909845</v>
      </c>
      <c r="W389">
        <f>H389/K389</f>
        <v>1.3878980671995584</v>
      </c>
      <c r="X389">
        <f>(H389-I389)/K389</f>
        <v>1.3878980671995584</v>
      </c>
      <c r="Y389">
        <f>(H389-K389)/G389</f>
        <v>0.14129159707082664</v>
      </c>
      <c r="Z389">
        <f>J389/N389</f>
        <v>3.9579528666275077</v>
      </c>
      <c r="AA389">
        <f>J389/G389</f>
        <v>0.79830385102466317</v>
      </c>
      <c r="AB389">
        <f>C389/G389</f>
        <v>0.31082616582194295</v>
      </c>
      <c r="AC389">
        <f>C389/(G389-K389)</f>
        <v>0.48891202608935036</v>
      </c>
      <c r="AD389">
        <f>Q389/E389</f>
        <v>-15.892154823431525</v>
      </c>
      <c r="AE389">
        <f>Q389/J389</f>
        <v>0.55833118780545665</v>
      </c>
      <c r="AF389">
        <f>Q389/G389</f>
        <v>0.4457179373722705</v>
      </c>
      <c r="AG389">
        <f>Q389/K389</f>
        <v>1.2236617747070244</v>
      </c>
      <c r="AH389">
        <f>Q389/L389</f>
        <v>0.63140134822774929</v>
      </c>
      <c r="AI389" s="1">
        <f>R389</f>
        <v>2.2999999999999998</v>
      </c>
      <c r="AJ389" s="1">
        <f>P389</f>
        <v>116248</v>
      </c>
    </row>
    <row r="390" spans="1:36" x14ac:dyDescent="0.25">
      <c r="A390" t="s">
        <v>62</v>
      </c>
      <c r="B390">
        <v>2021</v>
      </c>
      <c r="C390" s="1">
        <v>693594</v>
      </c>
      <c r="D390" s="1">
        <v>172920</v>
      </c>
      <c r="E390" s="1">
        <v>1000</v>
      </c>
      <c r="G390" s="1">
        <v>2547206</v>
      </c>
      <c r="H390" s="1">
        <v>1485639</v>
      </c>
      <c r="I390" s="1">
        <v>0</v>
      </c>
      <c r="J390" s="1">
        <v>2116182</v>
      </c>
      <c r="K390" s="1">
        <v>1414535</v>
      </c>
      <c r="L390" s="1">
        <f>813525+M390</f>
        <v>1456773</v>
      </c>
      <c r="M390" s="1">
        <v>643248</v>
      </c>
      <c r="N390" s="1">
        <v>431024</v>
      </c>
      <c r="O390" s="1">
        <v>431024</v>
      </c>
      <c r="P390" s="1">
        <v>97824</v>
      </c>
      <c r="Q390" s="1">
        <v>351660</v>
      </c>
      <c r="R390" s="1">
        <v>3.1</v>
      </c>
      <c r="T390">
        <f>E390/G390</f>
        <v>3.9258701494892834E-4</v>
      </c>
      <c r="U390">
        <f>D390/C390</f>
        <v>0.24931011513940432</v>
      </c>
      <c r="V390">
        <f>(E390-F390)/O390</f>
        <v>2.3200564237722261E-3</v>
      </c>
      <c r="W390">
        <f>H390/K390</f>
        <v>1.050266695415808</v>
      </c>
      <c r="X390">
        <f>(H390-I390)/K390</f>
        <v>1.050266695415808</v>
      </c>
      <c r="Y390">
        <f>(H390-K390)/G390</f>
        <v>2.7914507110928601E-2</v>
      </c>
      <c r="Z390">
        <f>J390/N390</f>
        <v>4.909661642971157</v>
      </c>
      <c r="AA390">
        <f>J390/G390</f>
        <v>0.83078557446865309</v>
      </c>
      <c r="AB390">
        <f>C390/G390</f>
        <v>0.27229599804648702</v>
      </c>
      <c r="AC390">
        <f>C390/(G390-K390)</f>
        <v>0.61235257192953652</v>
      </c>
      <c r="AD390">
        <f>Q390/E390</f>
        <v>351.66</v>
      </c>
      <c r="AE390">
        <f>Q390/J390</f>
        <v>0.16617663320073603</v>
      </c>
      <c r="AF390">
        <f>Q390/G390</f>
        <v>0.13805714967694013</v>
      </c>
      <c r="AG390">
        <f>Q390/K390</f>
        <v>0.24860466513730661</v>
      </c>
      <c r="AH390">
        <f>Q390/L390</f>
        <v>0.24139656624607952</v>
      </c>
      <c r="AI390" s="1">
        <f>R390</f>
        <v>3.1</v>
      </c>
      <c r="AJ390" s="1">
        <f>P390</f>
        <v>97824</v>
      </c>
    </row>
    <row r="391" spans="1:36" x14ac:dyDescent="0.25">
      <c r="A391" t="s">
        <v>62</v>
      </c>
      <c r="B391">
        <v>2022</v>
      </c>
      <c r="C391" s="1">
        <v>867316</v>
      </c>
      <c r="D391" s="1">
        <v>179100</v>
      </c>
      <c r="E391" s="1">
        <v>19096</v>
      </c>
      <c r="G391" s="1">
        <v>2908855</v>
      </c>
      <c r="H391" s="1">
        <v>1654711</v>
      </c>
      <c r="I391" s="1">
        <v>0</v>
      </c>
      <c r="J391" s="1">
        <v>2398505</v>
      </c>
      <c r="K391" s="1">
        <v>1335566</v>
      </c>
      <c r="L391" s="1">
        <f>556658+M391</f>
        <v>1534172</v>
      </c>
      <c r="M391" s="1">
        <v>977514</v>
      </c>
      <c r="N391" s="1">
        <v>510350</v>
      </c>
      <c r="O391" s="1">
        <v>510350</v>
      </c>
      <c r="P391" s="1">
        <v>47391</v>
      </c>
      <c r="Q391" s="1">
        <v>219771</v>
      </c>
      <c r="R391" s="1">
        <v>3.2</v>
      </c>
      <c r="T391">
        <f>E391/G391</f>
        <v>6.5647823628197351E-3</v>
      </c>
      <c r="U391">
        <f>D391/C391</f>
        <v>0.20649913065134276</v>
      </c>
      <c r="V391">
        <f>(E391-F391)/O391</f>
        <v>3.7417458606838441E-2</v>
      </c>
      <c r="W391">
        <f>H391/K391</f>
        <v>1.2389586138011899</v>
      </c>
      <c r="X391">
        <f>(H391-I391)/K391</f>
        <v>1.2389586138011899</v>
      </c>
      <c r="Y391">
        <f>(H391-K391)/G391</f>
        <v>0.10971499095004736</v>
      </c>
      <c r="Z391">
        <f>J391/N391</f>
        <v>4.6997256784559616</v>
      </c>
      <c r="AA391">
        <f>J391/G391</f>
        <v>0.82455295984158716</v>
      </c>
      <c r="AB391">
        <f>C391/G391</f>
        <v>0.29816405424127362</v>
      </c>
      <c r="AC391">
        <f>C391/(G391-K391)</f>
        <v>0.55127570331960629</v>
      </c>
      <c r="AD391">
        <f>Q391/E391</f>
        <v>11.508745286971093</v>
      </c>
      <c r="AE391">
        <f>Q391/J391</f>
        <v>9.1628326811909924E-2</v>
      </c>
      <c r="AF391">
        <f>Q391/G391</f>
        <v>7.5552408078092589E-2</v>
      </c>
      <c r="AG391">
        <f>Q391/K391</f>
        <v>0.16455270649297751</v>
      </c>
      <c r="AH391">
        <f>Q391/L391</f>
        <v>0.14325056121477905</v>
      </c>
      <c r="AI391" s="1">
        <f>R391</f>
        <v>3.2</v>
      </c>
      <c r="AJ391" s="1">
        <f>P391</f>
        <v>47391</v>
      </c>
    </row>
    <row r="392" spans="1:36" x14ac:dyDescent="0.25">
      <c r="A392" t="s">
        <v>62</v>
      </c>
      <c r="B392">
        <v>2023</v>
      </c>
      <c r="C392" s="1">
        <v>1711453</v>
      </c>
      <c r="D392" s="1">
        <v>551362</v>
      </c>
      <c r="E392" s="1">
        <v>184345</v>
      </c>
      <c r="G392" s="1">
        <v>3360063</v>
      </c>
      <c r="H392" s="1">
        <v>2230175</v>
      </c>
      <c r="I392" s="1">
        <v>0</v>
      </c>
      <c r="J392" s="1">
        <v>2739949</v>
      </c>
      <c r="K392" s="1">
        <v>1775426</v>
      </c>
      <c r="L392" s="1">
        <f>749419+M392</f>
        <v>1630136</v>
      </c>
      <c r="M392" s="1">
        <v>880717</v>
      </c>
      <c r="N392" s="1">
        <v>620113</v>
      </c>
      <c r="O392" s="1">
        <v>620113</v>
      </c>
      <c r="P392" s="1">
        <v>167398</v>
      </c>
      <c r="Q392" s="1">
        <v>35023</v>
      </c>
      <c r="R392" s="1">
        <v>4.0999999999999996</v>
      </c>
      <c r="T392">
        <f>E392/G392</f>
        <v>5.4863554641683805E-2</v>
      </c>
      <c r="U392">
        <f>D392/C392</f>
        <v>0.32216017617778575</v>
      </c>
      <c r="V392">
        <f>(E392-F392)/O392</f>
        <v>0.2972764641283121</v>
      </c>
      <c r="W392">
        <f>H392/K392</f>
        <v>1.2561351472829621</v>
      </c>
      <c r="X392">
        <f>(H392-I392)/K392</f>
        <v>1.2561351472829621</v>
      </c>
      <c r="Y392">
        <f>(H392-K392)/G392</f>
        <v>0.1353394266714642</v>
      </c>
      <c r="Z392">
        <f>J392/N392</f>
        <v>4.4184672793506987</v>
      </c>
      <c r="AA392">
        <f>J392/G392</f>
        <v>0.81544572229746881</v>
      </c>
      <c r="AB392">
        <f>C392/G392</f>
        <v>0.50935146156485755</v>
      </c>
      <c r="AC392">
        <f>C392/(G392-K392)</f>
        <v>1.0800284229132602</v>
      </c>
      <c r="AD392">
        <f>Q392/E392</f>
        <v>0.18998616724077139</v>
      </c>
      <c r="AE392">
        <f>Q392/J392</f>
        <v>1.2782354708062084E-2</v>
      </c>
      <c r="AF392">
        <f>Q392/G392</f>
        <v>1.0423316467578138E-2</v>
      </c>
      <c r="AG392">
        <f>Q392/K392</f>
        <v>1.9726533237656767E-2</v>
      </c>
      <c r="AH392">
        <f>Q392/L392</f>
        <v>2.1484710478144153E-2</v>
      </c>
      <c r="AI392" s="1">
        <f>R392</f>
        <v>4.0999999999999996</v>
      </c>
      <c r="AJ392" s="1">
        <f>P392</f>
        <v>167398</v>
      </c>
    </row>
    <row r="393" spans="1:36" x14ac:dyDescent="0.25">
      <c r="A393" s="15" t="s">
        <v>62</v>
      </c>
      <c r="B393" s="15">
        <v>2024</v>
      </c>
      <c r="C393" s="6">
        <v>1648655</v>
      </c>
      <c r="D393" s="6">
        <v>435422</v>
      </c>
      <c r="E393" s="6">
        <v>69775</v>
      </c>
      <c r="F393" s="6"/>
      <c r="G393" s="6">
        <v>3634009</v>
      </c>
      <c r="H393" s="6">
        <v>2388498</v>
      </c>
      <c r="I393" s="6">
        <v>1317</v>
      </c>
      <c r="J393" s="6">
        <v>2979722</v>
      </c>
      <c r="K393" s="6">
        <v>2030060</v>
      </c>
      <c r="L393" s="6">
        <f>924451+M393</f>
        <v>1720667</v>
      </c>
      <c r="M393" s="6">
        <v>796216</v>
      </c>
      <c r="N393" s="6">
        <v>654286</v>
      </c>
      <c r="O393" s="6">
        <v>654286</v>
      </c>
      <c r="P393" s="6">
        <v>110360</v>
      </c>
      <c r="Q393" s="6">
        <v>411350</v>
      </c>
      <c r="R393" s="6">
        <v>5</v>
      </c>
      <c r="S393" s="15"/>
      <c r="T393" s="15">
        <f>E393/G393</f>
        <v>1.9200557841216135E-2</v>
      </c>
      <c r="U393" s="15">
        <f>D393/C393</f>
        <v>0.26410740876653999</v>
      </c>
      <c r="V393" s="15">
        <f>(E393-F393)/O393</f>
        <v>0.10664296653145566</v>
      </c>
      <c r="W393" s="15">
        <f>H393/K393</f>
        <v>1.1765652246731624</v>
      </c>
      <c r="X393" s="15">
        <f>(H393-I393)/K393</f>
        <v>1.1759164753751121</v>
      </c>
      <c r="Y393" s="15">
        <f>(H393-K393)/G393</f>
        <v>9.8634318186883965E-2</v>
      </c>
      <c r="Z393" s="15">
        <f>J393/N393</f>
        <v>4.5541582732933303</v>
      </c>
      <c r="AA393" s="15">
        <f>J393/G393</f>
        <v>0.8199544910318054</v>
      </c>
      <c r="AB393" s="15">
        <f>C393/G393</f>
        <v>0.4536738901857425</v>
      </c>
      <c r="AC393" s="15">
        <f>C393/(G393-K393)</f>
        <v>1.0278724572913478</v>
      </c>
      <c r="AD393" s="15">
        <f>Q393/E393</f>
        <v>5.8953780007165895</v>
      </c>
      <c r="AE393" s="15">
        <f>Q393/J393</f>
        <v>0.13804979122213415</v>
      </c>
      <c r="AF393" s="15">
        <f>Q393/G393</f>
        <v>0.11319454629859199</v>
      </c>
      <c r="AG393" s="15">
        <f>Q393/K393</f>
        <v>0.2026294789316572</v>
      </c>
      <c r="AH393" s="15">
        <f>Q393/L393</f>
        <v>0.23906426984419413</v>
      </c>
      <c r="AI393" s="6">
        <f>R393</f>
        <v>5</v>
      </c>
      <c r="AJ393" s="6">
        <f>P393</f>
        <v>110360</v>
      </c>
    </row>
    <row r="394" spans="1:36" s="2" customFormat="1" x14ac:dyDescent="0.25">
      <c r="A394" s="2" t="s">
        <v>63</v>
      </c>
      <c r="B394" s="2">
        <v>2018</v>
      </c>
      <c r="C394" s="3">
        <v>145298290</v>
      </c>
      <c r="D394" s="3">
        <v>25903965</v>
      </c>
      <c r="E394" s="3">
        <v>17004348</v>
      </c>
      <c r="F394" s="3"/>
      <c r="G394" s="3">
        <v>28208794</v>
      </c>
      <c r="H394" s="3">
        <v>24728923</v>
      </c>
      <c r="I394" s="3">
        <v>2334119</v>
      </c>
      <c r="J394" s="3">
        <v>22849384</v>
      </c>
      <c r="K394" s="3">
        <v>22287179</v>
      </c>
      <c r="L394" s="3">
        <f>M394</f>
        <v>0</v>
      </c>
      <c r="M394" s="3">
        <v>0</v>
      </c>
      <c r="N394" s="3">
        <v>5359410</v>
      </c>
      <c r="O394" s="3">
        <v>5359410</v>
      </c>
      <c r="P394" s="3">
        <v>3486172</v>
      </c>
      <c r="Q394" s="3">
        <v>19350956</v>
      </c>
      <c r="R394" s="3">
        <v>1415</v>
      </c>
      <c r="T394" s="2">
        <f>E394/G394</f>
        <v>0.60280308332217247</v>
      </c>
      <c r="U394" s="2">
        <f>D394/C394</f>
        <v>0.17828127915338851</v>
      </c>
      <c r="V394" s="2">
        <f>(E394-F394)/O394</f>
        <v>3.1728022300962233</v>
      </c>
      <c r="W394" s="2">
        <f>H394/K394</f>
        <v>1.1095582352526536</v>
      </c>
      <c r="X394" s="2">
        <f>(H394-I394)/K394</f>
        <v>1.0048290095395205</v>
      </c>
      <c r="Y394" s="2">
        <f>(H394-K394)/G394</f>
        <v>8.6559673554282401E-2</v>
      </c>
      <c r="Z394" s="2">
        <f>J394/N394</f>
        <v>4.2634140698323133</v>
      </c>
      <c r="AA394" s="2">
        <f>J394/G394</f>
        <v>0.81000924747084191</v>
      </c>
      <c r="AB394" s="2">
        <f>C394/G394</f>
        <v>5.1508153804802861</v>
      </c>
      <c r="AC394" s="2">
        <f>C394/(G394-K394)</f>
        <v>24.536936291873079</v>
      </c>
      <c r="AD394" s="2">
        <f>Q394/E394</f>
        <v>1.1380004690565024</v>
      </c>
      <c r="AE394" s="2">
        <f>Q394/J394</f>
        <v>0.84689180242233231</v>
      </c>
      <c r="AF394" s="2">
        <f>Q394/G394</f>
        <v>0.68599019156933827</v>
      </c>
      <c r="AG394" s="2">
        <f>Q394/K394</f>
        <v>0.86825506269770614</v>
      </c>
      <c r="AH394" s="2" t="e">
        <f>Q394/L394</f>
        <v>#DIV/0!</v>
      </c>
      <c r="AI394" s="3">
        <f>R394</f>
        <v>1415</v>
      </c>
      <c r="AJ394" s="3">
        <f>P394</f>
        <v>3486172</v>
      </c>
    </row>
    <row r="395" spans="1:36" x14ac:dyDescent="0.25">
      <c r="A395" t="s">
        <v>63</v>
      </c>
      <c r="B395">
        <v>2019</v>
      </c>
      <c r="C395" s="1">
        <v>141341887</v>
      </c>
      <c r="D395" s="1">
        <v>27057468</v>
      </c>
      <c r="E395" s="1">
        <v>17258945</v>
      </c>
      <c r="G395" s="1">
        <v>26668139</v>
      </c>
      <c r="H395" s="1">
        <v>22373935</v>
      </c>
      <c r="I395" s="1">
        <v>2729449</v>
      </c>
      <c r="J395" s="1">
        <v>22045275</v>
      </c>
      <c r="K395" s="1">
        <v>21328866</v>
      </c>
      <c r="L395" s="1">
        <f>M395</f>
        <v>0</v>
      </c>
      <c r="M395" s="1">
        <v>0</v>
      </c>
      <c r="N395" s="1">
        <v>4622864</v>
      </c>
      <c r="O395" s="1">
        <v>4622864</v>
      </c>
      <c r="P395" s="1">
        <v>2749626</v>
      </c>
      <c r="Q395" s="1">
        <v>15611140</v>
      </c>
      <c r="R395" s="1">
        <v>1100.3</v>
      </c>
      <c r="T395">
        <f>E395/G395</f>
        <v>0.64717470536657995</v>
      </c>
      <c r="U395">
        <f>D395/C395</f>
        <v>0.19143276331099215</v>
      </c>
      <c r="V395">
        <f>(E395-F395)/O395</f>
        <v>3.7333880036271885</v>
      </c>
      <c r="W395">
        <f>H395/K395</f>
        <v>1.0489978698351801</v>
      </c>
      <c r="X395">
        <f>(H395-I395)/K395</f>
        <v>0.92102815030109897</v>
      </c>
      <c r="Y395">
        <f>(H395-K395)/G395</f>
        <v>3.9187923836755165E-2</v>
      </c>
      <c r="Z395">
        <f>J395/N395</f>
        <v>4.7687483343658821</v>
      </c>
      <c r="AA395">
        <f>J395/G395</f>
        <v>0.82665217096701049</v>
      </c>
      <c r="AB395">
        <f>C395/G395</f>
        <v>5.3000281346966132</v>
      </c>
      <c r="AC395">
        <f>C395/(G395-K395)</f>
        <v>26.472122140973124</v>
      </c>
      <c r="AD395">
        <f>Q395/E395</f>
        <v>0.90452458131131419</v>
      </c>
      <c r="AE395">
        <f>Q395/J395</f>
        <v>0.70813995289239984</v>
      </c>
      <c r="AF395">
        <f>Q395/G395</f>
        <v>0.58538542940697891</v>
      </c>
      <c r="AG395">
        <f>Q395/K395</f>
        <v>0.73192545726528546</v>
      </c>
      <c r="AH395" t="e">
        <f>Q395/L395</f>
        <v>#DIV/0!</v>
      </c>
      <c r="AI395" s="1">
        <f>R395</f>
        <v>1100.3</v>
      </c>
      <c r="AJ395" s="1">
        <f>P395</f>
        <v>2749626</v>
      </c>
    </row>
    <row r="396" spans="1:36" x14ac:dyDescent="0.25">
      <c r="A396" t="s">
        <v>63</v>
      </c>
      <c r="B396">
        <v>2020</v>
      </c>
      <c r="C396" s="1">
        <v>132148810</v>
      </c>
      <c r="D396" s="1">
        <v>24670575</v>
      </c>
      <c r="E396" s="1">
        <v>15578094</v>
      </c>
      <c r="G396" s="1">
        <v>21721433</v>
      </c>
      <c r="H396" s="1">
        <v>16744513</v>
      </c>
      <c r="I396" s="1">
        <v>3732192</v>
      </c>
      <c r="J396" s="1">
        <v>17119044</v>
      </c>
      <c r="K396" s="1">
        <v>16638759</v>
      </c>
      <c r="L396" s="1">
        <f>M396</f>
        <v>0</v>
      </c>
      <c r="M396" s="1">
        <v>0</v>
      </c>
      <c r="N396" s="1">
        <v>4602389</v>
      </c>
      <c r="O396" s="1">
        <v>4602389</v>
      </c>
      <c r="P396" s="1">
        <v>2729151</v>
      </c>
      <c r="Q396" s="1">
        <v>9943967</v>
      </c>
      <c r="R396" s="1">
        <v>1028.9000000000001</v>
      </c>
      <c r="T396">
        <f>E396/G396</f>
        <v>0.71717616420610919</v>
      </c>
      <c r="U396">
        <f>D396/C396</f>
        <v>0.18668783320863805</v>
      </c>
      <c r="V396">
        <f>(E396-F396)/O396</f>
        <v>3.384784293548416</v>
      </c>
      <c r="W396">
        <f>H396/K396</f>
        <v>1.0063558826712977</v>
      </c>
      <c r="X396">
        <f>(H396-I396)/K396</f>
        <v>0.78204876938237999</v>
      </c>
      <c r="Y396">
        <f>(H396-K396)/G396</f>
        <v>4.86864747827641E-3</v>
      </c>
      <c r="Z396">
        <f>J396/N396</f>
        <v>3.7195995384136369</v>
      </c>
      <c r="AA396">
        <f>J396/G396</f>
        <v>0.78811761636536593</v>
      </c>
      <c r="AB396">
        <f>C396/G396</f>
        <v>6.0837979704193552</v>
      </c>
      <c r="AC396">
        <f>C396/(G396-K396)</f>
        <v>25.999859522763018</v>
      </c>
      <c r="AD396">
        <f>Q396/E396</f>
        <v>0.63833014488165241</v>
      </c>
      <c r="AE396">
        <f>Q396/J396</f>
        <v>0.58087163044852275</v>
      </c>
      <c r="AF396">
        <f>Q396/G396</f>
        <v>0.45779516480335342</v>
      </c>
      <c r="AG396">
        <f>Q396/K396</f>
        <v>0.597638742168211</v>
      </c>
      <c r="AH396" t="e">
        <f>Q396/L396</f>
        <v>#DIV/0!</v>
      </c>
      <c r="AI396" s="1">
        <f>R396</f>
        <v>1028.9000000000001</v>
      </c>
      <c r="AJ396" s="1">
        <f>P396</f>
        <v>2729151</v>
      </c>
    </row>
    <row r="397" spans="1:36" x14ac:dyDescent="0.25">
      <c r="A397" t="s">
        <v>63</v>
      </c>
      <c r="B397">
        <v>2021</v>
      </c>
      <c r="C397" s="1">
        <v>134368528</v>
      </c>
      <c r="D397" s="1">
        <v>26127612</v>
      </c>
      <c r="E397" s="1">
        <v>16146485</v>
      </c>
      <c r="G397" s="1">
        <v>26467842</v>
      </c>
      <c r="H397" s="1">
        <v>20613823</v>
      </c>
      <c r="I397" s="1">
        <v>4611987</v>
      </c>
      <c r="J397" s="1">
        <v>17480721</v>
      </c>
      <c r="K397" s="1">
        <v>17003366</v>
      </c>
      <c r="L397" s="1">
        <f>M397</f>
        <v>0</v>
      </c>
      <c r="M397" s="1">
        <v>0</v>
      </c>
      <c r="N397" s="1">
        <v>8987120</v>
      </c>
      <c r="O397" s="1">
        <v>8987120</v>
      </c>
      <c r="P397" s="1">
        <v>7113882</v>
      </c>
      <c r="Q397" s="1">
        <v>8022857</v>
      </c>
      <c r="R397" s="1">
        <v>878</v>
      </c>
      <c r="T397">
        <f>E397/G397</f>
        <v>0.61004161200599583</v>
      </c>
      <c r="U397">
        <f>D397/C397</f>
        <v>0.19444740810139707</v>
      </c>
      <c r="V397">
        <f>(E397-F397)/O397</f>
        <v>1.7966250589732862</v>
      </c>
      <c r="W397">
        <f>H397/K397</f>
        <v>1.2123377806488433</v>
      </c>
      <c r="X397">
        <f>(H397-I397)/K397</f>
        <v>0.94109813315787005</v>
      </c>
      <c r="Y397">
        <f>(H397-K397)/G397</f>
        <v>0.13640919422142539</v>
      </c>
      <c r="Z397">
        <f>J397/N397</f>
        <v>1.9450859674734509</v>
      </c>
      <c r="AA397">
        <f>J397/G397</f>
        <v>0.66045131295554804</v>
      </c>
      <c r="AB397">
        <f>C397/G397</f>
        <v>5.0766710788133009</v>
      </c>
      <c r="AC397">
        <f>C397/(G397-K397)</f>
        <v>14.197143930630707</v>
      </c>
      <c r="AD397">
        <f>Q397/E397</f>
        <v>0.49687947562580959</v>
      </c>
      <c r="AE397">
        <f>Q397/J397</f>
        <v>0.4589545820221031</v>
      </c>
      <c r="AF397">
        <f>Q397/G397</f>
        <v>0.30311715628346275</v>
      </c>
      <c r="AG397">
        <f>Q397/K397</f>
        <v>0.47183934051646009</v>
      </c>
      <c r="AH397" t="e">
        <f>Q397/L397</f>
        <v>#DIV/0!</v>
      </c>
      <c r="AI397" s="1">
        <f>R397</f>
        <v>878</v>
      </c>
      <c r="AJ397" s="1">
        <f>P397</f>
        <v>7113882</v>
      </c>
    </row>
    <row r="398" spans="1:36" x14ac:dyDescent="0.25">
      <c r="A398" t="s">
        <v>63</v>
      </c>
      <c r="B398">
        <v>2022</v>
      </c>
      <c r="C398" s="1">
        <v>167194283</v>
      </c>
      <c r="D398" s="1">
        <v>33196441</v>
      </c>
      <c r="E398" s="1">
        <v>20468708</v>
      </c>
      <c r="G398" s="1">
        <v>41561095</v>
      </c>
      <c r="H398" s="1">
        <v>35670197</v>
      </c>
      <c r="I398" s="1">
        <v>6302690</v>
      </c>
      <c r="J398" s="1">
        <v>24067902</v>
      </c>
      <c r="K398" s="1">
        <v>23268165</v>
      </c>
      <c r="L398" s="1">
        <f>M398</f>
        <v>367485</v>
      </c>
      <c r="M398" s="1">
        <v>367485</v>
      </c>
      <c r="N398" s="1">
        <v>17493193</v>
      </c>
      <c r="O398" s="1">
        <v>17493193</v>
      </c>
      <c r="P398" s="1">
        <v>15619955</v>
      </c>
      <c r="Q398" s="1">
        <v>21414009</v>
      </c>
      <c r="R398" s="1">
        <v>625</v>
      </c>
      <c r="T398">
        <f>E398/G398</f>
        <v>0.49249684109622233</v>
      </c>
      <c r="U398">
        <f>D398/C398</f>
        <v>0.19855009635706264</v>
      </c>
      <c r="V398">
        <f>(E398-F398)/O398</f>
        <v>1.1700955908964132</v>
      </c>
      <c r="W398">
        <f>H398/K398</f>
        <v>1.5330043000812483</v>
      </c>
      <c r="X398">
        <f>(H398-I398)/K398</f>
        <v>1.2621324887458896</v>
      </c>
      <c r="Y398">
        <f>(H398-K398)/G398</f>
        <v>0.29840484231707565</v>
      </c>
      <c r="Z398">
        <f>J398/N398</f>
        <v>1.37584384966198</v>
      </c>
      <c r="AA398">
        <f>J398/G398</f>
        <v>0.57909691744166025</v>
      </c>
      <c r="AB398">
        <f>C398/G398</f>
        <v>4.0228555816443237</v>
      </c>
      <c r="AC398">
        <f>C398/(G398-K398)</f>
        <v>9.1398306886868319</v>
      </c>
      <c r="AD398">
        <f>Q398/E398</f>
        <v>1.0461827390375591</v>
      </c>
      <c r="AE398">
        <f>Q398/J398</f>
        <v>0.88973309763352038</v>
      </c>
      <c r="AF398">
        <f>Q398/G398</f>
        <v>0.51524169418539145</v>
      </c>
      <c r="AG398">
        <f>Q398/K398</f>
        <v>0.92031361304168158</v>
      </c>
      <c r="AH398">
        <f>Q398/L398</f>
        <v>58.271790685334096</v>
      </c>
      <c r="AI398" s="1">
        <f>R398</f>
        <v>625</v>
      </c>
      <c r="AJ398" s="1">
        <f>P398</f>
        <v>15619955</v>
      </c>
    </row>
    <row r="399" spans="1:36" x14ac:dyDescent="0.25">
      <c r="A399" t="s">
        <v>63</v>
      </c>
      <c r="B399">
        <v>2023</v>
      </c>
      <c r="C399" s="1">
        <v>200019382</v>
      </c>
      <c r="D399" s="1">
        <v>44551998</v>
      </c>
      <c r="E399" s="1">
        <v>27655562</v>
      </c>
      <c r="G399" s="1">
        <v>42945346</v>
      </c>
      <c r="H399" s="1">
        <v>36752363</v>
      </c>
      <c r="I399" s="1">
        <v>6611404</v>
      </c>
      <c r="J399" s="1">
        <v>31180842</v>
      </c>
      <c r="K399" s="1">
        <v>30250927</v>
      </c>
      <c r="L399" s="1">
        <f>M399</f>
        <v>323755</v>
      </c>
      <c r="M399" s="1">
        <v>323755</v>
      </c>
      <c r="N399" s="1">
        <v>11764504</v>
      </c>
      <c r="O399" s="1">
        <v>11764504</v>
      </c>
      <c r="P399" s="1">
        <v>9891266</v>
      </c>
      <c r="Q399" s="1">
        <v>37079262</v>
      </c>
      <c r="R399" s="1">
        <v>953.75</v>
      </c>
      <c r="T399">
        <f>E399/G399</f>
        <v>0.64397110690411019</v>
      </c>
      <c r="U399">
        <f>D399/C399</f>
        <v>0.22273840442122753</v>
      </c>
      <c r="V399">
        <f>(E399-F399)/O399</f>
        <v>2.3507631090949519</v>
      </c>
      <c r="W399">
        <f>H399/K399</f>
        <v>1.2149169180832045</v>
      </c>
      <c r="X399">
        <f>(H399-I399)/K399</f>
        <v>0.99636480561405605</v>
      </c>
      <c r="Y399">
        <f>(H399-K399)/G399</f>
        <v>0.15138860448347535</v>
      </c>
      <c r="Z399">
        <f>J399/N399</f>
        <v>2.6504170511565976</v>
      </c>
      <c r="AA399">
        <f>J399/G399</f>
        <v>0.72605869795530342</v>
      </c>
      <c r="AB399">
        <f>C399/G399</f>
        <v>4.6575333681093172</v>
      </c>
      <c r="AC399">
        <f>C399/(G399-K399)</f>
        <v>15.756481805114515</v>
      </c>
      <c r="AD399">
        <f>Q399/E399</f>
        <v>1.3407524316446724</v>
      </c>
      <c r="AE399">
        <f>Q399/J399</f>
        <v>1.1891680795534643</v>
      </c>
      <c r="AF399">
        <f>Q399/G399</f>
        <v>0.86340582749059702</v>
      </c>
      <c r="AG399">
        <f>Q399/K399</f>
        <v>1.2257231654421699</v>
      </c>
      <c r="AH399">
        <f>Q399/L399</f>
        <v>114.52877021204306</v>
      </c>
      <c r="AI399" s="1">
        <f>R399</f>
        <v>953.75</v>
      </c>
      <c r="AJ399" s="1">
        <f>P399</f>
        <v>9891266</v>
      </c>
    </row>
    <row r="400" spans="1:36" x14ac:dyDescent="0.25">
      <c r="A400" s="15" t="s">
        <v>63</v>
      </c>
      <c r="B400" s="15">
        <v>2024</v>
      </c>
      <c r="C400" s="6">
        <v>204281333</v>
      </c>
      <c r="D400" s="6">
        <v>47676687</v>
      </c>
      <c r="E400" s="6">
        <v>29642857</v>
      </c>
      <c r="F400" s="6"/>
      <c r="G400" s="6">
        <v>45819208</v>
      </c>
      <c r="H400" s="6">
        <v>39022368</v>
      </c>
      <c r="I400" s="6">
        <v>6282535</v>
      </c>
      <c r="J400" s="6">
        <v>34682287</v>
      </c>
      <c r="K400" s="6">
        <v>33776623</v>
      </c>
      <c r="L400" s="6">
        <f>M400</f>
        <v>292995</v>
      </c>
      <c r="M400" s="6">
        <v>292995</v>
      </c>
      <c r="N400" s="6">
        <v>11136921</v>
      </c>
      <c r="O400" s="6">
        <v>11136921</v>
      </c>
      <c r="P400" s="6">
        <v>9263683</v>
      </c>
      <c r="Q400" s="6">
        <v>31407261</v>
      </c>
      <c r="R400" s="6">
        <v>1397.25</v>
      </c>
      <c r="S400" s="15"/>
      <c r="T400" s="15">
        <f>E400/G400</f>
        <v>0.6469526273784566</v>
      </c>
      <c r="U400" s="15">
        <f>D400/C400</f>
        <v>0.23338738934114944</v>
      </c>
      <c r="V400" s="15">
        <f>(E400-F400)/O400</f>
        <v>2.6616743532615521</v>
      </c>
      <c r="W400" s="15">
        <f>H400/K400</f>
        <v>1.1553069707412726</v>
      </c>
      <c r="X400" s="15">
        <f>(H400-I400)/K400</f>
        <v>0.96930450980845539</v>
      </c>
      <c r="Y400" s="15">
        <f>(H400-K400)/G400</f>
        <v>0.11448790210428779</v>
      </c>
      <c r="Z400" s="15">
        <f>J400/N400</f>
        <v>3.1141719511164712</v>
      </c>
      <c r="AA400" s="15">
        <f>J400/G400</f>
        <v>0.75693772358527023</v>
      </c>
      <c r="AB400" s="15">
        <f>C400/G400</f>
        <v>4.4584213022625798</v>
      </c>
      <c r="AC400" s="15">
        <f>C400/(G400-K400)</f>
        <v>16.963246097079654</v>
      </c>
      <c r="AD400" s="15">
        <f>Q400/E400</f>
        <v>1.0595220629374558</v>
      </c>
      <c r="AE400" s="15">
        <f>Q400/J400</f>
        <v>0.90557064475015736</v>
      </c>
      <c r="AF400" s="15">
        <f>Q400/G400</f>
        <v>0.68546058238282948</v>
      </c>
      <c r="AG400" s="15">
        <f>Q400/K400</f>
        <v>0.9298520162894911</v>
      </c>
      <c r="AH400" s="15">
        <f>Q400/L400</f>
        <v>107.19384631137051</v>
      </c>
      <c r="AI400" s="6">
        <f>R400</f>
        <v>1397.25</v>
      </c>
      <c r="AJ400" s="6">
        <f>P400</f>
        <v>9263683</v>
      </c>
    </row>
    <row r="401" spans="1:36" s="2" customFormat="1" x14ac:dyDescent="0.25">
      <c r="A401" s="2" t="s">
        <v>77</v>
      </c>
      <c r="B401" s="2">
        <v>2018</v>
      </c>
      <c r="C401" s="3">
        <v>9204616</v>
      </c>
      <c r="D401" s="3">
        <f>1280774-164705+34418</f>
        <v>1150487</v>
      </c>
      <c r="E401" s="3">
        <v>1192933</v>
      </c>
      <c r="F401" s="3"/>
      <c r="G401" s="3">
        <v>11619493</v>
      </c>
      <c r="H401" s="3">
        <v>7058767</v>
      </c>
      <c r="I401" s="3">
        <v>1194625</v>
      </c>
      <c r="J401" s="3">
        <f>441835+K401</f>
        <v>1293700</v>
      </c>
      <c r="K401" s="3">
        <v>851865</v>
      </c>
      <c r="L401" s="3">
        <v>0</v>
      </c>
      <c r="M401" s="3">
        <v>0</v>
      </c>
      <c r="N401" s="3">
        <v>10325793</v>
      </c>
      <c r="O401" s="3">
        <v>10325793</v>
      </c>
      <c r="P401" s="3">
        <v>9419157</v>
      </c>
      <c r="Q401" s="3">
        <v>635508</v>
      </c>
      <c r="R401" s="3">
        <v>554.9</v>
      </c>
      <c r="T401" s="2">
        <f>E401/G401</f>
        <v>0.10266652770478023</v>
      </c>
      <c r="U401" s="2">
        <f>D401/C401</f>
        <v>0.12499022229716047</v>
      </c>
      <c r="V401" s="2">
        <f>(E401-F401)/O401</f>
        <v>0.1155294319767983</v>
      </c>
      <c r="W401" s="2">
        <f>H401/K401</f>
        <v>8.2862507556948586</v>
      </c>
      <c r="X401" s="2">
        <f>(H401-I401)/K401</f>
        <v>6.8838865313165822</v>
      </c>
      <c r="Y401" s="2">
        <f>(H401-K401)/G401</f>
        <v>0.53418010579291197</v>
      </c>
      <c r="Z401" s="2">
        <f>J401/N401</f>
        <v>0.12528819820424447</v>
      </c>
      <c r="AA401" s="2">
        <f>J401/G401</f>
        <v>0.11133876495299752</v>
      </c>
      <c r="AB401" s="2">
        <f>C401/G401</f>
        <v>0.79217019193522475</v>
      </c>
      <c r="AC401" s="2">
        <f>C401/(G401-K401)</f>
        <v>0.85484156770646236</v>
      </c>
      <c r="AD401" s="2">
        <f>Q401/E401</f>
        <v>0.53272731997522071</v>
      </c>
      <c r="AE401" s="2">
        <f>Q401/J401</f>
        <v>0.49123289788977353</v>
      </c>
      <c r="AF401" s="2">
        <f>Q401/G401</f>
        <v>5.4693264155329324E-2</v>
      </c>
      <c r="AG401" s="2">
        <f>Q401/K401</f>
        <v>0.74601961578419118</v>
      </c>
      <c r="AH401" s="2" t="e">
        <f>Q401/L401</f>
        <v>#DIV/0!</v>
      </c>
      <c r="AI401" s="3">
        <f>R401</f>
        <v>554.9</v>
      </c>
      <c r="AJ401" s="3">
        <f>P401</f>
        <v>9419157</v>
      </c>
    </row>
    <row r="402" spans="1:36" x14ac:dyDescent="0.25">
      <c r="A402" t="s">
        <v>77</v>
      </c>
      <c r="B402">
        <v>2019</v>
      </c>
      <c r="C402" s="1">
        <v>10713364</v>
      </c>
      <c r="D402" s="1">
        <f>1694451-95047+14454</f>
        <v>1613858</v>
      </c>
      <c r="E402" s="1">
        <v>1590728</v>
      </c>
      <c r="G402" s="1">
        <v>12805459</v>
      </c>
      <c r="H402" s="1">
        <v>8349143</v>
      </c>
      <c r="I402" s="1">
        <v>1074127</v>
      </c>
      <c r="J402" s="1">
        <v>1282980</v>
      </c>
      <c r="K402" s="1">
        <v>879072</v>
      </c>
      <c r="L402" s="1">
        <v>0</v>
      </c>
      <c r="M402" s="1">
        <v>0</v>
      </c>
      <c r="N402" s="1">
        <v>11522479</v>
      </c>
      <c r="O402" s="1">
        <v>11522479</v>
      </c>
      <c r="P402" s="1">
        <v>10607395</v>
      </c>
      <c r="Q402" s="1">
        <v>1608347</v>
      </c>
      <c r="R402" s="1">
        <v>619.9</v>
      </c>
      <c r="T402">
        <f>E402/G402</f>
        <v>0.12422264598246732</v>
      </c>
      <c r="U402">
        <f>D402/C402</f>
        <v>0.15063970569841556</v>
      </c>
      <c r="V402">
        <f>(E402-F402)/O402</f>
        <v>0.13805431973449464</v>
      </c>
      <c r="W402">
        <f>H402/K402</f>
        <v>9.4976782334097773</v>
      </c>
      <c r="X402">
        <f>(H402-I402)/K402</f>
        <v>8.275790833970369</v>
      </c>
      <c r="Y402">
        <f>(H402-K402)/G402</f>
        <v>0.58335050699861679</v>
      </c>
      <c r="Z402">
        <f>J402/N402</f>
        <v>0.11134583104903033</v>
      </c>
      <c r="AA402">
        <f>J402/G402</f>
        <v>0.10019008299507265</v>
      </c>
      <c r="AB402">
        <f>C402/G402</f>
        <v>0.83662475511420564</v>
      </c>
      <c r="AC402">
        <f>C402/(G402-K402)</f>
        <v>0.89829082353272627</v>
      </c>
      <c r="AD402">
        <f>Q402/E402</f>
        <v>1.0110760607721747</v>
      </c>
      <c r="AE402">
        <f>Q402/J402</f>
        <v>1.2536025503125536</v>
      </c>
      <c r="AF402">
        <f>Q402/G402</f>
        <v>0.12559854355864947</v>
      </c>
      <c r="AG402">
        <f>Q402/K402</f>
        <v>1.8295964380619563</v>
      </c>
      <c r="AH402" t="e">
        <f>Q402/L402</f>
        <v>#DIV/0!</v>
      </c>
      <c r="AI402" s="1">
        <f>R402</f>
        <v>619.9</v>
      </c>
      <c r="AJ402" s="1">
        <f>P402</f>
        <v>10607395</v>
      </c>
    </row>
    <row r="403" spans="1:36" x14ac:dyDescent="0.25">
      <c r="A403" t="s">
        <v>77</v>
      </c>
      <c r="B403">
        <v>2020</v>
      </c>
      <c r="C403" s="1">
        <v>11610062</v>
      </c>
      <c r="D403" s="1">
        <v>1988887</v>
      </c>
      <c r="E403" s="1">
        <v>1559247</v>
      </c>
      <c r="G403" s="1">
        <v>17305079</v>
      </c>
      <c r="H403" s="1">
        <v>11578754</v>
      </c>
      <c r="I403" s="1">
        <v>1351607</v>
      </c>
      <c r="J403" s="1">
        <v>4969026</v>
      </c>
      <c r="K403" s="1">
        <v>3397583</v>
      </c>
      <c r="L403" s="1">
        <v>1895000</v>
      </c>
      <c r="M403" s="1">
        <v>0</v>
      </c>
      <c r="N403" s="1">
        <v>12336053</v>
      </c>
      <c r="O403" s="1">
        <v>12336053</v>
      </c>
      <c r="P403" s="1">
        <v>11463554</v>
      </c>
      <c r="Q403" s="1">
        <v>1274567</v>
      </c>
      <c r="R403" s="1">
        <v>531</v>
      </c>
      <c r="T403">
        <f>E403/G403</f>
        <v>9.0103431483901347E-2</v>
      </c>
      <c r="U403">
        <f>D403/C403</f>
        <v>0.17130718164984821</v>
      </c>
      <c r="V403">
        <f>(E403-F403)/O403</f>
        <v>0.12639756006236355</v>
      </c>
      <c r="W403">
        <f>H403/K403</f>
        <v>3.4079385257107773</v>
      </c>
      <c r="X403">
        <f>(H403-I403)/K403</f>
        <v>3.0101242559784414</v>
      </c>
      <c r="Y403">
        <f>(H403-K403)/G403</f>
        <v>0.47276126274835267</v>
      </c>
      <c r="Z403">
        <f>J403/N403</f>
        <v>0.40280517601537541</v>
      </c>
      <c r="AA403">
        <f>J403/G403</f>
        <v>0.28714263598565487</v>
      </c>
      <c r="AB403">
        <f>C403/G403</f>
        <v>0.67090488289594052</v>
      </c>
      <c r="AC403">
        <f>C403/(G403-K403)</f>
        <v>0.8348060642979872</v>
      </c>
      <c r="AD403">
        <f>Q403/E403</f>
        <v>0.81742469281646846</v>
      </c>
      <c r="AE403">
        <f>Q403/J403</f>
        <v>0.256502380949506</v>
      </c>
      <c r="AF403">
        <f>Q403/G403</f>
        <v>7.3652769802437776E-2</v>
      </c>
      <c r="AG403">
        <f>Q403/K403</f>
        <v>0.37513932698627228</v>
      </c>
      <c r="AH403">
        <f>Q403/L403</f>
        <v>0.67259472295514511</v>
      </c>
      <c r="AI403" s="1">
        <f>R403</f>
        <v>531</v>
      </c>
      <c r="AJ403" s="1">
        <f>P403</f>
        <v>11463554</v>
      </c>
    </row>
    <row r="404" spans="1:36" x14ac:dyDescent="0.25">
      <c r="A404" t="s">
        <v>77</v>
      </c>
      <c r="B404">
        <v>2021</v>
      </c>
      <c r="C404" s="1">
        <v>9211987</v>
      </c>
      <c r="D404" s="1">
        <f>1914605-397793+197378</f>
        <v>1714190</v>
      </c>
      <c r="E404" s="1">
        <v>1749715</v>
      </c>
      <c r="G404" s="1">
        <v>16788752</v>
      </c>
      <c r="H404" s="1">
        <v>11142494</v>
      </c>
      <c r="I404" s="1">
        <v>1546975</v>
      </c>
      <c r="J404" s="1">
        <v>2913212</v>
      </c>
      <c r="K404" s="1">
        <v>1346737</v>
      </c>
      <c r="L404" s="1">
        <v>0</v>
      </c>
      <c r="M404" s="1">
        <v>0</v>
      </c>
      <c r="N404" s="1">
        <v>13875540</v>
      </c>
      <c r="O404" s="1">
        <v>13875540</v>
      </c>
      <c r="P404" s="1">
        <v>13087861</v>
      </c>
      <c r="Q404" s="1">
        <v>1785770</v>
      </c>
      <c r="R404" s="1">
        <v>636.75</v>
      </c>
      <c r="T404">
        <f>E404/G404</f>
        <v>0.1042194798040974</v>
      </c>
      <c r="U404">
        <f>D404/C404</f>
        <v>0.1860825465776276</v>
      </c>
      <c r="V404">
        <f>(E404-F404)/O404</f>
        <v>0.12610067788352741</v>
      </c>
      <c r="W404">
        <f>H404/K404</f>
        <v>8.2736970915627914</v>
      </c>
      <c r="X404">
        <f>(H404-I404)/K404</f>
        <v>7.1250132728216427</v>
      </c>
      <c r="Y404">
        <f>(H404-K404)/G404</f>
        <v>0.58347142181860812</v>
      </c>
      <c r="Z404">
        <f>J404/N404</f>
        <v>0.20995305407933673</v>
      </c>
      <c r="AA404">
        <f>J404/G404</f>
        <v>0.17352165306867359</v>
      </c>
      <c r="AB404">
        <f>C404/G404</f>
        <v>0.54869992718934679</v>
      </c>
      <c r="AC404">
        <f>C404/(G404-K404)</f>
        <v>0.59655342906997566</v>
      </c>
      <c r="AD404">
        <f>Q404/E404</f>
        <v>1.0206062130118334</v>
      </c>
      <c r="AE404">
        <f>Q404/J404</f>
        <v>0.61299006045560711</v>
      </c>
      <c r="AF404">
        <f>Q404/G404</f>
        <v>0.1063670486049231</v>
      </c>
      <c r="AG404">
        <f>Q404/K404</f>
        <v>1.3259975778492756</v>
      </c>
      <c r="AH404" t="e">
        <f>Q404/L404</f>
        <v>#DIV/0!</v>
      </c>
      <c r="AI404" s="1">
        <f>R404</f>
        <v>636.75</v>
      </c>
      <c r="AJ404" s="1">
        <f>P404</f>
        <v>13087861</v>
      </c>
    </row>
    <row r="405" spans="1:36" x14ac:dyDescent="0.25">
      <c r="A405" t="s">
        <v>77</v>
      </c>
      <c r="B405">
        <v>2022</v>
      </c>
      <c r="C405" s="1">
        <v>11435775</v>
      </c>
      <c r="D405" s="1">
        <f>5843993-517980+171505</f>
        <v>5497518</v>
      </c>
      <c r="E405" s="1">
        <v>5570600</v>
      </c>
      <c r="G405" s="1">
        <v>22923451</v>
      </c>
      <c r="H405" s="1">
        <v>17231977</v>
      </c>
      <c r="I405" s="1">
        <v>1919742</v>
      </c>
      <c r="J405" s="1">
        <v>4204542</v>
      </c>
      <c r="K405" s="1">
        <v>2552758</v>
      </c>
      <c r="L405" s="1">
        <v>0</v>
      </c>
      <c r="M405" s="1">
        <v>0</v>
      </c>
      <c r="N405" s="1">
        <v>18718909</v>
      </c>
      <c r="O405" s="1">
        <v>18718909</v>
      </c>
      <c r="P405" s="1">
        <v>18006733</v>
      </c>
      <c r="Q405" s="1">
        <v>1765097</v>
      </c>
      <c r="R405" s="1">
        <v>998</v>
      </c>
      <c r="T405">
        <f>E405/G405</f>
        <v>0.24300878606803139</v>
      </c>
      <c r="U405">
        <f>D405/C405</f>
        <v>0.48072981498849005</v>
      </c>
      <c r="V405">
        <f>(E405-F405)/O405</f>
        <v>0.29759212996868567</v>
      </c>
      <c r="W405">
        <f>H405/K405</f>
        <v>6.7503370863983188</v>
      </c>
      <c r="X405">
        <f>(H405-I405)/K405</f>
        <v>5.9983104548100528</v>
      </c>
      <c r="Y405">
        <f>(H405-K405)/G405</f>
        <v>0.64035816422230663</v>
      </c>
      <c r="Z405">
        <f>J405/N405</f>
        <v>0.22461469308921797</v>
      </c>
      <c r="AA405">
        <f>J405/G405</f>
        <v>0.18341662431193279</v>
      </c>
      <c r="AB405">
        <f>C405/G405</f>
        <v>0.4988679496817473</v>
      </c>
      <c r="AC405">
        <f>C405/(G405-K405)</f>
        <v>0.56138369961198664</v>
      </c>
      <c r="AD405">
        <f>Q405/E405</f>
        <v>0.31685940473198576</v>
      </c>
      <c r="AE405">
        <f>Q405/J405</f>
        <v>0.41980719897672564</v>
      </c>
      <c r="AF405">
        <f>Q405/G405</f>
        <v>7.6999619298158906E-2</v>
      </c>
      <c r="AG405">
        <f>Q405/K405</f>
        <v>0.69144705451907307</v>
      </c>
      <c r="AH405" t="e">
        <f>Q405/L405</f>
        <v>#DIV/0!</v>
      </c>
      <c r="AI405" s="1">
        <f>R405</f>
        <v>998</v>
      </c>
      <c r="AJ405" s="1">
        <f>P405</f>
        <v>18006733</v>
      </c>
    </row>
    <row r="406" spans="1:36" x14ac:dyDescent="0.25">
      <c r="A406" t="s">
        <v>77</v>
      </c>
      <c r="B406">
        <v>2023</v>
      </c>
      <c r="C406" s="1">
        <v>22313009</v>
      </c>
      <c r="D406" s="1">
        <f>5830639-995949+142779</f>
        <v>4977469</v>
      </c>
      <c r="E406" s="1">
        <v>5034354</v>
      </c>
      <c r="G406" s="1">
        <v>28021019</v>
      </c>
      <c r="H406" s="1">
        <v>21202987</v>
      </c>
      <c r="I406" s="1">
        <v>2780029</v>
      </c>
      <c r="J406" s="1">
        <v>5336928</v>
      </c>
      <c r="K406" s="1">
        <v>3904494</v>
      </c>
      <c r="L406" s="1">
        <v>0</v>
      </c>
      <c r="M406" s="1">
        <v>0</v>
      </c>
      <c r="N406" s="1">
        <v>22684091</v>
      </c>
      <c r="O406" s="1">
        <v>22684091</v>
      </c>
      <c r="P406" s="1">
        <v>22004594</v>
      </c>
      <c r="Q406" s="1">
        <v>3444189</v>
      </c>
      <c r="R406" s="1">
        <v>1020</v>
      </c>
      <c r="T406">
        <f>E406/G406</f>
        <v>0.1796634876126382</v>
      </c>
      <c r="U406">
        <f>D406/C406</f>
        <v>0.22307475428347651</v>
      </c>
      <c r="V406">
        <f>(E406-F406)/O406</f>
        <v>0.22193324828400662</v>
      </c>
      <c r="W406">
        <f>H406/K406</f>
        <v>5.4304058349174058</v>
      </c>
      <c r="X406">
        <f>(H406-I406)/K406</f>
        <v>4.7183983379152332</v>
      </c>
      <c r="Y406">
        <f>(H406-K406)/G406</f>
        <v>0.61733989759615804</v>
      </c>
      <c r="Z406">
        <f>J406/N406</f>
        <v>0.23527184756929426</v>
      </c>
      <c r="AA406">
        <f>J406/G406</f>
        <v>0.19046159598978182</v>
      </c>
      <c r="AB406">
        <f>C406/G406</f>
        <v>0.79629541666561088</v>
      </c>
      <c r="AC406">
        <f>C406/(G406-K406)</f>
        <v>0.92521658904008763</v>
      </c>
      <c r="AD406">
        <f>Q406/E406</f>
        <v>0.68413722992066117</v>
      </c>
      <c r="AE406">
        <f>Q406/J406</f>
        <v>0.64535047128235568</v>
      </c>
      <c r="AF406">
        <f>Q406/G406</f>
        <v>0.12291448073319532</v>
      </c>
      <c r="AG406">
        <f>Q406/K406</f>
        <v>0.88210892371713212</v>
      </c>
      <c r="AH406" t="e">
        <f>Q406/L406</f>
        <v>#DIV/0!</v>
      </c>
      <c r="AI406" s="1">
        <f>R406</f>
        <v>1020</v>
      </c>
      <c r="AJ406" s="1">
        <f>P406</f>
        <v>22004594</v>
      </c>
    </row>
    <row r="407" spans="1:36" s="8" customFormat="1" x14ac:dyDescent="0.25">
      <c r="A407" s="8" t="s">
        <v>77</v>
      </c>
      <c r="B407" s="8">
        <v>2024</v>
      </c>
      <c r="C407" s="9">
        <v>18497350</v>
      </c>
      <c r="D407" s="9">
        <f>1366895+185145- 802126</f>
        <v>749914</v>
      </c>
      <c r="E407" s="9">
        <v>762392</v>
      </c>
      <c r="F407" s="9"/>
      <c r="G407" s="9">
        <v>27024997</v>
      </c>
      <c r="H407" s="9">
        <v>19803536</v>
      </c>
      <c r="I407" s="9">
        <v>2754652</v>
      </c>
      <c r="J407" s="9">
        <v>4713865</v>
      </c>
      <c r="K407" s="9">
        <v>3111993</v>
      </c>
      <c r="L407" s="9">
        <v>0</v>
      </c>
      <c r="M407" s="9">
        <v>0</v>
      </c>
      <c r="N407" s="9">
        <v>22311132</v>
      </c>
      <c r="O407" s="9">
        <v>22311132</v>
      </c>
      <c r="P407" s="9">
        <v>21677003</v>
      </c>
      <c r="Q407" s="9">
        <v>-481076</v>
      </c>
      <c r="R407" s="9">
        <v>995.25</v>
      </c>
      <c r="T407" s="8">
        <f>E407/G407</f>
        <v>2.8210622928098752E-2</v>
      </c>
      <c r="U407" s="8">
        <f>D407/C407</f>
        <v>4.0541699216374238E-2</v>
      </c>
      <c r="V407" s="8">
        <f>(E407-F407)/O407</f>
        <v>3.4170924182600863E-2</v>
      </c>
      <c r="W407" s="8">
        <f>H407/K407</f>
        <v>6.3636184271622716</v>
      </c>
      <c r="X407" s="8">
        <f>(H407-I407)/K407</f>
        <v>5.4784454849352171</v>
      </c>
      <c r="Y407" s="8">
        <f>(H407-K407)/G407</f>
        <v>0.61763348206847168</v>
      </c>
      <c r="Z407" s="8">
        <f>J407/N407</f>
        <v>0.21127861195030356</v>
      </c>
      <c r="AA407" s="8">
        <f>J407/G407</f>
        <v>0.17442610631927175</v>
      </c>
      <c r="AB407" s="8">
        <f>C407/G407</f>
        <v>0.68445335997632117</v>
      </c>
      <c r="AC407" s="8">
        <f>C407/(G407-K407)</f>
        <v>0.77352682247700877</v>
      </c>
      <c r="AD407" s="8">
        <f>Q407/E407</f>
        <v>-0.63100871992360885</v>
      </c>
      <c r="AE407" s="8">
        <f>Q407/J407</f>
        <v>-0.10205553192550063</v>
      </c>
      <c r="AF407" s="8">
        <f>Q407/G407</f>
        <v>-1.7801149062107204E-2</v>
      </c>
      <c r="AG407" s="8">
        <f>Q407/K407</f>
        <v>-0.15458775132206273</v>
      </c>
      <c r="AH407" s="8" t="e">
        <f>Q407/L407</f>
        <v>#DIV/0!</v>
      </c>
      <c r="AI407" s="9">
        <f>R407</f>
        <v>995.25</v>
      </c>
      <c r="AJ407" s="9">
        <f>P407</f>
        <v>21677003</v>
      </c>
    </row>
    <row r="408" spans="1:36" x14ac:dyDescent="0.25">
      <c r="A408" t="s">
        <v>48</v>
      </c>
      <c r="B408">
        <v>2018</v>
      </c>
      <c r="C408" s="1">
        <v>92134483</v>
      </c>
      <c r="D408" s="1">
        <v>6802234</v>
      </c>
      <c r="E408" s="1">
        <v>3739465</v>
      </c>
      <c r="G408" s="1">
        <v>61736165</v>
      </c>
      <c r="H408" s="1">
        <v>18717656</v>
      </c>
      <c r="I408" s="1">
        <v>9549147</v>
      </c>
      <c r="J408" s="1">
        <f>5973075+K408</f>
        <v>36839063</v>
      </c>
      <c r="K408" s="1">
        <v>30865988</v>
      </c>
      <c r="L408" s="5">
        <f>14679832+M408</f>
        <v>14719710</v>
      </c>
      <c r="M408" s="1">
        <v>39878</v>
      </c>
      <c r="N408" s="1">
        <v>20657466</v>
      </c>
      <c r="O408" s="1">
        <v>24897102</v>
      </c>
      <c r="P408" s="1">
        <v>12277464</v>
      </c>
      <c r="Q408" s="1">
        <v>3899405</v>
      </c>
      <c r="R408" s="1">
        <v>175</v>
      </c>
      <c r="T408">
        <f>E408/G408</f>
        <v>6.0571708657316176E-2</v>
      </c>
      <c r="U408">
        <f>D408/C408</f>
        <v>7.3829404350160624E-2</v>
      </c>
      <c r="V408">
        <f>(E408-F408)/O408</f>
        <v>0.15019679800484409</v>
      </c>
      <c r="W408">
        <f>H408/K408</f>
        <v>0.60641687542935607</v>
      </c>
      <c r="X408">
        <f>(H408-I408)/K408</f>
        <v>0.29704245981045546</v>
      </c>
      <c r="Y408">
        <f>(H408-K408)/G408</f>
        <v>-0.19677820933645621</v>
      </c>
      <c r="Z408">
        <f>J408/N408</f>
        <v>1.7833292331208483</v>
      </c>
      <c r="AA408">
        <f>J408/G408</f>
        <v>0.59671770995169526</v>
      </c>
      <c r="AB408">
        <f>C408/G408</f>
        <v>1.4923907728962433</v>
      </c>
      <c r="AC408">
        <f>C408/(G408-K408)</f>
        <v>2.9845790323780781</v>
      </c>
      <c r="AD408">
        <f>Q408/E408</f>
        <v>1.0427708241686979</v>
      </c>
      <c r="AE408">
        <f>Q408/J408</f>
        <v>0.10584973347449146</v>
      </c>
      <c r="AF408">
        <f>Q408/G408</f>
        <v>6.3162410557895843E-2</v>
      </c>
      <c r="AG408">
        <f>Q408/K408</f>
        <v>0.1263333932482576</v>
      </c>
      <c r="AH408">
        <f>Q408/L408</f>
        <v>0.26491045000207203</v>
      </c>
      <c r="AI408" s="1">
        <f>R408</f>
        <v>175</v>
      </c>
      <c r="AJ408" s="1">
        <f>P408</f>
        <v>12277464</v>
      </c>
    </row>
    <row r="409" spans="1:36" x14ac:dyDescent="0.25">
      <c r="A409" t="s">
        <v>48</v>
      </c>
      <c r="B409">
        <v>2019</v>
      </c>
      <c r="C409" s="1">
        <v>95547360</v>
      </c>
      <c r="D409" s="1">
        <v>5233973</v>
      </c>
      <c r="E409" s="1">
        <v>2384237</v>
      </c>
      <c r="G409" s="1">
        <v>67338983</v>
      </c>
      <c r="H409" s="1">
        <v>21026746</v>
      </c>
      <c r="I409" s="1">
        <v>9766448</v>
      </c>
      <c r="J409" s="1">
        <f>6555370+K409</f>
        <v>41124884</v>
      </c>
      <c r="K409" s="1">
        <v>34569514</v>
      </c>
      <c r="L409" s="5">
        <f>16905869+M409</f>
        <v>16935443</v>
      </c>
      <c r="M409" s="1">
        <v>29574</v>
      </c>
      <c r="N409" s="1">
        <v>21448353</v>
      </c>
      <c r="O409" s="1">
        <v>26214099</v>
      </c>
      <c r="P409" s="1">
        <v>13138710</v>
      </c>
      <c r="Q409" s="1">
        <v>4717465</v>
      </c>
      <c r="R409" s="1">
        <v>162.9</v>
      </c>
      <c r="T409">
        <f>E409/G409</f>
        <v>3.5406489581228155E-2</v>
      </c>
      <c r="U409">
        <f>D409/C409</f>
        <v>5.4778834286996522E-2</v>
      </c>
      <c r="V409">
        <f>(E409-F409)/O409</f>
        <v>9.0952467982973587E-2</v>
      </c>
      <c r="W409">
        <f>H409/K409</f>
        <v>0.60824534588481627</v>
      </c>
      <c r="X409">
        <f>(H409-I409)/K409</f>
        <v>0.32572913810706161</v>
      </c>
      <c r="Y409">
        <f>(H409-K409)/G409</f>
        <v>-0.2011133432175535</v>
      </c>
      <c r="Z409">
        <f>J409/N409</f>
        <v>1.917391232790695</v>
      </c>
      <c r="AA409">
        <f>J409/G409</f>
        <v>0.61071436139746871</v>
      </c>
      <c r="AB409">
        <f>C409/G409</f>
        <v>1.4189011437847228</v>
      </c>
      <c r="AC409">
        <f>C409/(G409-K409)</f>
        <v>2.9157433097252814</v>
      </c>
      <c r="AD409">
        <f>Q409/E409</f>
        <v>1.9786057342453791</v>
      </c>
      <c r="AE409">
        <f>Q409/J409</f>
        <v>0.1147107186977111</v>
      </c>
      <c r="AF409">
        <f>Q409/G409</f>
        <v>7.0055483314917302E-2</v>
      </c>
      <c r="AG409">
        <f>Q409/K409</f>
        <v>0.136463156525718</v>
      </c>
      <c r="AH409">
        <f>Q409/L409</f>
        <v>0.27855574843834907</v>
      </c>
      <c r="AI409" s="1">
        <f>R409</f>
        <v>162.9</v>
      </c>
      <c r="AJ409" s="1">
        <f>P409</f>
        <v>13138710</v>
      </c>
    </row>
    <row r="410" spans="1:36" x14ac:dyDescent="0.25">
      <c r="A410" t="s">
        <v>48</v>
      </c>
      <c r="B410">
        <v>2020</v>
      </c>
      <c r="C410" s="1">
        <v>107817065</v>
      </c>
      <c r="D410" s="1">
        <v>7170944</v>
      </c>
      <c r="E410" s="1">
        <v>2721877</v>
      </c>
      <c r="G410" s="1">
        <v>80368907</v>
      </c>
      <c r="H410" s="1">
        <v>21196782</v>
      </c>
      <c r="I410" s="1">
        <v>10539243</v>
      </c>
      <c r="J410" s="1">
        <v>53861641</v>
      </c>
      <c r="K410" s="1">
        <v>40077347</v>
      </c>
      <c r="L410" s="5">
        <v>30060880</v>
      </c>
      <c r="M410" s="1">
        <v>10948688</v>
      </c>
      <c r="N410" s="1">
        <v>21189846</v>
      </c>
      <c r="O410" s="1">
        <v>26507266</v>
      </c>
      <c r="P410" s="1">
        <v>12899459</v>
      </c>
      <c r="Q410" s="1">
        <v>6655767</v>
      </c>
      <c r="R410" s="1">
        <v>160</v>
      </c>
      <c r="T410">
        <f>E410/G410</f>
        <v>3.3867289000209994E-2</v>
      </c>
      <c r="U410">
        <f>D410/C410</f>
        <v>6.6510287587591074E-2</v>
      </c>
      <c r="V410">
        <f>(E410-F410)/O410</f>
        <v>0.10268418478163685</v>
      </c>
      <c r="W410">
        <f>H410/K410</f>
        <v>0.52889683541178512</v>
      </c>
      <c r="X410">
        <f>(H410-I410)/K410</f>
        <v>0.26592426389900509</v>
      </c>
      <c r="Y410">
        <f>(H410-K410)/G410</f>
        <v>-0.23492374980289329</v>
      </c>
      <c r="Z410">
        <f>J410/N410</f>
        <v>2.5418608988474953</v>
      </c>
      <c r="AA410">
        <f>J410/G410</f>
        <v>0.67018008593796108</v>
      </c>
      <c r="AB410">
        <f>C410/G410</f>
        <v>1.3415270783762183</v>
      </c>
      <c r="AC410">
        <f>C410/(G410-K410)</f>
        <v>2.6759218307754775</v>
      </c>
      <c r="AD410">
        <f>Q410/E410</f>
        <v>2.4452857348072672</v>
      </c>
      <c r="AE410">
        <f>Q410/J410</f>
        <v>0.12357155995302854</v>
      </c>
      <c r="AF410">
        <f>Q410/G410</f>
        <v>8.2815198668808571E-2</v>
      </c>
      <c r="AG410">
        <f>Q410/K410</f>
        <v>0.16607304370720946</v>
      </c>
      <c r="AH410">
        <f>Q410/L410</f>
        <v>0.22140958614651335</v>
      </c>
      <c r="AI410" s="1">
        <f>R410</f>
        <v>160</v>
      </c>
      <c r="AJ410" s="1">
        <f>P410</f>
        <v>12899459</v>
      </c>
    </row>
    <row r="411" spans="1:36" x14ac:dyDescent="0.25">
      <c r="A411" t="s">
        <v>48</v>
      </c>
      <c r="B411">
        <v>2021</v>
      </c>
      <c r="C411" s="1">
        <v>112940971</v>
      </c>
      <c r="D411" s="1">
        <v>7179102</v>
      </c>
      <c r="E411" s="1">
        <v>3321269</v>
      </c>
      <c r="G411" s="1">
        <v>92154417</v>
      </c>
      <c r="H411" s="1">
        <v>22545215</v>
      </c>
      <c r="I411" s="1">
        <v>11779617</v>
      </c>
      <c r="J411" s="1">
        <v>60840705</v>
      </c>
      <c r="K411" s="1">
        <v>39581165</v>
      </c>
      <c r="L411" s="5">
        <v>37738776</v>
      </c>
      <c r="M411" s="1">
        <v>18369804</v>
      </c>
      <c r="N411" s="1">
        <v>23359195</v>
      </c>
      <c r="O411" s="1">
        <v>31313712</v>
      </c>
      <c r="P411" s="1">
        <v>13678172</v>
      </c>
      <c r="Q411" s="1">
        <v>7828800</v>
      </c>
      <c r="R411" s="1">
        <v>170</v>
      </c>
      <c r="T411">
        <f>E411/G411</f>
        <v>3.6040258385010453E-2</v>
      </c>
      <c r="U411">
        <f>D411/C411</f>
        <v>6.3565081267098367E-2</v>
      </c>
      <c r="V411">
        <f>(E411-F411)/O411</f>
        <v>0.10606436566830531</v>
      </c>
      <c r="W411">
        <f>H411/K411</f>
        <v>0.56959452810446587</v>
      </c>
      <c r="X411">
        <f>(H411-I411)/K411</f>
        <v>0.27198790131619421</v>
      </c>
      <c r="Y411">
        <f>(H411-K411)/G411</f>
        <v>-0.18486308692072784</v>
      </c>
      <c r="Z411">
        <f>J411/N411</f>
        <v>2.6045719897453656</v>
      </c>
      <c r="AA411">
        <f>J411/G411</f>
        <v>0.66020389451327111</v>
      </c>
      <c r="AB411">
        <f>C411/G411</f>
        <v>1.2255622104364243</v>
      </c>
      <c r="AC411">
        <f>C411/(G411-K411)</f>
        <v>2.1482591755975071</v>
      </c>
      <c r="AD411">
        <f>Q411/E411</f>
        <v>2.3571713101227272</v>
      </c>
      <c r="AE411">
        <f>Q411/J411</f>
        <v>0.1286770099064434</v>
      </c>
      <c r="AF411">
        <f>Q411/G411</f>
        <v>8.4953063074556703E-2</v>
      </c>
      <c r="AG411">
        <f>Q411/K411</f>
        <v>0.19779104531157685</v>
      </c>
      <c r="AH411">
        <f>Q411/L411</f>
        <v>0.20744710957239312</v>
      </c>
      <c r="AI411" s="1">
        <f>R411</f>
        <v>170</v>
      </c>
      <c r="AJ411" s="1">
        <f>P411</f>
        <v>13678172</v>
      </c>
    </row>
    <row r="412" spans="1:36" x14ac:dyDescent="0.25">
      <c r="A412" t="s">
        <v>48</v>
      </c>
      <c r="B412">
        <v>2022</v>
      </c>
      <c r="C412" s="1">
        <v>136872756</v>
      </c>
      <c r="D412" s="1">
        <v>8668900</v>
      </c>
      <c r="E412" s="1">
        <v>4170305</v>
      </c>
      <c r="G412" s="1">
        <v>104651515</v>
      </c>
      <c r="H412" s="1">
        <v>27214972</v>
      </c>
      <c r="I412" s="1">
        <v>14809637</v>
      </c>
      <c r="J412" s="1">
        <v>71308502</v>
      </c>
      <c r="K412" s="1">
        <v>41460075</v>
      </c>
      <c r="L412" s="5">
        <v>40861602</v>
      </c>
      <c r="M412" s="1">
        <v>27101528</v>
      </c>
      <c r="N412" s="1">
        <v>23787323</v>
      </c>
      <c r="O412" s="1">
        <v>33343013</v>
      </c>
      <c r="P412" s="1">
        <v>14161037</v>
      </c>
      <c r="Q412" s="1">
        <v>13862956</v>
      </c>
      <c r="R412" s="1">
        <v>151.5</v>
      </c>
      <c r="T412">
        <f>E412/G412</f>
        <v>3.984944699558339E-2</v>
      </c>
      <c r="U412">
        <f>D412/C412</f>
        <v>6.3335467578368915E-2</v>
      </c>
      <c r="V412">
        <f>(E412-F412)/O412</f>
        <v>0.12507283010086701</v>
      </c>
      <c r="W412">
        <f>H412/K412</f>
        <v>0.65641395969495953</v>
      </c>
      <c r="X412">
        <f>(H412-I412)/K412</f>
        <v>0.29921159091005023</v>
      </c>
      <c r="Y412">
        <f>(H412-K412)/G412</f>
        <v>-0.13611941499365776</v>
      </c>
      <c r="Z412">
        <f>J412/N412</f>
        <v>2.997752290158922</v>
      </c>
      <c r="AA412">
        <f>J412/G412</f>
        <v>0.68139005918834528</v>
      </c>
      <c r="AB412">
        <f>C412/G412</f>
        <v>1.3078908222207772</v>
      </c>
      <c r="AC412">
        <f>C412/(G412-K412)</f>
        <v>2.1660015343850372</v>
      </c>
      <c r="AD412">
        <f>Q412/E412</f>
        <v>3.3242067426722985</v>
      </c>
      <c r="AE412">
        <f>Q412/J412</f>
        <v>0.19440817870497407</v>
      </c>
      <c r="AF412">
        <f>Q412/G412</f>
        <v>0.13246780039448067</v>
      </c>
      <c r="AG412">
        <f>Q412/K412</f>
        <v>0.3343688114408862</v>
      </c>
      <c r="AH412">
        <f>Q412/L412</f>
        <v>0.33926609142735031</v>
      </c>
      <c r="AI412" s="1">
        <f>R412</f>
        <v>151.5</v>
      </c>
      <c r="AJ412" s="1">
        <f>P412</f>
        <v>14161037</v>
      </c>
    </row>
    <row r="413" spans="1:36" x14ac:dyDescent="0.25">
      <c r="A413" t="s">
        <v>48</v>
      </c>
      <c r="B413">
        <v>2023</v>
      </c>
      <c r="C413" s="1">
        <v>196265571</v>
      </c>
      <c r="D413" s="1">
        <v>13733919</v>
      </c>
      <c r="E413" s="1">
        <v>5109516</v>
      </c>
      <c r="G413" s="1">
        <v>127234563</v>
      </c>
      <c r="H413" s="1">
        <v>38366511</v>
      </c>
      <c r="I413" s="1">
        <v>22892606</v>
      </c>
      <c r="J413" s="1">
        <v>91871252</v>
      </c>
      <c r="K413" s="1">
        <v>60099099</v>
      </c>
      <c r="L413" s="5">
        <v>53729956</v>
      </c>
      <c r="M413" s="1">
        <v>27927579</v>
      </c>
      <c r="N413" s="1">
        <v>23113904</v>
      </c>
      <c r="O413" s="1">
        <v>35363311</v>
      </c>
      <c r="P413" s="1">
        <v>13667618</v>
      </c>
      <c r="Q413" s="1">
        <v>7543682</v>
      </c>
      <c r="R413" s="1">
        <v>180</v>
      </c>
      <c r="T413">
        <f>E413/G413</f>
        <v>4.0158239078480588E-2</v>
      </c>
      <c r="U413">
        <f>D413/C413</f>
        <v>6.997620076727569E-2</v>
      </c>
      <c r="V413">
        <f>(E413-F413)/O413</f>
        <v>0.14448635762641118</v>
      </c>
      <c r="W413">
        <f>H413/K413</f>
        <v>0.63838745735605784</v>
      </c>
      <c r="X413">
        <f>(H413-I413)/K413</f>
        <v>0.25747316112010266</v>
      </c>
      <c r="Y413">
        <f>(H413-K413)/G413</f>
        <v>-0.17080726720458811</v>
      </c>
      <c r="Z413">
        <f>J413/N413</f>
        <v>3.9747180744542332</v>
      </c>
      <c r="AA413">
        <f>J413/G413</f>
        <v>0.72206207050830995</v>
      </c>
      <c r="AB413">
        <f>C413/G413</f>
        <v>1.542549181388708</v>
      </c>
      <c r="AC413">
        <f>C413/(G413-K413)</f>
        <v>2.9234261492554814</v>
      </c>
      <c r="AD413">
        <f>Q413/E413</f>
        <v>1.4763985473379475</v>
      </c>
      <c r="AE413">
        <f>Q413/J413</f>
        <v>8.2111453101782042E-2</v>
      </c>
      <c r="AF413">
        <f>Q413/G413</f>
        <v>5.9289565839118728E-2</v>
      </c>
      <c r="AG413">
        <f>Q413/K413</f>
        <v>0.12552071704103251</v>
      </c>
      <c r="AH413">
        <f>Q413/L413</f>
        <v>0.14039992885905211</v>
      </c>
      <c r="AI413" s="1">
        <f>R413</f>
        <v>180</v>
      </c>
      <c r="AJ413" s="1">
        <f>P413</f>
        <v>13667618</v>
      </c>
    </row>
    <row r="414" spans="1:36" s="8" customFormat="1" x14ac:dyDescent="0.25">
      <c r="A414" s="8" t="s">
        <v>48</v>
      </c>
      <c r="B414" s="8">
        <v>2024</v>
      </c>
      <c r="C414" s="9">
        <v>224283040</v>
      </c>
      <c r="D414" s="9">
        <v>13384378</v>
      </c>
      <c r="E414" s="9">
        <v>6226137</v>
      </c>
      <c r="F414" s="9"/>
      <c r="G414" s="9">
        <v>143455510</v>
      </c>
      <c r="H414" s="9">
        <v>44760476</v>
      </c>
      <c r="I414" s="9">
        <v>23283570</v>
      </c>
      <c r="J414" s="9">
        <v>99569200</v>
      </c>
      <c r="K414" s="9">
        <v>68297188</v>
      </c>
      <c r="L414" s="10">
        <v>55346873</v>
      </c>
      <c r="M414" s="9">
        <v>25414298</v>
      </c>
      <c r="N414" s="9">
        <v>30154588</v>
      </c>
      <c r="O414" s="9">
        <v>43886310</v>
      </c>
      <c r="P414" s="9">
        <v>17060717</v>
      </c>
      <c r="Q414" s="9">
        <v>12883025</v>
      </c>
      <c r="R414" s="9">
        <v>261.75</v>
      </c>
      <c r="T414" s="8">
        <f>E414/G414</f>
        <v>4.3401170160699998E-2</v>
      </c>
      <c r="U414" s="8">
        <f>D414/C414</f>
        <v>5.9676282254779493E-2</v>
      </c>
      <c r="V414" s="8">
        <f>(E414-F414)/O414</f>
        <v>0.14186968555797924</v>
      </c>
      <c r="W414" s="8">
        <f>H414/K414</f>
        <v>0.65537802229866327</v>
      </c>
      <c r="X414" s="8">
        <f>(H414-I414)/K414</f>
        <v>0.31446252223444399</v>
      </c>
      <c r="Y414" s="8">
        <f>(H414-K414)/G414</f>
        <v>-0.1640697662989731</v>
      </c>
      <c r="Z414" s="8">
        <f>J414/N414</f>
        <v>3.301958560999076</v>
      </c>
      <c r="AA414" s="8">
        <f>J414/G414</f>
        <v>0.6940772090245958</v>
      </c>
      <c r="AB414" s="8">
        <f>C414/G414</f>
        <v>1.5634327325593838</v>
      </c>
      <c r="AC414" s="8">
        <f>C414/(G414-K414)</f>
        <v>2.9841411307719192</v>
      </c>
      <c r="AD414" s="8">
        <f>Q414/E414</f>
        <v>2.0691843112350403</v>
      </c>
      <c r="AE414" s="8">
        <f>Q414/J414</f>
        <v>0.12938765200483685</v>
      </c>
      <c r="AF414" s="8">
        <f>Q414/G414</f>
        <v>8.980502038576281E-2</v>
      </c>
      <c r="AG414" s="8">
        <f>Q414/K414</f>
        <v>0.18863185113858569</v>
      </c>
      <c r="AH414" s="8">
        <f>Q414/L414</f>
        <v>0.23276879617029131</v>
      </c>
      <c r="AI414" s="9">
        <f>R414</f>
        <v>261.75</v>
      </c>
      <c r="AJ414" s="9">
        <f>P414</f>
        <v>17060717</v>
      </c>
    </row>
    <row r="415" spans="1:36" x14ac:dyDescent="0.25">
      <c r="A415" t="s">
        <v>49</v>
      </c>
      <c r="B415">
        <v>2018</v>
      </c>
      <c r="C415" s="1">
        <v>565115</v>
      </c>
      <c r="D415" s="1">
        <v>550686</v>
      </c>
      <c r="E415" s="1">
        <v>410012</v>
      </c>
      <c r="G415" s="1">
        <v>4353969</v>
      </c>
      <c r="H415" s="1">
        <v>326668</v>
      </c>
      <c r="I415" s="1">
        <v>0</v>
      </c>
      <c r="J415" s="1">
        <f>679765+K415</f>
        <v>743920</v>
      </c>
      <c r="K415" s="1">
        <v>64155</v>
      </c>
      <c r="L415" s="1">
        <v>0</v>
      </c>
      <c r="M415" s="1">
        <v>0</v>
      </c>
      <c r="N415" s="1">
        <v>3610049</v>
      </c>
      <c r="O415" s="1">
        <v>3610049</v>
      </c>
      <c r="P415" s="1">
        <v>1616983</v>
      </c>
      <c r="Q415" s="1">
        <v>227838</v>
      </c>
      <c r="R415" s="1">
        <v>31.1</v>
      </c>
      <c r="T415">
        <f>E415/G415</f>
        <v>9.4169710441208934E-2</v>
      </c>
      <c r="U415">
        <f>D415/C415</f>
        <v>0.97446714385567534</v>
      </c>
      <c r="V415">
        <f>(E415-F415)/O415</f>
        <v>0.1135751896996412</v>
      </c>
      <c r="W415">
        <f>H415/K415</f>
        <v>5.0918556620684283</v>
      </c>
      <c r="X415">
        <f>(H415-I415)/K415</f>
        <v>5.0918556620684283</v>
      </c>
      <c r="Y415">
        <f>(H415-K415)/G415</f>
        <v>6.0292804105862949E-2</v>
      </c>
      <c r="Z415">
        <f>J415/N415</f>
        <v>0.2060692250991607</v>
      </c>
      <c r="AA415">
        <f>J415/G415</f>
        <v>0.17086019675381245</v>
      </c>
      <c r="AB415">
        <f>C415/G415</f>
        <v>0.12979306926622583</v>
      </c>
      <c r="AC415">
        <f>C415/(G415-K415)</f>
        <v>0.13173414977898809</v>
      </c>
      <c r="AD415">
        <f>Q415/E415</f>
        <v>0.55568617503877937</v>
      </c>
      <c r="AE415">
        <f>Q415/J415</f>
        <v>0.30626680288203034</v>
      </c>
      <c r="AF415">
        <f>Q415/G415</f>
        <v>5.2328806199584792E-2</v>
      </c>
      <c r="AG415">
        <f>Q415/K415</f>
        <v>3.5513677811550153</v>
      </c>
      <c r="AH415" t="e">
        <f>Q415/L415</f>
        <v>#DIV/0!</v>
      </c>
      <c r="AI415" s="1">
        <f>R415</f>
        <v>31.1</v>
      </c>
      <c r="AJ415" s="1">
        <f>P415</f>
        <v>1616983</v>
      </c>
    </row>
    <row r="416" spans="1:36" x14ac:dyDescent="0.25">
      <c r="A416" t="s">
        <v>49</v>
      </c>
      <c r="B416">
        <v>2019</v>
      </c>
      <c r="C416" s="1">
        <v>594634</v>
      </c>
      <c r="D416" s="1">
        <v>569772</v>
      </c>
      <c r="E416" s="1">
        <v>412228</v>
      </c>
      <c r="G416" s="1">
        <v>4740076</v>
      </c>
      <c r="H416" s="1">
        <v>490566</v>
      </c>
      <c r="I416" s="1">
        <v>0</v>
      </c>
      <c r="J416" s="1">
        <f>742160+K416</f>
        <v>794762</v>
      </c>
      <c r="K416" s="1">
        <v>52602</v>
      </c>
      <c r="L416" s="1">
        <v>0</v>
      </c>
      <c r="M416" s="1">
        <v>0</v>
      </c>
      <c r="N416" s="1">
        <v>3945314</v>
      </c>
      <c r="O416" s="1">
        <v>3945314</v>
      </c>
      <c r="P416" s="1">
        <v>1952248</v>
      </c>
      <c r="Q416" s="1">
        <v>285337</v>
      </c>
      <c r="R416" s="1">
        <v>28.4</v>
      </c>
      <c r="T416">
        <f>E416/G416</f>
        <v>8.6966538089262704E-2</v>
      </c>
      <c r="U416">
        <f>D416/C416</f>
        <v>0.95818940726564572</v>
      </c>
      <c r="V416">
        <f>(E416-F416)/O416</f>
        <v>0.10448547314611714</v>
      </c>
      <c r="W416">
        <f>H416/K416</f>
        <v>9.3259952093076315</v>
      </c>
      <c r="X416">
        <f>(H416-I416)/K416</f>
        <v>9.3259952093076315</v>
      </c>
      <c r="Y416">
        <f>(H416-K416)/G416</f>
        <v>9.2395986899788105E-2</v>
      </c>
      <c r="Z416">
        <f>J416/N416</f>
        <v>0.20144454915375556</v>
      </c>
      <c r="AA416">
        <f>J416/G416</f>
        <v>0.16766861965926286</v>
      </c>
      <c r="AB416">
        <f>C416/G416</f>
        <v>0.12544819956473272</v>
      </c>
      <c r="AC416">
        <f>C416/(G416-K416)</f>
        <v>0.12685595696104127</v>
      </c>
      <c r="AD416">
        <f>Q416/E416</f>
        <v>0.69218248153934225</v>
      </c>
      <c r="AE416">
        <f>Q416/J416</f>
        <v>0.35902194619269667</v>
      </c>
      <c r="AF416">
        <f>Q416/G416</f>
        <v>6.0196714145511594E-2</v>
      </c>
      <c r="AG416">
        <f>Q416/K416</f>
        <v>5.4244515417664729</v>
      </c>
      <c r="AH416" t="e">
        <f>Q416/L416</f>
        <v>#DIV/0!</v>
      </c>
      <c r="AI416" s="1">
        <f>R416</f>
        <v>28.4</v>
      </c>
      <c r="AJ416" s="1">
        <f>P416</f>
        <v>1952248</v>
      </c>
    </row>
    <row r="417" spans="1:36" x14ac:dyDescent="0.25">
      <c r="A417" t="s">
        <v>49</v>
      </c>
      <c r="B417">
        <v>2020</v>
      </c>
      <c r="C417" s="1">
        <v>559710</v>
      </c>
      <c r="D417" s="1">
        <v>315336</v>
      </c>
      <c r="E417" s="1">
        <v>187330</v>
      </c>
      <c r="G417" s="1">
        <v>4951397</v>
      </c>
      <c r="H417" s="1">
        <v>207782</v>
      </c>
      <c r="I417" s="1">
        <v>0</v>
      </c>
      <c r="J417" s="1">
        <v>1009712</v>
      </c>
      <c r="K417" s="1">
        <v>216590</v>
      </c>
      <c r="L417" s="1">
        <v>0</v>
      </c>
      <c r="M417" s="1">
        <v>0</v>
      </c>
      <c r="N417" s="1">
        <v>3941685</v>
      </c>
      <c r="O417" s="1">
        <v>3941685</v>
      </c>
      <c r="P417" s="1">
        <v>1952770</v>
      </c>
      <c r="Q417" s="1">
        <v>93879</v>
      </c>
      <c r="R417" s="1">
        <v>20.399999999999999</v>
      </c>
      <c r="T417">
        <f>E417/G417</f>
        <v>3.7833766914670747E-2</v>
      </c>
      <c r="U417">
        <f>D417/C417</f>
        <v>0.56339175644530204</v>
      </c>
      <c r="V417">
        <f>(E417-F417)/O417</f>
        <v>4.7525360347161177E-2</v>
      </c>
      <c r="W417">
        <f>H417/K417</f>
        <v>0.95933330255321114</v>
      </c>
      <c r="X417">
        <f>(H417-I417)/K417</f>
        <v>0.95933330255321114</v>
      </c>
      <c r="Y417">
        <f>(H417-K417)/G417</f>
        <v>-1.7788918965697964E-3</v>
      </c>
      <c r="Z417">
        <f>J417/N417</f>
        <v>0.25616252947660706</v>
      </c>
      <c r="AA417">
        <f>J417/G417</f>
        <v>0.20392467014864693</v>
      </c>
      <c r="AB417">
        <f>C417/G417</f>
        <v>0.11304082463999554</v>
      </c>
      <c r="AC417">
        <f>C417/(G417-K417)</f>
        <v>0.11821178772439933</v>
      </c>
      <c r="AD417">
        <f>Q417/E417</f>
        <v>0.50114236908130039</v>
      </c>
      <c r="AE417">
        <f>Q417/J417</f>
        <v>9.2976016923637633E-2</v>
      </c>
      <c r="AF417">
        <f>Q417/G417</f>
        <v>1.896010358288782E-2</v>
      </c>
      <c r="AG417">
        <f>Q417/K417</f>
        <v>0.43344106376102315</v>
      </c>
      <c r="AH417" t="e">
        <f>Q417/L417</f>
        <v>#DIV/0!</v>
      </c>
      <c r="AI417" s="1">
        <f>R417</f>
        <v>20.399999999999999</v>
      </c>
      <c r="AJ417" s="1">
        <f>P417</f>
        <v>1952770</v>
      </c>
    </row>
    <row r="418" spans="1:36" x14ac:dyDescent="0.25">
      <c r="A418" t="s">
        <v>49</v>
      </c>
      <c r="B418">
        <v>2021</v>
      </c>
      <c r="C418" s="1">
        <v>347468</v>
      </c>
      <c r="D418" s="1">
        <v>152001</v>
      </c>
      <c r="E418" s="1">
        <v>127738</v>
      </c>
      <c r="G418" s="1">
        <v>4962270</v>
      </c>
      <c r="H418" s="1">
        <v>206396</v>
      </c>
      <c r="I418" s="1">
        <v>0</v>
      </c>
      <c r="J418" s="1">
        <f>695535+K418</f>
        <v>958177</v>
      </c>
      <c r="K418" s="1">
        <v>262642</v>
      </c>
      <c r="L418" s="1">
        <f>167250+M418</f>
        <v>169062</v>
      </c>
      <c r="M418" s="1">
        <v>1812</v>
      </c>
      <c r="N418" s="1">
        <v>4004093</v>
      </c>
      <c r="O418" s="1">
        <v>4004093</v>
      </c>
      <c r="P418" s="1">
        <v>2018117</v>
      </c>
      <c r="Q418" s="1">
        <v>64322</v>
      </c>
      <c r="R418" s="1">
        <v>27</v>
      </c>
      <c r="T418">
        <f>E418/G418</f>
        <v>2.5741847984894012E-2</v>
      </c>
      <c r="U418">
        <f>D418/C418</f>
        <v>0.43745323310348005</v>
      </c>
      <c r="V418">
        <f>(E418-F418)/O418</f>
        <v>3.1901856425412697E-2</v>
      </c>
      <c r="W418">
        <f>H418/K418</f>
        <v>0.78584537126582954</v>
      </c>
      <c r="X418">
        <f>(H418-I418)/K418</f>
        <v>0.78584537126582954</v>
      </c>
      <c r="Y418">
        <f>(H418-K418)/G418</f>
        <v>-1.1334731886817929E-2</v>
      </c>
      <c r="Z418">
        <f>J418/N418</f>
        <v>0.23929938690235217</v>
      </c>
      <c r="AA418">
        <f>J418/G418</f>
        <v>0.19309247582255701</v>
      </c>
      <c r="AB418">
        <f>C418/G418</f>
        <v>7.0021985905643985E-2</v>
      </c>
      <c r="AC418">
        <f>C418/(G418-K418)</f>
        <v>7.3935213595629268E-2</v>
      </c>
      <c r="AD418">
        <f>Q418/E418</f>
        <v>0.50354632137656763</v>
      </c>
      <c r="AE418">
        <f>Q418/J418</f>
        <v>6.712955956989157E-2</v>
      </c>
      <c r="AF418">
        <f>Q418/G418</f>
        <v>1.2962212858228191E-2</v>
      </c>
      <c r="AG418">
        <f>Q418/K418</f>
        <v>0.24490370923157759</v>
      </c>
      <c r="AH418">
        <f>Q418/L418</f>
        <v>0.38046397179732877</v>
      </c>
      <c r="AI418" s="1">
        <f>R418</f>
        <v>27</v>
      </c>
      <c r="AJ418" s="1">
        <f>P418</f>
        <v>2018117</v>
      </c>
    </row>
    <row r="419" spans="1:36" x14ac:dyDescent="0.25">
      <c r="A419" t="s">
        <v>49</v>
      </c>
      <c r="B419">
        <v>2022</v>
      </c>
      <c r="C419" s="1">
        <v>146783</v>
      </c>
      <c r="D419" s="1">
        <v>72852</v>
      </c>
      <c r="E419" s="1">
        <v>-16964</v>
      </c>
      <c r="G419" s="1">
        <v>4978612</v>
      </c>
      <c r="H419" s="1">
        <v>159012</v>
      </c>
      <c r="I419" s="1">
        <v>0</v>
      </c>
      <c r="J419" s="1">
        <f>871374+K419</f>
        <v>984835</v>
      </c>
      <c r="K419" s="1">
        <v>113461</v>
      </c>
      <c r="L419" s="1">
        <f>46236+M419</f>
        <v>198110</v>
      </c>
      <c r="M419" s="1">
        <v>151874</v>
      </c>
      <c r="N419" s="1">
        <v>3993777</v>
      </c>
      <c r="O419" s="1">
        <v>3993777</v>
      </c>
      <c r="P419" s="1">
        <v>2011277</v>
      </c>
      <c r="Q419" s="1">
        <v>39866</v>
      </c>
      <c r="R419" s="1">
        <v>25.8</v>
      </c>
      <c r="T419">
        <f>E419/G419</f>
        <v>-3.4073753889638319E-3</v>
      </c>
      <c r="U419">
        <f>D419/C419</f>
        <v>0.49632450624391106</v>
      </c>
      <c r="V419">
        <f>(E419-F419)/O419</f>
        <v>-4.2476082164827934E-3</v>
      </c>
      <c r="W419">
        <f>H419/K419</f>
        <v>1.4014683459514723</v>
      </c>
      <c r="X419">
        <f>(H419-I419)/K419</f>
        <v>1.4014683459514723</v>
      </c>
      <c r="Y419">
        <f>(H419-K419)/G419</f>
        <v>9.149337204827369E-3</v>
      </c>
      <c r="Z419">
        <f>J419/N419</f>
        <v>0.24659238610468237</v>
      </c>
      <c r="AA419">
        <f>J419/G419</f>
        <v>0.19781316559715839</v>
      </c>
      <c r="AB419">
        <f>C419/G419</f>
        <v>2.9482715262808188E-2</v>
      </c>
      <c r="AC419">
        <f>C419/(G419-K419)</f>
        <v>3.0170286595421189E-2</v>
      </c>
      <c r="AD419">
        <f>Q419/E419</f>
        <v>-2.3500353690167413</v>
      </c>
      <c r="AE419">
        <f>Q419/J419</f>
        <v>4.0479877339858958E-2</v>
      </c>
      <c r="AF419">
        <f>Q419/G419</f>
        <v>8.0074526795821804E-3</v>
      </c>
      <c r="AG419">
        <f>Q419/K419</f>
        <v>0.35136302341773823</v>
      </c>
      <c r="AH419">
        <f>Q419/L419</f>
        <v>0.20123163898844076</v>
      </c>
      <c r="AI419" s="1">
        <f>R419</f>
        <v>25.8</v>
      </c>
      <c r="AJ419" s="1">
        <f>P419</f>
        <v>2011277</v>
      </c>
    </row>
    <row r="420" spans="1:36" x14ac:dyDescent="0.25">
      <c r="A420" t="s">
        <v>49</v>
      </c>
      <c r="B420">
        <v>2023</v>
      </c>
      <c r="C420" s="1">
        <v>349472</v>
      </c>
      <c r="D420" s="1">
        <v>245375</v>
      </c>
      <c r="E420" s="1">
        <v>-51582</v>
      </c>
      <c r="G420" s="1">
        <v>5120687</v>
      </c>
      <c r="H420" s="1">
        <v>144596</v>
      </c>
      <c r="I420" s="1">
        <v>8094</v>
      </c>
      <c r="J420" s="1">
        <v>1186365</v>
      </c>
      <c r="K420" s="1">
        <v>95795</v>
      </c>
      <c r="L420" s="1">
        <f>44424+M420</f>
        <v>151874</v>
      </c>
      <c r="M420" s="1">
        <v>107450</v>
      </c>
      <c r="N420" s="1">
        <v>3934323</v>
      </c>
      <c r="O420" s="1">
        <v>3934323</v>
      </c>
      <c r="P420" s="1">
        <v>1951823</v>
      </c>
      <c r="Q420" s="1">
        <v>15806</v>
      </c>
      <c r="R420" s="1">
        <v>27.1</v>
      </c>
      <c r="T420">
        <f>E420/G420</f>
        <v>-1.0073257748423209E-2</v>
      </c>
      <c r="U420">
        <f>D420/C420</f>
        <v>0.70213064279827853</v>
      </c>
      <c r="V420">
        <f>(E420-F420)/O420</f>
        <v>-1.3110768993801475E-2</v>
      </c>
      <c r="W420">
        <f>H420/K420</f>
        <v>1.5094315987264471</v>
      </c>
      <c r="X420">
        <f>(H420-I420)/K420</f>
        <v>1.4249386711206222</v>
      </c>
      <c r="Y420">
        <f>(H420-K420)/G420</f>
        <v>9.5301665577294612E-3</v>
      </c>
      <c r="Z420">
        <f>J420/N420</f>
        <v>0.3015423492173876</v>
      </c>
      <c r="AA420">
        <f>J420/G420</f>
        <v>0.23168082720150637</v>
      </c>
      <c r="AB420">
        <f>C420/G420</f>
        <v>6.8247092626438605E-2</v>
      </c>
      <c r="AC420">
        <f>C420/(G420-K420)</f>
        <v>6.9548161433121355E-2</v>
      </c>
      <c r="AD420">
        <f>Q420/E420</f>
        <v>-0.30642472180217906</v>
      </c>
      <c r="AE420">
        <f>Q420/J420</f>
        <v>1.3323049820249249E-2</v>
      </c>
      <c r="AF420">
        <f>Q420/G420</f>
        <v>3.0866952032022267E-3</v>
      </c>
      <c r="AG420">
        <f>Q420/K420</f>
        <v>0.16499817318231641</v>
      </c>
      <c r="AH420">
        <f>Q420/L420</f>
        <v>0.10407311323860569</v>
      </c>
      <c r="AI420" s="1">
        <f>R420</f>
        <v>27.1</v>
      </c>
      <c r="AJ420" s="1">
        <f>P420</f>
        <v>1951823</v>
      </c>
    </row>
    <row r="421" spans="1:36" s="8" customFormat="1" x14ac:dyDescent="0.25">
      <c r="A421" s="8" t="s">
        <v>49</v>
      </c>
      <c r="B421" s="8">
        <v>2024</v>
      </c>
      <c r="C421" s="9">
        <v>467672</v>
      </c>
      <c r="D421" s="9">
        <v>1065727</v>
      </c>
      <c r="E421" s="9">
        <v>728306</v>
      </c>
      <c r="F421" s="9"/>
      <c r="G421" s="9">
        <v>6170301</v>
      </c>
      <c r="H421" s="9">
        <v>151831</v>
      </c>
      <c r="I421" s="9">
        <v>4825</v>
      </c>
      <c r="J421" s="9">
        <v>1519620</v>
      </c>
      <c r="K421" s="9">
        <v>124482</v>
      </c>
      <c r="L421" s="9">
        <f>44424+M421</f>
        <v>107450</v>
      </c>
      <c r="M421" s="9">
        <v>63026</v>
      </c>
      <c r="N421" s="9">
        <v>4650680</v>
      </c>
      <c r="O421" s="9">
        <v>4650680</v>
      </c>
      <c r="P421" s="9">
        <v>2668180</v>
      </c>
      <c r="Q421" s="9">
        <v>22830</v>
      </c>
      <c r="R421" s="9">
        <v>25.8</v>
      </c>
      <c r="T421" s="8">
        <f>E421/G421</f>
        <v>0.11803411211219679</v>
      </c>
      <c r="U421" s="8">
        <f>D421/C421</f>
        <v>2.2787915462118749</v>
      </c>
      <c r="V421" s="8">
        <f>(E421-F421)/O421</f>
        <v>0.15660204529230135</v>
      </c>
      <c r="W421" s="8">
        <f>H421/K421</f>
        <v>1.2197024469401199</v>
      </c>
      <c r="X421" s="8">
        <f>(H421-I421)/K421</f>
        <v>1.1809418229141562</v>
      </c>
      <c r="Y421" s="8">
        <f>(H421-K421)/G421</f>
        <v>4.4323607551722353E-3</v>
      </c>
      <c r="Z421" s="8">
        <f>J421/N421</f>
        <v>0.32675221688011213</v>
      </c>
      <c r="AA421" s="8">
        <f>J421/G421</f>
        <v>0.24627971957932035</v>
      </c>
      <c r="AB421" s="8">
        <f>C421/G421</f>
        <v>7.5794033386701876E-2</v>
      </c>
      <c r="AC421" s="8">
        <f>C421/(G421-K421)</f>
        <v>7.7354614817281162E-2</v>
      </c>
      <c r="AD421" s="8">
        <f>Q421/E421</f>
        <v>3.1346714155863056E-2</v>
      </c>
      <c r="AE421" s="8">
        <f>Q421/J421</f>
        <v>1.5023492715284085E-2</v>
      </c>
      <c r="AF421" s="8">
        <f>Q421/G421</f>
        <v>3.6999815730221265E-3</v>
      </c>
      <c r="AG421" s="8">
        <f>Q421/K421</f>
        <v>0.18340000963994793</v>
      </c>
      <c r="AH421" s="8">
        <f>Q421/L421</f>
        <v>0.21247091670544438</v>
      </c>
      <c r="AI421" s="9">
        <f>R421</f>
        <v>25.8</v>
      </c>
      <c r="AJ421" s="9">
        <f>P421</f>
        <v>2668180</v>
      </c>
    </row>
    <row r="422" spans="1:36" x14ac:dyDescent="0.25">
      <c r="A422" t="s">
        <v>50</v>
      </c>
      <c r="B422">
        <v>2018</v>
      </c>
      <c r="C422" s="1">
        <v>9973563</v>
      </c>
      <c r="D422" s="1">
        <v>423926</v>
      </c>
      <c r="E422" s="1">
        <v>219816</v>
      </c>
      <c r="G422" s="1">
        <v>4880445</v>
      </c>
      <c r="H422" s="1">
        <v>3522086</v>
      </c>
      <c r="I422" s="1">
        <v>764220</v>
      </c>
      <c r="J422" s="1">
        <v>2344413</v>
      </c>
      <c r="K422" s="1">
        <v>2245722</v>
      </c>
      <c r="L422" s="1">
        <f>1376+1262784+M422</f>
        <v>1266829</v>
      </c>
      <c r="M422" s="1">
        <v>2669</v>
      </c>
      <c r="N422" s="1">
        <v>2211763</v>
      </c>
      <c r="O422" s="1">
        <v>2536032</v>
      </c>
      <c r="P422" s="1">
        <v>1695982</v>
      </c>
      <c r="Q422" s="1">
        <v>-207523</v>
      </c>
      <c r="R422" s="1">
        <v>48.6</v>
      </c>
      <c r="T422">
        <f>E422/G422</f>
        <v>4.5040155149786543E-2</v>
      </c>
      <c r="U422">
        <f>D422/C422</f>
        <v>4.250497039022063E-2</v>
      </c>
      <c r="V422">
        <f>(E422-F422)/O422</f>
        <v>8.6677139720634441E-2</v>
      </c>
      <c r="W422">
        <f>H422/K422</f>
        <v>1.5683535183784991</v>
      </c>
      <c r="X422">
        <f>(H422-I422)/K422</f>
        <v>1.2280531606316365</v>
      </c>
      <c r="Y422">
        <f>(H422-K422)/G422</f>
        <v>0.26152615181607414</v>
      </c>
      <c r="Z422">
        <f>J422/N422</f>
        <v>1.0599747802996975</v>
      </c>
      <c r="AA422">
        <f>J422/G422</f>
        <v>0.48036869588736275</v>
      </c>
      <c r="AB422">
        <f>C422/G422</f>
        <v>2.0435765591047539</v>
      </c>
      <c r="AC422">
        <f>C422/(G422-K422)</f>
        <v>3.7854313337682939</v>
      </c>
      <c r="AD422">
        <f>Q422/E422</f>
        <v>-0.944075954434618</v>
      </c>
      <c r="AE422">
        <f>Q422/J422</f>
        <v>-8.8518106664653373E-2</v>
      </c>
      <c r="AF422">
        <f>Q422/G422</f>
        <v>-4.252132746091801E-2</v>
      </c>
      <c r="AG422">
        <f>Q422/K422</f>
        <v>-9.2408143127243714E-2</v>
      </c>
      <c r="AH422">
        <f>Q422/L422</f>
        <v>-0.16381295344517691</v>
      </c>
      <c r="AI422" s="1">
        <f>R422</f>
        <v>48.6</v>
      </c>
      <c r="AJ422" s="1">
        <f>P422</f>
        <v>1695982</v>
      </c>
    </row>
    <row r="423" spans="1:36" x14ac:dyDescent="0.25">
      <c r="A423" t="s">
        <v>50</v>
      </c>
      <c r="B423">
        <v>2019</v>
      </c>
      <c r="C423" s="1">
        <v>9695319</v>
      </c>
      <c r="D423" s="1">
        <v>394777</v>
      </c>
      <c r="E423" s="1">
        <v>216470</v>
      </c>
      <c r="G423" s="1">
        <v>5736091</v>
      </c>
      <c r="H423" s="1">
        <v>3815786</v>
      </c>
      <c r="I423" s="1">
        <v>1018366</v>
      </c>
      <c r="J423" s="1">
        <v>2792951</v>
      </c>
      <c r="K423" s="1">
        <v>2419706</v>
      </c>
      <c r="L423" s="1">
        <f>101659+974738+M423</f>
        <v>1269778</v>
      </c>
      <c r="M423" s="1">
        <v>193381</v>
      </c>
      <c r="N423" s="1">
        <v>2597763</v>
      </c>
      <c r="O423" s="1">
        <v>2943140</v>
      </c>
      <c r="P423" s="1">
        <v>1722554</v>
      </c>
      <c r="Q423" s="1">
        <v>344533</v>
      </c>
      <c r="R423" s="1">
        <v>40.4</v>
      </c>
      <c r="T423">
        <f>E423/G423</f>
        <v>3.7738243692437931E-2</v>
      </c>
      <c r="U423">
        <f>D423/C423</f>
        <v>4.0718309526483865E-2</v>
      </c>
      <c r="V423">
        <f>(E423-F423)/O423</f>
        <v>7.3550697554312747E-2</v>
      </c>
      <c r="W423">
        <f>H423/K423</f>
        <v>1.5769626557937204</v>
      </c>
      <c r="X423">
        <f>(H423-I423)/K423</f>
        <v>1.1560991293983649</v>
      </c>
      <c r="Y423">
        <f>(H423-K423)/G423</f>
        <v>0.24338526010134776</v>
      </c>
      <c r="Z423">
        <f>J423/N423</f>
        <v>1.075136954371896</v>
      </c>
      <c r="AA423">
        <f>J423/G423</f>
        <v>0.48690841899126075</v>
      </c>
      <c r="AB423">
        <f>C423/G423</f>
        <v>1.6902310301562511</v>
      </c>
      <c r="AC423">
        <f>C423/(G423-K423)</f>
        <v>2.9234600325354263</v>
      </c>
      <c r="AD423">
        <f>Q423/E423</f>
        <v>1.5915969880352936</v>
      </c>
      <c r="AE423">
        <f>Q423/J423</f>
        <v>0.123358053900695</v>
      </c>
      <c r="AF423">
        <f>Q423/G423</f>
        <v>6.0064074994626133E-2</v>
      </c>
      <c r="AG423">
        <f>Q423/K423</f>
        <v>0.14238630643557523</v>
      </c>
      <c r="AH423">
        <f>Q423/L423</f>
        <v>0.27133325667951408</v>
      </c>
      <c r="AI423" s="1">
        <f>R423</f>
        <v>40.4</v>
      </c>
      <c r="AJ423" s="1">
        <f>P423</f>
        <v>1722554</v>
      </c>
    </row>
    <row r="424" spans="1:36" x14ac:dyDescent="0.25">
      <c r="A424" t="s">
        <v>50</v>
      </c>
      <c r="B424">
        <v>2020</v>
      </c>
      <c r="C424" s="1">
        <v>8593307</v>
      </c>
      <c r="D424" s="1">
        <v>137986</v>
      </c>
      <c r="E424" s="1">
        <v>-77969</v>
      </c>
      <c r="G424" s="1">
        <v>6031785</v>
      </c>
      <c r="H424" s="1">
        <v>3827782</v>
      </c>
      <c r="I424" s="1">
        <v>1130309</v>
      </c>
      <c r="J424" s="1">
        <v>3316432</v>
      </c>
      <c r="K424" s="1">
        <v>2904750</v>
      </c>
      <c r="L424" s="1">
        <f>101044+1403591+M424</f>
        <v>1598039</v>
      </c>
      <c r="M424" s="1">
        <v>93404</v>
      </c>
      <c r="N424" s="1">
        <v>2371902</v>
      </c>
      <c r="O424" s="1">
        <v>2715353</v>
      </c>
      <c r="P424" s="1">
        <v>1496693</v>
      </c>
      <c r="Q424" s="1">
        <v>-227413</v>
      </c>
      <c r="R424" s="1">
        <v>38.799999999999997</v>
      </c>
      <c r="T424">
        <f>E424/G424</f>
        <v>-1.2926355962621346E-2</v>
      </c>
      <c r="U424">
        <f>D424/C424</f>
        <v>1.6057380470638372E-2</v>
      </c>
      <c r="V424">
        <f>(E424-F424)/O424</f>
        <v>-2.8714130354322256E-2</v>
      </c>
      <c r="W424">
        <f>H424/K424</f>
        <v>1.3177664170754799</v>
      </c>
      <c r="X424">
        <f>(H424-I424)/K424</f>
        <v>0.9286420518116878</v>
      </c>
      <c r="Y424">
        <f>(H424-K424)/G424</f>
        <v>0.15302800083225779</v>
      </c>
      <c r="Z424">
        <f>J424/N424</f>
        <v>1.3982162838093648</v>
      </c>
      <c r="AA424">
        <f>J424/G424</f>
        <v>0.54982596362436653</v>
      </c>
      <c r="AB424">
        <f>C424/G424</f>
        <v>1.4246706406146772</v>
      </c>
      <c r="AC424">
        <f>C424/(G424-K424)</f>
        <v>2.7480686976640811</v>
      </c>
      <c r="AD424">
        <f>Q424/E424</f>
        <v>2.9167104875014429</v>
      </c>
      <c r="AE424">
        <f>Q424/J424</f>
        <v>-6.8571585366442006E-2</v>
      </c>
      <c r="AF424">
        <f>Q424/G424</f>
        <v>-3.7702438001354491E-2</v>
      </c>
      <c r="AG424">
        <f>Q424/K424</f>
        <v>-7.8290042172303981E-2</v>
      </c>
      <c r="AH424">
        <f>Q424/L424</f>
        <v>-0.14230754067954537</v>
      </c>
      <c r="AI424" s="1">
        <f>R424</f>
        <v>38.799999999999997</v>
      </c>
      <c r="AJ424" s="1">
        <f>P424</f>
        <v>1496693</v>
      </c>
    </row>
    <row r="425" spans="1:36" x14ac:dyDescent="0.25">
      <c r="A425" t="s">
        <v>50</v>
      </c>
      <c r="B425">
        <v>2021</v>
      </c>
      <c r="C425" s="1">
        <v>10927486</v>
      </c>
      <c r="D425" s="1">
        <v>542859</v>
      </c>
      <c r="E425" s="1">
        <v>255671</v>
      </c>
      <c r="G425" s="1">
        <v>7251433</v>
      </c>
      <c r="H425" s="1">
        <v>4994885</v>
      </c>
      <c r="I425" s="1">
        <v>1924202</v>
      </c>
      <c r="J425" s="1">
        <v>4317804</v>
      </c>
      <c r="K425" s="1">
        <v>3959912</v>
      </c>
      <c r="L425" s="1">
        <f>106657+1295064+M425</f>
        <v>1433199</v>
      </c>
      <c r="M425" s="1">
        <v>31478</v>
      </c>
      <c r="N425" s="1">
        <v>2599839</v>
      </c>
      <c r="O425" s="1">
        <v>2933629</v>
      </c>
      <c r="P425" s="1">
        <v>1730573</v>
      </c>
      <c r="Q425" s="1">
        <v>370083</v>
      </c>
      <c r="R425" s="1">
        <v>44</v>
      </c>
      <c r="T425">
        <f>E425/G425</f>
        <v>3.5257996591846051E-2</v>
      </c>
      <c r="U425">
        <f>D425/C425</f>
        <v>4.9678306611420045E-2</v>
      </c>
      <c r="V425">
        <f>(E425-F425)/O425</f>
        <v>8.7151783678167893E-2</v>
      </c>
      <c r="W425">
        <f>H425/K425</f>
        <v>1.2613626262401791</v>
      </c>
      <c r="X425">
        <f>(H425-I425)/K425</f>
        <v>0.77544223204960105</v>
      </c>
      <c r="Y425">
        <f>(H425-K425)/G425</f>
        <v>0.14272668588401768</v>
      </c>
      <c r="Z425">
        <f>J425/N425</f>
        <v>1.6607966877948981</v>
      </c>
      <c r="AA425">
        <f>J425/G425</f>
        <v>0.59544148032533706</v>
      </c>
      <c r="AB425">
        <f>C425/G425</f>
        <v>1.5069415934753863</v>
      </c>
      <c r="AC425">
        <f>C425/(G425-K425)</f>
        <v>3.3198894978947422</v>
      </c>
      <c r="AD425">
        <f>Q425/E425</f>
        <v>1.4474969785388252</v>
      </c>
      <c r="AE425">
        <f>Q425/J425</f>
        <v>8.5710930834285201E-2</v>
      </c>
      <c r="AF425">
        <f>Q425/G425</f>
        <v>5.1035843536029364E-2</v>
      </c>
      <c r="AG425">
        <f>Q425/K425</f>
        <v>9.3457379860966611E-2</v>
      </c>
      <c r="AH425">
        <f>Q425/L425</f>
        <v>0.25822164263301889</v>
      </c>
      <c r="AI425" s="1">
        <f>R425</f>
        <v>44</v>
      </c>
      <c r="AJ425" s="1">
        <f>P425</f>
        <v>1730573</v>
      </c>
    </row>
    <row r="426" spans="1:36" x14ac:dyDescent="0.25">
      <c r="A426" t="s">
        <v>50</v>
      </c>
      <c r="B426">
        <v>2022</v>
      </c>
      <c r="C426" s="1">
        <v>13163499</v>
      </c>
      <c r="D426" s="1">
        <v>808468</v>
      </c>
      <c r="E426" s="1">
        <v>479304</v>
      </c>
      <c r="G426" s="1">
        <v>8403589</v>
      </c>
      <c r="H426" s="1">
        <v>5620214</v>
      </c>
      <c r="I426" s="1">
        <v>2080664</v>
      </c>
      <c r="J426" s="1">
        <v>4764847</v>
      </c>
      <c r="K426" s="1">
        <v>4085028</v>
      </c>
      <c r="L426" s="1">
        <f>65769+2066793+M426</f>
        <v>2372557</v>
      </c>
      <c r="M426" s="1">
        <v>239995</v>
      </c>
      <c r="N426" s="1">
        <v>3310220</v>
      </c>
      <c r="O426" s="1">
        <v>3638742</v>
      </c>
      <c r="P426" s="1">
        <v>2056321</v>
      </c>
      <c r="Q426" s="1">
        <v>-285449</v>
      </c>
      <c r="R426" s="1">
        <v>56</v>
      </c>
      <c r="T426">
        <f>E426/G426</f>
        <v>5.7035630847724707E-2</v>
      </c>
      <c r="U426">
        <f>D426/C426</f>
        <v>6.1417408851552314E-2</v>
      </c>
      <c r="V426">
        <f>(E426-F426)/O426</f>
        <v>0.13172244693358309</v>
      </c>
      <c r="W426">
        <f>H426/K426</f>
        <v>1.3758079503983816</v>
      </c>
      <c r="X426">
        <f>(H426-I426)/K426</f>
        <v>0.86646896912334503</v>
      </c>
      <c r="Y426">
        <f>(H426-K426)/G426</f>
        <v>0.18268218495692734</v>
      </c>
      <c r="Z426">
        <f>J426/N426</f>
        <v>1.439435143283528</v>
      </c>
      <c r="AA426">
        <f>J426/G426</f>
        <v>0.56700143236419587</v>
      </c>
      <c r="AB426">
        <f>C426/G426</f>
        <v>1.5664139452798085</v>
      </c>
      <c r="AC426">
        <f>C426/(G426-K426)</f>
        <v>3.0481215849446146</v>
      </c>
      <c r="AD426">
        <f>Q426/E426</f>
        <v>-0.59554896266252733</v>
      </c>
      <c r="AE426">
        <f>Q426/J426</f>
        <v>-5.9907275091938945E-2</v>
      </c>
      <c r="AF426">
        <f>Q426/G426</f>
        <v>-3.3967510786165292E-2</v>
      </c>
      <c r="AG426">
        <f>Q426/K426</f>
        <v>-6.9876877220915012E-2</v>
      </c>
      <c r="AH426">
        <f>Q426/L426</f>
        <v>-0.1203128101874897</v>
      </c>
      <c r="AI426" s="1">
        <f>R426</f>
        <v>56</v>
      </c>
      <c r="AJ426" s="1">
        <f>P426</f>
        <v>2056321</v>
      </c>
    </row>
    <row r="427" spans="1:36" x14ac:dyDescent="0.25">
      <c r="A427" t="s">
        <v>50</v>
      </c>
      <c r="B427">
        <v>2023</v>
      </c>
      <c r="C427" s="1">
        <v>19207748</v>
      </c>
      <c r="D427" s="1">
        <v>2146965</v>
      </c>
      <c r="E427" s="1">
        <v>994027</v>
      </c>
      <c r="G427" s="1">
        <v>9336883</v>
      </c>
      <c r="H427" s="1">
        <v>6744937</v>
      </c>
      <c r="I427" s="1">
        <v>2874190</v>
      </c>
      <c r="J427" s="1">
        <v>5061108</v>
      </c>
      <c r="K427" s="1">
        <v>4458668</v>
      </c>
      <c r="L427" s="1">
        <f>52548+2152140+M427</f>
        <v>2393593</v>
      </c>
      <c r="M427" s="1">
        <v>188905</v>
      </c>
      <c r="N427" s="1">
        <v>3924033</v>
      </c>
      <c r="O427" s="1">
        <v>4275775</v>
      </c>
      <c r="P427" s="1">
        <v>2744103</v>
      </c>
      <c r="Q427" s="1">
        <v>416979</v>
      </c>
      <c r="R427" s="1">
        <v>81.900000000000006</v>
      </c>
      <c r="T427">
        <f>E427/G427</f>
        <v>0.10646240292397366</v>
      </c>
      <c r="U427">
        <f>D427/C427</f>
        <v>0.11177598748171831</v>
      </c>
      <c r="V427">
        <f>(E427-F427)/O427</f>
        <v>0.23247879039472377</v>
      </c>
      <c r="W427">
        <f>H427/K427</f>
        <v>1.5127695087411757</v>
      </c>
      <c r="X427">
        <f>(H427-I427)/K427</f>
        <v>0.86813976730270115</v>
      </c>
      <c r="Y427">
        <f>(H427-K427)/G427</f>
        <v>0.24486426572979442</v>
      </c>
      <c r="Z427">
        <f>J427/N427</f>
        <v>1.2897720279110803</v>
      </c>
      <c r="AA427">
        <f>J427/G427</f>
        <v>0.54205541613834085</v>
      </c>
      <c r="AB427">
        <f>C427/G427</f>
        <v>2.0571906063297569</v>
      </c>
      <c r="AC427">
        <f>C427/(G427-K427)</f>
        <v>3.9374541712491147</v>
      </c>
      <c r="AD427">
        <f>Q427/E427</f>
        <v>0.41948458140473044</v>
      </c>
      <c r="AE427">
        <f>Q427/J427</f>
        <v>8.2388876111713083E-2</v>
      </c>
      <c r="AF427">
        <f>Q427/G427</f>
        <v>4.4659336525904841E-2</v>
      </c>
      <c r="AG427">
        <f>Q427/K427</f>
        <v>9.3520979808319429E-2</v>
      </c>
      <c r="AH427">
        <f>Q427/L427</f>
        <v>0.17420630825708464</v>
      </c>
      <c r="AI427" s="1">
        <f>R427</f>
        <v>81.900000000000006</v>
      </c>
      <c r="AJ427" s="1">
        <f>P427</f>
        <v>2744103</v>
      </c>
    </row>
    <row r="428" spans="1:36" s="8" customFormat="1" x14ac:dyDescent="0.25">
      <c r="A428" s="8" t="s">
        <v>50</v>
      </c>
      <c r="B428" s="8">
        <v>2024</v>
      </c>
      <c r="C428" s="9">
        <v>19387992</v>
      </c>
      <c r="D428" s="9">
        <v>1023185</v>
      </c>
      <c r="E428" s="9">
        <v>419037</v>
      </c>
      <c r="F428" s="9"/>
      <c r="G428" s="9">
        <v>10147131</v>
      </c>
      <c r="H428" s="9">
        <v>7293810</v>
      </c>
      <c r="I428" s="9">
        <v>2909913</v>
      </c>
      <c r="J428" s="9">
        <v>5978655</v>
      </c>
      <c r="K428" s="9">
        <v>5364209</v>
      </c>
      <c r="L428" s="9">
        <f>57660+2888673+M428</f>
        <v>3068943</v>
      </c>
      <c r="M428" s="9">
        <v>122610</v>
      </c>
      <c r="N428" s="9">
        <v>3819613</v>
      </c>
      <c r="O428" s="9">
        <v>4168476</v>
      </c>
      <c r="P428" s="9">
        <v>2639683</v>
      </c>
      <c r="Q428" s="9">
        <v>-36287</v>
      </c>
      <c r="R428" s="9">
        <v>95</v>
      </c>
      <c r="T428" s="8">
        <f>E428/G428</f>
        <v>4.1296106259000695E-2</v>
      </c>
      <c r="U428" s="8">
        <f>D428/C428</f>
        <v>5.2774160418469329E-2</v>
      </c>
      <c r="V428" s="8">
        <f>(E428-F428)/O428</f>
        <v>0.10052522792502584</v>
      </c>
      <c r="W428" s="8">
        <f>H428/K428</f>
        <v>1.3597177142053936</v>
      </c>
      <c r="X428" s="8">
        <f>(H428-I428)/K428</f>
        <v>0.81724947704312045</v>
      </c>
      <c r="Y428" s="8">
        <f>(H428-K428)/G428</f>
        <v>0.19016222417942569</v>
      </c>
      <c r="Z428" s="8">
        <f>J428/N428</f>
        <v>1.5652515058462728</v>
      </c>
      <c r="AA428" s="8">
        <f>J428/G428</f>
        <v>0.5891965916277222</v>
      </c>
      <c r="AB428" s="8">
        <f>C428/G428</f>
        <v>1.9106870700693626</v>
      </c>
      <c r="AC428" s="8">
        <f>C428/(G428-K428)</f>
        <v>4.0535873259066317</v>
      </c>
      <c r="AD428" s="8">
        <f>Q428/E428</f>
        <v>-8.6596171698441901E-2</v>
      </c>
      <c r="AE428" s="8">
        <f>Q428/J428</f>
        <v>-6.0694253138874879E-3</v>
      </c>
      <c r="AF428" s="8">
        <f>Q428/G428</f>
        <v>-3.5760847080815259E-3</v>
      </c>
      <c r="AG428" s="8">
        <f>Q428/K428</f>
        <v>-6.7646506689057048E-3</v>
      </c>
      <c r="AH428" s="8">
        <f>Q428/L428</f>
        <v>-1.1823940685767054E-2</v>
      </c>
      <c r="AI428" s="9">
        <f>R428</f>
        <v>95</v>
      </c>
      <c r="AJ428" s="9">
        <f>P428</f>
        <v>2639683</v>
      </c>
    </row>
    <row r="429" spans="1:36" x14ac:dyDescent="0.25">
      <c r="A429" s="15" t="s">
        <v>75</v>
      </c>
      <c r="B429" s="15">
        <v>2018</v>
      </c>
      <c r="C429" s="6">
        <v>109156685</v>
      </c>
      <c r="D429" s="6">
        <v>16723030</v>
      </c>
      <c r="E429" s="6">
        <v>7449467</v>
      </c>
      <c r="F429" s="6"/>
      <c r="G429" s="6">
        <v>164593007</v>
      </c>
      <c r="H429" s="6">
        <v>29813163</v>
      </c>
      <c r="I429" s="6">
        <v>1122995</v>
      </c>
      <c r="J429" s="6">
        <v>97316053</v>
      </c>
      <c r="K429" s="6">
        <v>51901363</v>
      </c>
      <c r="L429" s="6">
        <f>9012708+M429</f>
        <v>49778716</v>
      </c>
      <c r="M429" s="6">
        <v>40766008</v>
      </c>
      <c r="N429" s="6">
        <v>67276954</v>
      </c>
      <c r="O429" s="6">
        <v>67276954</v>
      </c>
      <c r="P429" s="6">
        <v>39031137</v>
      </c>
      <c r="Q429" s="6">
        <v>29325473</v>
      </c>
      <c r="R429" s="6">
        <v>10.1</v>
      </c>
      <c r="S429" s="15"/>
      <c r="T429" s="15">
        <f>E429/G429</f>
        <v>4.5259924074417084E-2</v>
      </c>
      <c r="U429" s="15">
        <f>D429/C429</f>
        <v>0.15320206911743425</v>
      </c>
      <c r="V429" s="15">
        <f>(E429-F429)/O429</f>
        <v>0.11072836323713467</v>
      </c>
      <c r="W429" s="15">
        <f>H429/K429</f>
        <v>0.57441965445107868</v>
      </c>
      <c r="X429" s="15">
        <f>(H429-I429)/K429</f>
        <v>0.55278255409207655</v>
      </c>
      <c r="Y429" s="15">
        <f>(H429-K429)/G429</f>
        <v>-0.13419889704062579</v>
      </c>
      <c r="Z429" s="15">
        <f>J429/N429</f>
        <v>1.4464990938799043</v>
      </c>
      <c r="AA429" s="15">
        <f>J429/G429</f>
        <v>0.59125265874752508</v>
      </c>
      <c r="AB429" s="15">
        <f>C429/G429</f>
        <v>0.66319151092488393</v>
      </c>
      <c r="AC429" s="15">
        <f>C429/(G429-K429)</f>
        <v>0.96863157839812863</v>
      </c>
      <c r="AD429" s="15">
        <f>Q429/E429</f>
        <v>3.9365867383532271</v>
      </c>
      <c r="AE429" s="15">
        <f>Q429/J429</f>
        <v>0.30134260582886568</v>
      </c>
      <c r="AF429" s="15">
        <f>Q429/G429</f>
        <v>0.17816961689022426</v>
      </c>
      <c r="AG429" s="15">
        <f>Q429/K429</f>
        <v>0.56502317675163949</v>
      </c>
      <c r="AH429" s="15">
        <f>Q429/L429</f>
        <v>0.58911670200573274</v>
      </c>
      <c r="AI429" s="6">
        <f>R429</f>
        <v>10.1</v>
      </c>
      <c r="AJ429" s="6">
        <f>P429</f>
        <v>39031137</v>
      </c>
    </row>
    <row r="430" spans="1:36" x14ac:dyDescent="0.25">
      <c r="A430" t="s">
        <v>75</v>
      </c>
      <c r="B430">
        <v>2019</v>
      </c>
      <c r="C430" s="1">
        <v>116827341</v>
      </c>
      <c r="D430" s="1">
        <v>15336207</v>
      </c>
      <c r="E430" s="1">
        <v>10726451</v>
      </c>
      <c r="G430" s="1">
        <v>176197373</v>
      </c>
      <c r="H430" s="1">
        <v>29938332</v>
      </c>
      <c r="I430" s="1">
        <v>1480604</v>
      </c>
      <c r="J430" s="1">
        <v>101946152</v>
      </c>
      <c r="K430" s="1">
        <v>60687877</v>
      </c>
      <c r="L430" s="1">
        <f>14660384+M430</f>
        <v>47617834</v>
      </c>
      <c r="M430" s="1">
        <v>32957450</v>
      </c>
      <c r="N430" s="1">
        <v>74251221</v>
      </c>
      <c r="O430" s="1">
        <v>74251221</v>
      </c>
      <c r="P430" s="1">
        <v>45837809</v>
      </c>
      <c r="Q430" s="1">
        <v>33644646</v>
      </c>
      <c r="R430" s="1">
        <v>12.3</v>
      </c>
      <c r="T430">
        <f>E430/G430</f>
        <v>6.0877474035892692E-2</v>
      </c>
      <c r="U430">
        <f>D430/C430</f>
        <v>0.13127241336426548</v>
      </c>
      <c r="V430">
        <f>(E430-F430)/O430</f>
        <v>0.14446161094105106</v>
      </c>
      <c r="W430">
        <f>H430/K430</f>
        <v>0.49331651525723991</v>
      </c>
      <c r="X430">
        <f>(H430-I430)/K430</f>
        <v>0.46891948452901061</v>
      </c>
      <c r="Y430">
        <f>(H430-K430)/G430</f>
        <v>-0.17451761326770746</v>
      </c>
      <c r="Z430">
        <f>J430/N430</f>
        <v>1.3729895700974399</v>
      </c>
      <c r="AA430">
        <f>J430/G430</f>
        <v>0.57859064675158356</v>
      </c>
      <c r="AB430">
        <f>C430/G430</f>
        <v>0.66304814317521066</v>
      </c>
      <c r="AC430">
        <f>C430/(G430-K430)</f>
        <v>1.0114089754144542</v>
      </c>
      <c r="AD430">
        <f>Q430/E430</f>
        <v>3.1366055743880246</v>
      </c>
      <c r="AE430">
        <f>Q430/J430</f>
        <v>0.33002369721615388</v>
      </c>
      <c r="AF430">
        <f>Q430/G430</f>
        <v>0.19094862441564325</v>
      </c>
      <c r="AG430">
        <f>Q430/K430</f>
        <v>0.55438825121531277</v>
      </c>
      <c r="AH430">
        <f>Q430/L430</f>
        <v>0.70655557327534046</v>
      </c>
      <c r="AI430" s="1">
        <f>R430</f>
        <v>12.3</v>
      </c>
      <c r="AJ430" s="1">
        <f>P430</f>
        <v>45837809</v>
      </c>
    </row>
    <row r="431" spans="1:36" x14ac:dyDescent="0.25">
      <c r="A431" t="s">
        <v>75</v>
      </c>
      <c r="B431">
        <v>2020</v>
      </c>
      <c r="C431" s="1">
        <v>120141512</v>
      </c>
      <c r="D431" s="1">
        <v>16682890</v>
      </c>
      <c r="E431" s="1">
        <v>12002686</v>
      </c>
      <c r="G431" s="1">
        <v>187692689</v>
      </c>
      <c r="H431" s="1">
        <v>37925927</v>
      </c>
      <c r="I431" s="1">
        <v>1166018</v>
      </c>
      <c r="J431" s="1">
        <v>105489627</v>
      </c>
      <c r="K431" s="1">
        <v>75629486</v>
      </c>
      <c r="L431" s="1">
        <v>40425911</v>
      </c>
      <c r="M431" s="1">
        <v>19721329</v>
      </c>
      <c r="N431" s="1">
        <v>82213068</v>
      </c>
      <c r="O431" s="1">
        <v>82203062</v>
      </c>
      <c r="P431" s="1">
        <v>53269769</v>
      </c>
      <c r="Q431" s="1">
        <v>44667314</v>
      </c>
      <c r="R431" s="1">
        <v>12.4</v>
      </c>
      <c r="T431">
        <f>E431/G431</f>
        <v>6.3948606969981656E-2</v>
      </c>
      <c r="U431">
        <f>D431/C431</f>
        <v>0.13886032997487163</v>
      </c>
      <c r="V431">
        <f>(E431-F431)/O431</f>
        <v>0.14601263879927004</v>
      </c>
      <c r="W431">
        <f>H431/K431</f>
        <v>0.5014701144471615</v>
      </c>
      <c r="X431">
        <f>(H431-I431)/K431</f>
        <v>0.48605260916357412</v>
      </c>
      <c r="Y431">
        <f>(H431-K431)/G431</f>
        <v>-0.20087920952531083</v>
      </c>
      <c r="Z431">
        <f>J431/N431</f>
        <v>1.2831248068737686</v>
      </c>
      <c r="AA431">
        <f>J431/G431</f>
        <v>0.56203375614699624</v>
      </c>
      <c r="AB431">
        <f>C431/G431</f>
        <v>0.64009691927851275</v>
      </c>
      <c r="AC431">
        <f>C431/(G431-K431)</f>
        <v>1.0720870792886403</v>
      </c>
      <c r="AD431">
        <f>Q431/E431</f>
        <v>3.7214431836340633</v>
      </c>
      <c r="AE431">
        <f>Q431/J431</f>
        <v>0.42342849501212093</v>
      </c>
      <c r="AF431">
        <f>Q431/G431</f>
        <v>0.237981107511332</v>
      </c>
      <c r="AG431">
        <f>Q431/K431</f>
        <v>0.5906071343655569</v>
      </c>
      <c r="AH431">
        <f>Q431/L431</f>
        <v>1.1049179324616829</v>
      </c>
      <c r="AI431" s="1">
        <f>R431</f>
        <v>12.4</v>
      </c>
      <c r="AJ431" s="1">
        <f>P431</f>
        <v>53269769</v>
      </c>
    </row>
    <row r="432" spans="1:36" x14ac:dyDescent="0.25">
      <c r="A432" t="s">
        <v>75</v>
      </c>
      <c r="B432">
        <v>2021</v>
      </c>
      <c r="C432" s="1">
        <v>141914839</v>
      </c>
      <c r="D432" s="1">
        <v>23440005</v>
      </c>
      <c r="E432" s="1">
        <v>17018768</v>
      </c>
      <c r="G432" s="1">
        <v>219000428</v>
      </c>
      <c r="H432" s="1">
        <v>54599955</v>
      </c>
      <c r="I432" s="1">
        <v>3712248</v>
      </c>
      <c r="J432" s="1">
        <v>125485541</v>
      </c>
      <c r="K432" s="1">
        <v>102493271</v>
      </c>
      <c r="L432" s="1">
        <v>41835614</v>
      </c>
      <c r="M432" s="1">
        <v>10477656</v>
      </c>
      <c r="N432" s="1">
        <v>93587162</v>
      </c>
      <c r="O432" s="1">
        <v>93514887</v>
      </c>
      <c r="P432" s="1">
        <v>64365247</v>
      </c>
      <c r="Q432" s="1">
        <v>54335628</v>
      </c>
      <c r="R432" s="1">
        <v>10.9</v>
      </c>
      <c r="T432">
        <f>E432/G432</f>
        <v>7.771111753261048E-2</v>
      </c>
      <c r="U432">
        <f>D432/C432</f>
        <v>0.16516951409147565</v>
      </c>
      <c r="V432">
        <f>(E432-F432)/O432</f>
        <v>0.1819899327900594</v>
      </c>
      <c r="W432">
        <f>H432/K432</f>
        <v>0.53271746005647536</v>
      </c>
      <c r="X432">
        <f>(H432-I432)/K432</f>
        <v>0.49649802863643605</v>
      </c>
      <c r="Y432">
        <f>(H432-K432)/G432</f>
        <v>-0.2186905132441111</v>
      </c>
      <c r="Z432">
        <f>J432/N432</f>
        <v>1.3408413966009569</v>
      </c>
      <c r="AA432">
        <f>J432/G432</f>
        <v>0.57299221807913547</v>
      </c>
      <c r="AB432">
        <f>C432/G432</f>
        <v>0.64801169703650074</v>
      </c>
      <c r="AC432">
        <f>C432/(G432-K432)</f>
        <v>1.2180782936794174</v>
      </c>
      <c r="AD432">
        <f>Q432/E432</f>
        <v>3.1926886834581683</v>
      </c>
      <c r="AE432">
        <f>Q432/J432</f>
        <v>0.43300309794257491</v>
      </c>
      <c r="AF432">
        <f>Q432/G432</f>
        <v>0.24810740552525312</v>
      </c>
      <c r="AG432">
        <f>Q432/K432</f>
        <v>0.53013849075028541</v>
      </c>
      <c r="AH432">
        <f>Q432/L432</f>
        <v>1.2987888261900495</v>
      </c>
      <c r="AI432" s="1">
        <f>R432</f>
        <v>10.9</v>
      </c>
      <c r="AJ432" s="1">
        <f>P432</f>
        <v>64365247</v>
      </c>
    </row>
    <row r="433" spans="1:36" x14ac:dyDescent="0.25">
      <c r="A433" t="s">
        <v>75</v>
      </c>
      <c r="B433">
        <v>2022</v>
      </c>
      <c r="C433" s="1">
        <v>178130762</v>
      </c>
      <c r="D433" s="1">
        <v>2568427</v>
      </c>
      <c r="E433" s="1">
        <v>-33408691</v>
      </c>
      <c r="G433" s="1">
        <v>267150470</v>
      </c>
      <c r="H433" s="1">
        <v>75938479</v>
      </c>
      <c r="I433" s="1">
        <v>2870804</v>
      </c>
      <c r="J433" s="1">
        <v>222000522</v>
      </c>
      <c r="K433" s="1">
        <v>133611370</v>
      </c>
      <c r="L433" s="1">
        <v>103589799</v>
      </c>
      <c r="M433" s="1">
        <v>66581118</v>
      </c>
      <c r="N433" s="1">
        <v>45216055</v>
      </c>
      <c r="O433" s="1">
        <v>45149948</v>
      </c>
      <c r="P433" s="1">
        <v>15704248</v>
      </c>
      <c r="Q433" s="1">
        <v>56652745</v>
      </c>
      <c r="R433" s="1">
        <v>8.5</v>
      </c>
      <c r="T433">
        <f>E433/G433</f>
        <v>-0.12505570736970817</v>
      </c>
      <c r="U433">
        <f>D433/C433</f>
        <v>1.4418772878768688E-2</v>
      </c>
      <c r="V433">
        <f>(E433-F433)/O433</f>
        <v>-0.73994971156998901</v>
      </c>
      <c r="W433">
        <f>H433/K433</f>
        <v>0.56835341932352013</v>
      </c>
      <c r="X433">
        <f>(H433-I433)/K433</f>
        <v>0.54686719401200656</v>
      </c>
      <c r="Y433">
        <f>(H433-K433)/G433</f>
        <v>-0.21588167522220716</v>
      </c>
      <c r="Z433">
        <f>J433/N433</f>
        <v>4.909772026772349</v>
      </c>
      <c r="AA433">
        <f>J433/G433</f>
        <v>0.83099431567535709</v>
      </c>
      <c r="AB433">
        <f>C433/G433</f>
        <v>0.6667806423847954</v>
      </c>
      <c r="AC433">
        <f>C433/(G433-K433)</f>
        <v>1.3339221396579728</v>
      </c>
      <c r="AD433">
        <f>Q433/E433</f>
        <v>-1.6957487199962429</v>
      </c>
      <c r="AE433">
        <f>Q433/J433</f>
        <v>0.25519194499912029</v>
      </c>
      <c r="AF433">
        <f>Q433/G433</f>
        <v>0.21206305570040734</v>
      </c>
      <c r="AG433">
        <f>Q433/K433</f>
        <v>0.42401140711303237</v>
      </c>
      <c r="AH433">
        <f>Q433/L433</f>
        <v>0.54689501810887764</v>
      </c>
      <c r="AI433" s="1">
        <f>R433</f>
        <v>8.5</v>
      </c>
      <c r="AJ433" s="1">
        <f>P433</f>
        <v>15704248</v>
      </c>
    </row>
    <row r="434" spans="1:36" x14ac:dyDescent="0.25">
      <c r="A434" t="s">
        <v>75</v>
      </c>
      <c r="B434">
        <v>2023</v>
      </c>
      <c r="C434" s="1">
        <v>181722046</v>
      </c>
      <c r="D434" s="1">
        <v>20873534</v>
      </c>
      <c r="E434" s="1">
        <v>20112857</v>
      </c>
      <c r="G434" s="1">
        <v>286247117</v>
      </c>
      <c r="H434" s="1">
        <v>93652888</v>
      </c>
      <c r="I434" s="1">
        <v>3035674</v>
      </c>
      <c r="J434" s="1">
        <v>219910355</v>
      </c>
      <c r="K434" s="1">
        <v>132416202</v>
      </c>
      <c r="L434" s="1">
        <v>122765416</v>
      </c>
      <c r="M434" s="1">
        <v>67674317</v>
      </c>
      <c r="N434" s="1">
        <v>66380951</v>
      </c>
      <c r="O434" s="1">
        <v>66336762</v>
      </c>
      <c r="P434" s="1">
        <v>36776686</v>
      </c>
      <c r="Q434" s="1">
        <v>21325868</v>
      </c>
      <c r="R434" s="1">
        <v>9</v>
      </c>
      <c r="T434">
        <f>E434/G434</f>
        <v>7.0263963566836549E-2</v>
      </c>
      <c r="U434">
        <f>D434/C434</f>
        <v>0.11486517161489586</v>
      </c>
      <c r="V434">
        <f>(E434-F434)/O434</f>
        <v>0.30319322791184772</v>
      </c>
      <c r="W434">
        <f>H434/K434</f>
        <v>0.70726154794864149</v>
      </c>
      <c r="X434">
        <f>(H434-I434)/K434</f>
        <v>0.68433630198818118</v>
      </c>
      <c r="Y434">
        <f>(H434-K434)/G434</f>
        <v>-0.13541905471837468</v>
      </c>
      <c r="Z434">
        <f>J434/N434</f>
        <v>3.3128533364940793</v>
      </c>
      <c r="AA434">
        <f>J434/G434</f>
        <v>0.76825351921361007</v>
      </c>
      <c r="AB434">
        <f>C434/G434</f>
        <v>0.63484323581851132</v>
      </c>
      <c r="AC434">
        <f>C434/(G434-K434)</f>
        <v>1.1813103107395546</v>
      </c>
      <c r="AD434">
        <f>Q434/E434</f>
        <v>1.0603102284275179</v>
      </c>
      <c r="AE434">
        <f>Q434/J434</f>
        <v>9.6975278858514868E-2</v>
      </c>
      <c r="AF434">
        <f>Q434/G434</f>
        <v>7.4501599259775259E-2</v>
      </c>
      <c r="AG434">
        <f>Q434/K434</f>
        <v>0.16105180240708006</v>
      </c>
      <c r="AH434">
        <f>Q434/L434</f>
        <v>0.17371234257048418</v>
      </c>
      <c r="AI434" s="1">
        <f>R434</f>
        <v>9</v>
      </c>
      <c r="AJ434" s="1">
        <f>P434</f>
        <v>36776686</v>
      </c>
    </row>
    <row r="435" spans="1:36" s="8" customFormat="1" x14ac:dyDescent="0.25">
      <c r="A435" s="8" t="s">
        <v>75</v>
      </c>
      <c r="B435" s="8">
        <v>2024</v>
      </c>
      <c r="C435" s="9">
        <v>171170280</v>
      </c>
      <c r="D435" s="9">
        <v>20778523</v>
      </c>
      <c r="E435" s="9">
        <v>12434868</v>
      </c>
      <c r="F435" s="9"/>
      <c r="G435" s="9">
        <v>309147354</v>
      </c>
      <c r="H435" s="9">
        <v>86891525</v>
      </c>
      <c r="I435" s="9">
        <v>1773019</v>
      </c>
      <c r="J435" s="9">
        <v>230867391</v>
      </c>
      <c r="K435" s="9">
        <v>170115980</v>
      </c>
      <c r="L435" s="9">
        <v>107693634</v>
      </c>
      <c r="M435" s="9">
        <v>35749593</v>
      </c>
      <c r="N435" s="9">
        <v>78353586</v>
      </c>
      <c r="O435" s="9">
        <v>78279963</v>
      </c>
      <c r="P435" s="9">
        <v>38214180</v>
      </c>
      <c r="Q435" s="9">
        <v>49483444</v>
      </c>
      <c r="R435" s="9">
        <v>11.7</v>
      </c>
      <c r="T435" s="8">
        <f>E435/G435</f>
        <v>4.0223109915409463E-2</v>
      </c>
      <c r="U435" s="8">
        <f>D435/C435</f>
        <v>0.12139095057857006</v>
      </c>
      <c r="V435" s="8">
        <f>(E435-F435)/O435</f>
        <v>0.15885122480193303</v>
      </c>
      <c r="W435" s="8">
        <f>H435/K435</f>
        <v>0.51077814676786981</v>
      </c>
      <c r="X435" s="8">
        <f>(H435-I435)/K435</f>
        <v>0.5003557337764506</v>
      </c>
      <c r="Y435" s="8">
        <f>(H435-K435)/G435</f>
        <v>-0.2692064283364366</v>
      </c>
      <c r="Z435" s="8">
        <f>J435/N435</f>
        <v>2.9464814922446561</v>
      </c>
      <c r="AA435" s="8">
        <f>J435/G435</f>
        <v>0.74678753679386178</v>
      </c>
      <c r="AB435" s="8">
        <f>C435/G435</f>
        <v>0.55368508830905283</v>
      </c>
      <c r="AC435" s="8">
        <f>C435/(G435-K435)</f>
        <v>1.2311629747685584</v>
      </c>
      <c r="AD435" s="8">
        <f>Q435/E435</f>
        <v>3.9794104770553256</v>
      </c>
      <c r="AE435" s="8">
        <f>Q435/J435</f>
        <v>0.21433708669579932</v>
      </c>
      <c r="AF435" s="8">
        <f>Q435/G435</f>
        <v>0.16006426501712837</v>
      </c>
      <c r="AG435" s="8">
        <f>Q435/K435</f>
        <v>0.29088063331851599</v>
      </c>
      <c r="AH435" s="8">
        <f>Q435/L435</f>
        <v>0.45948346399008133</v>
      </c>
      <c r="AI435" s="9">
        <f>R435</f>
        <v>11.7</v>
      </c>
      <c r="AJ435" s="9">
        <f>P435</f>
        <v>38214180</v>
      </c>
    </row>
    <row r="436" spans="1:36" x14ac:dyDescent="0.25">
      <c r="A436" s="15" t="s">
        <v>76</v>
      </c>
      <c r="B436" s="15">
        <v>2018</v>
      </c>
      <c r="C436" s="6">
        <v>43686158</v>
      </c>
      <c r="D436" s="6">
        <v>1606328</v>
      </c>
      <c r="E436" s="6">
        <v>523216</v>
      </c>
      <c r="F436" s="6"/>
      <c r="G436" s="6">
        <v>28586992</v>
      </c>
      <c r="H436" s="6">
        <v>16891197</v>
      </c>
      <c r="I436" s="6">
        <v>9561038</v>
      </c>
      <c r="J436" s="6">
        <v>16537630</v>
      </c>
      <c r="K436" s="6">
        <v>13657933</v>
      </c>
      <c r="L436" s="6">
        <v>9188923</v>
      </c>
      <c r="M436" s="6">
        <v>312505</v>
      </c>
      <c r="N436" s="6">
        <v>11745159</v>
      </c>
      <c r="O436" s="6">
        <v>12049362</v>
      </c>
      <c r="P436" s="6">
        <v>7268900</v>
      </c>
      <c r="Q436" s="6">
        <v>463058</v>
      </c>
      <c r="R436" s="6">
        <v>464.9</v>
      </c>
      <c r="S436" s="15"/>
      <c r="T436" s="15">
        <f>E436/G436</f>
        <v>1.8302590213059144E-2</v>
      </c>
      <c r="U436" s="15">
        <f>D436/C436</f>
        <v>3.6769724634516956E-2</v>
      </c>
      <c r="V436" s="15">
        <f>(E436-F436)/O436</f>
        <v>4.3422713999297223E-2</v>
      </c>
      <c r="W436" s="15">
        <f>H436/K436</f>
        <v>1.2367315757076858</v>
      </c>
      <c r="X436" s="15">
        <f>(H436-I436)/K436</f>
        <v>0.53669607253161955</v>
      </c>
      <c r="Y436" s="15">
        <f>(H436-K436)/G436</f>
        <v>0.11310263073498604</v>
      </c>
      <c r="Z436" s="15">
        <f>J436/N436</f>
        <v>1.4080379839898294</v>
      </c>
      <c r="AA436" s="15">
        <f>J436/G436</f>
        <v>0.57850192842954584</v>
      </c>
      <c r="AB436" s="15">
        <f>C436/G436</f>
        <v>1.5281830981028015</v>
      </c>
      <c r="AC436" s="15">
        <f>C436/(G436-K436)</f>
        <v>2.926249939798617</v>
      </c>
      <c r="AD436" s="15">
        <f>Q436/E436</f>
        <v>0.88502262927739217</v>
      </c>
      <c r="AE436" s="15">
        <f>Q436/J436</f>
        <v>2.800026364116261E-2</v>
      </c>
      <c r="AF436" s="15">
        <f>Q436/G436</f>
        <v>1.6198206512948267E-2</v>
      </c>
      <c r="AG436" s="15">
        <f>Q436/K436</f>
        <v>3.3903958966558116E-2</v>
      </c>
      <c r="AH436" s="15">
        <f>Q436/L436</f>
        <v>5.0393065650892931E-2</v>
      </c>
      <c r="AI436" s="6">
        <f>R436</f>
        <v>464.9</v>
      </c>
      <c r="AJ436" s="6">
        <f>P436</f>
        <v>7268900</v>
      </c>
    </row>
    <row r="437" spans="1:36" x14ac:dyDescent="0.25">
      <c r="A437" t="s">
        <v>76</v>
      </c>
      <c r="B437">
        <v>2019</v>
      </c>
      <c r="C437" s="1">
        <v>38300350</v>
      </c>
      <c r="D437" s="1">
        <v>1484380</v>
      </c>
      <c r="E437" s="1">
        <v>76683</v>
      </c>
      <c r="G437" s="1">
        <v>29300192</v>
      </c>
      <c r="H437" s="1">
        <v>17523901</v>
      </c>
      <c r="I437" s="1">
        <v>8360450</v>
      </c>
      <c r="J437" s="1">
        <v>17219741</v>
      </c>
      <c r="K437" s="1">
        <v>14099900</v>
      </c>
      <c r="L437" s="1">
        <v>10134164</v>
      </c>
      <c r="M437" s="1">
        <v>490180</v>
      </c>
      <c r="N437" s="1">
        <v>11740844</v>
      </c>
      <c r="O437" s="1">
        <v>12080451</v>
      </c>
      <c r="P437" s="1">
        <v>7259568</v>
      </c>
      <c r="Q437" s="1">
        <v>-626464</v>
      </c>
      <c r="R437" s="1">
        <v>304.7</v>
      </c>
      <c r="T437">
        <f>E437/G437</f>
        <v>2.6171500855694052E-3</v>
      </c>
      <c r="U437">
        <f>D437/C437</f>
        <v>3.8756303793568467E-2</v>
      </c>
      <c r="V437">
        <f>(E437-F437)/O437</f>
        <v>6.3476934760134367E-3</v>
      </c>
      <c r="W437">
        <f>H437/K437</f>
        <v>1.2428386726146994</v>
      </c>
      <c r="X437">
        <f>(H437-I437)/K437</f>
        <v>0.64989475102660299</v>
      </c>
      <c r="Y437">
        <f>(H437-K437)/G437</f>
        <v>0.1168593366214119</v>
      </c>
      <c r="Z437">
        <f>J437/N437</f>
        <v>1.4666527380825434</v>
      </c>
      <c r="AA437">
        <f>J437/G437</f>
        <v>0.5877006198457676</v>
      </c>
      <c r="AB437">
        <f>C437/G437</f>
        <v>1.3071706151277098</v>
      </c>
      <c r="AC437">
        <f>C437/(G437-K437)</f>
        <v>2.5197114634376763</v>
      </c>
      <c r="AD437">
        <f>Q437/E437</f>
        <v>-8.1695291003221051</v>
      </c>
      <c r="AE437">
        <f>Q437/J437</f>
        <v>-3.6380570416244935E-2</v>
      </c>
      <c r="AF437">
        <f>Q437/G437</f>
        <v>-2.1380883783969743E-2</v>
      </c>
      <c r="AG437">
        <f>Q437/K437</f>
        <v>-4.4430386031106606E-2</v>
      </c>
      <c r="AH437">
        <f>Q437/L437</f>
        <v>-6.1817037892814841E-2</v>
      </c>
      <c r="AI437" s="1">
        <f>R437</f>
        <v>304.7</v>
      </c>
      <c r="AJ437" s="1">
        <f>P437</f>
        <v>7259568</v>
      </c>
    </row>
    <row r="438" spans="1:36" x14ac:dyDescent="0.25">
      <c r="A438" t="s">
        <v>76</v>
      </c>
      <c r="B438">
        <v>2020</v>
      </c>
      <c r="C438" s="1">
        <v>34557871</v>
      </c>
      <c r="D438" s="1">
        <v>1448234</v>
      </c>
      <c r="E438" s="1">
        <v>201144</v>
      </c>
      <c r="G438" s="1">
        <v>31713290</v>
      </c>
      <c r="H438" s="1">
        <v>19469319</v>
      </c>
      <c r="I438" s="1">
        <v>8007852</v>
      </c>
      <c r="J438" s="1">
        <v>19364359</v>
      </c>
      <c r="K438" s="1">
        <v>16418009</v>
      </c>
      <c r="L438" s="1">
        <v>11286683</v>
      </c>
      <c r="M438" s="1">
        <v>290206</v>
      </c>
      <c r="N438" s="1">
        <v>11979010</v>
      </c>
      <c r="O438" s="1">
        <v>12348931</v>
      </c>
      <c r="P438" s="1">
        <v>7476214</v>
      </c>
      <c r="Q438" s="1">
        <v>-88575</v>
      </c>
      <c r="R438" s="1">
        <v>250</v>
      </c>
      <c r="T438">
        <f>E438/G438</f>
        <v>6.3425775124561342E-3</v>
      </c>
      <c r="U438">
        <f>D438/C438</f>
        <v>4.1907500609629569E-2</v>
      </c>
      <c r="V438">
        <f>(E438-F438)/O438</f>
        <v>1.628837346325767E-2</v>
      </c>
      <c r="W438">
        <f>H438/K438</f>
        <v>1.1858514025665354</v>
      </c>
      <c r="X438">
        <f>(H438-I438)/K438</f>
        <v>0.6981033449305577</v>
      </c>
      <c r="Y438">
        <f>(H438-K438)/G438</f>
        <v>9.6215498297401503E-2</v>
      </c>
      <c r="Z438">
        <f>J438/N438</f>
        <v>1.6165241534984944</v>
      </c>
      <c r="AA438">
        <f>J438/G438</f>
        <v>0.61060706725792246</v>
      </c>
      <c r="AB438">
        <f>C438/G438</f>
        <v>1.0896968116521497</v>
      </c>
      <c r="AC438">
        <f>C438/(G438-K438)</f>
        <v>2.2593812431429012</v>
      </c>
      <c r="AD438">
        <f>Q438/E438</f>
        <v>-0.4403561627490753</v>
      </c>
      <c r="AE438">
        <f>Q438/J438</f>
        <v>-4.5741250717361726E-3</v>
      </c>
      <c r="AF438">
        <f>Q438/G438</f>
        <v>-2.7929930953237586E-3</v>
      </c>
      <c r="AG438">
        <f>Q438/K438</f>
        <v>-5.3949903426170611E-3</v>
      </c>
      <c r="AH438">
        <f>Q438/L438</f>
        <v>-7.8477441069267212E-3</v>
      </c>
      <c r="AI438" s="1">
        <f>R438</f>
        <v>250</v>
      </c>
      <c r="AJ438" s="1">
        <f>P438</f>
        <v>7476214</v>
      </c>
    </row>
    <row r="439" spans="1:36" x14ac:dyDescent="0.25">
      <c r="A439" t="s">
        <v>76</v>
      </c>
      <c r="B439">
        <v>2021</v>
      </c>
      <c r="C439" s="1">
        <v>30819014</v>
      </c>
      <c r="D439" s="1">
        <v>1379274</v>
      </c>
      <c r="E439" s="1">
        <v>536266</v>
      </c>
      <c r="G439" s="1">
        <v>32116151</v>
      </c>
      <c r="H439" s="1">
        <v>17521696</v>
      </c>
      <c r="I439" s="1">
        <v>6198818</v>
      </c>
      <c r="J439" s="1">
        <v>17154899</v>
      </c>
      <c r="K439" s="1">
        <v>12612998</v>
      </c>
      <c r="L439" s="1">
        <v>4551348</v>
      </c>
      <c r="M439" s="1">
        <v>1085386</v>
      </c>
      <c r="N439" s="1">
        <v>14541982</v>
      </c>
      <c r="O439" s="1">
        <v>14961252</v>
      </c>
      <c r="P439" s="1">
        <v>7976680</v>
      </c>
      <c r="Q439" s="1">
        <v>7557627</v>
      </c>
      <c r="R439" s="1">
        <v>530.25</v>
      </c>
      <c r="T439">
        <f>E439/G439</f>
        <v>1.6697704528789891E-2</v>
      </c>
      <c r="U439">
        <f>D439/C439</f>
        <v>4.4753995049938974E-2</v>
      </c>
      <c r="V439">
        <f>(E439-F439)/O439</f>
        <v>3.5843658004022658E-2</v>
      </c>
      <c r="W439">
        <f>H439/K439</f>
        <v>1.3891777355391637</v>
      </c>
      <c r="X439">
        <f>(H439-I439)/K439</f>
        <v>0.89771503967573762</v>
      </c>
      <c r="Y439">
        <f>(H439-K439)/G439</f>
        <v>0.15284203888566847</v>
      </c>
      <c r="Z439">
        <f>J439/N439</f>
        <v>1.1796809403284916</v>
      </c>
      <c r="AA439">
        <f>J439/G439</f>
        <v>0.53415177304403627</v>
      </c>
      <c r="AB439">
        <f>C439/G439</f>
        <v>0.95961106920938311</v>
      </c>
      <c r="AC439">
        <f>C439/(G439-K439)</f>
        <v>1.5802067491343579</v>
      </c>
      <c r="AD439">
        <f>Q439/E439</f>
        <v>14.093056430950313</v>
      </c>
      <c r="AE439">
        <f>Q439/J439</f>
        <v>0.44055211283960344</v>
      </c>
      <c r="AF439">
        <f>Q439/G439</f>
        <v>0.23532169219157054</v>
      </c>
      <c r="AG439">
        <f>Q439/K439</f>
        <v>0.59919354621320009</v>
      </c>
      <c r="AH439">
        <f>Q439/L439</f>
        <v>1.6605249697452271</v>
      </c>
      <c r="AI439" s="1">
        <f>R439</f>
        <v>530.25</v>
      </c>
      <c r="AJ439" s="1">
        <f>P439</f>
        <v>7976680</v>
      </c>
    </row>
    <row r="440" spans="1:36" x14ac:dyDescent="0.25">
      <c r="A440" t="s">
        <v>76</v>
      </c>
      <c r="B440">
        <v>2022</v>
      </c>
      <c r="C440" s="1">
        <v>37507480</v>
      </c>
      <c r="D440" s="1">
        <v>3413413</v>
      </c>
      <c r="E440" s="1">
        <v>854370</v>
      </c>
      <c r="G440" s="1">
        <v>40304990</v>
      </c>
      <c r="H440" s="1">
        <v>25075075</v>
      </c>
      <c r="I440" s="1">
        <v>9799949</v>
      </c>
      <c r="J440" s="1">
        <v>24838503</v>
      </c>
      <c r="K440" s="1">
        <v>20456261</v>
      </c>
      <c r="L440" s="1">
        <v>8951541</v>
      </c>
      <c r="M440" s="1">
        <v>1164133</v>
      </c>
      <c r="N440" s="1">
        <v>15060883</v>
      </c>
      <c r="O440" s="1">
        <v>15466487</v>
      </c>
      <c r="P440" s="1">
        <v>8237608</v>
      </c>
      <c r="Q440" s="1">
        <v>-339989</v>
      </c>
      <c r="R440" s="1">
        <v>488</v>
      </c>
      <c r="T440">
        <f>E440/G440</f>
        <v>2.1197623420822088E-2</v>
      </c>
      <c r="U440">
        <f>D440/C440</f>
        <v>9.100619396451054E-2</v>
      </c>
      <c r="V440">
        <f>(E440-F440)/O440</f>
        <v>5.5240081344910451E-2</v>
      </c>
      <c r="W440">
        <f>H440/K440</f>
        <v>1.2257897472074686</v>
      </c>
      <c r="X440">
        <f>(H440-I440)/K440</f>
        <v>0.74672130943186543</v>
      </c>
      <c r="Y440">
        <f>(H440-K440)/G440</f>
        <v>0.1145965797287135</v>
      </c>
      <c r="Z440">
        <f>J440/N440</f>
        <v>1.6492062915567434</v>
      </c>
      <c r="AA440">
        <f>J440/G440</f>
        <v>0.61626371821454362</v>
      </c>
      <c r="AB440">
        <f>C440/G440</f>
        <v>0.93059147266876885</v>
      </c>
      <c r="AC440">
        <f>C440/(G440-K440)</f>
        <v>1.8896665877195462</v>
      </c>
      <c r="AD440">
        <f>Q440/E440</f>
        <v>-0.39794117302807919</v>
      </c>
      <c r="AE440">
        <f>Q440/J440</f>
        <v>-1.3687982725851072E-2</v>
      </c>
      <c r="AF440">
        <f>Q440/G440</f>
        <v>-8.4354071294894251E-3</v>
      </c>
      <c r="AG440">
        <f>Q440/K440</f>
        <v>-1.6620290482214712E-2</v>
      </c>
      <c r="AH440">
        <f>Q440/L440</f>
        <v>-3.7981058233437129E-2</v>
      </c>
      <c r="AI440" s="1">
        <f>R440</f>
        <v>488</v>
      </c>
      <c r="AJ440" s="1">
        <f>P440</f>
        <v>8237608</v>
      </c>
    </row>
    <row r="441" spans="1:36" x14ac:dyDescent="0.25">
      <c r="A441" t="s">
        <v>76</v>
      </c>
      <c r="B441">
        <v>2023</v>
      </c>
      <c r="C441" s="1">
        <v>35299201</v>
      </c>
      <c r="D441" s="1">
        <v>5299153</v>
      </c>
      <c r="E441" s="1">
        <v>698144</v>
      </c>
      <c r="G441" s="1">
        <v>39562387</v>
      </c>
      <c r="H441" s="1">
        <v>22300228</v>
      </c>
      <c r="I441" s="1">
        <v>9978466</v>
      </c>
      <c r="J441" s="1">
        <v>24208756</v>
      </c>
      <c r="K441" s="1">
        <v>19192611</v>
      </c>
      <c r="L441" s="1">
        <v>13730034</v>
      </c>
      <c r="M441" s="1">
        <v>1258065</v>
      </c>
      <c r="N441" s="1">
        <v>14976304</v>
      </c>
      <c r="O441" s="1">
        <v>15353631</v>
      </c>
      <c r="P441" s="1">
        <v>8743765</v>
      </c>
      <c r="Q441" s="1">
        <v>-3482808</v>
      </c>
      <c r="R441" s="1">
        <v>466</v>
      </c>
      <c r="T441">
        <f>E441/G441</f>
        <v>1.7646660197727704E-2</v>
      </c>
      <c r="U441">
        <f>D441/C441</f>
        <v>0.15012104664918619</v>
      </c>
      <c r="V441">
        <f>(E441-F441)/O441</f>
        <v>4.5470937786638223E-2</v>
      </c>
      <c r="W441">
        <f>H441/K441</f>
        <v>1.1619173649692582</v>
      </c>
      <c r="X441">
        <f>(H441-I441)/K441</f>
        <v>0.6420055093077226</v>
      </c>
      <c r="Y441">
        <f>(H441-K441)/G441</f>
        <v>7.8549785178533338E-2</v>
      </c>
      <c r="Z441">
        <f>J441/N441</f>
        <v>1.6164706592494382</v>
      </c>
      <c r="AA441">
        <f>J441/G441</f>
        <v>0.61191343181593161</v>
      </c>
      <c r="AB441">
        <f>C441/G441</f>
        <v>0.89224143629149577</v>
      </c>
      <c r="AC441">
        <f>C441/(G441-K441)</f>
        <v>1.7329204307401318</v>
      </c>
      <c r="AD441">
        <f>Q441/E441</f>
        <v>-4.9886670944676172</v>
      </c>
      <c r="AE441">
        <f>Q441/J441</f>
        <v>-0.14386563274874595</v>
      </c>
      <c r="AF441">
        <f>Q441/G441</f>
        <v>-8.8033313055655621E-2</v>
      </c>
      <c r="AG441">
        <f>Q441/K441</f>
        <v>-0.18146608608906833</v>
      </c>
      <c r="AH441">
        <f>Q441/L441</f>
        <v>-0.25366346507226423</v>
      </c>
      <c r="AI441" s="1">
        <f>R441</f>
        <v>466</v>
      </c>
      <c r="AJ441" s="1">
        <f>P441</f>
        <v>8743765</v>
      </c>
    </row>
    <row r="442" spans="1:36" s="8" customFormat="1" x14ac:dyDescent="0.25">
      <c r="A442" s="8" t="s">
        <v>76</v>
      </c>
      <c r="B442" s="8">
        <v>2024</v>
      </c>
      <c r="C442" s="9">
        <v>43644295</v>
      </c>
      <c r="D442" s="9">
        <v>3085702</v>
      </c>
      <c r="E442" s="9">
        <v>92605</v>
      </c>
      <c r="F442" s="9"/>
      <c r="G442" s="9">
        <v>48992998</v>
      </c>
      <c r="H442" s="9">
        <v>28372573</v>
      </c>
      <c r="I442" s="9">
        <v>9717071</v>
      </c>
      <c r="J442" s="9">
        <v>32144363</v>
      </c>
      <c r="K442" s="9">
        <v>24541068</v>
      </c>
      <c r="L442" s="9">
        <v>22394791</v>
      </c>
      <c r="M442" s="9">
        <v>2114973</v>
      </c>
      <c r="N442" s="9">
        <v>16402172</v>
      </c>
      <c r="O442" s="9">
        <v>16848635</v>
      </c>
      <c r="P442" s="9">
        <v>8679535</v>
      </c>
      <c r="Q442" s="9">
        <v>-5967838</v>
      </c>
      <c r="R442" s="9">
        <v>513.25</v>
      </c>
      <c r="T442" s="8">
        <f>E442/G442</f>
        <v>1.8901680603420105E-3</v>
      </c>
      <c r="U442" s="8">
        <f>D442/C442</f>
        <v>7.0701153495548508E-2</v>
      </c>
      <c r="V442" s="8">
        <f>(E442-F442)/O442</f>
        <v>5.4962909458243945E-3</v>
      </c>
      <c r="W442" s="8">
        <f>H442/K442</f>
        <v>1.1561262533480614</v>
      </c>
      <c r="X442" s="8">
        <f>(H442-I442)/K442</f>
        <v>0.7601748220574589</v>
      </c>
      <c r="Y442" s="8">
        <f>(H442-K442)/G442</f>
        <v>7.8205154948876573E-2</v>
      </c>
      <c r="Z442" s="8">
        <f>J442/N442</f>
        <v>1.9597625851015341</v>
      </c>
      <c r="AA442" s="8">
        <f>J442/G442</f>
        <v>0.65610116368057325</v>
      </c>
      <c r="AB442" s="8">
        <f>C442/G442</f>
        <v>0.89082719534738408</v>
      </c>
      <c r="AC442" s="8">
        <f>C442/(G442-K442)</f>
        <v>1.784901846193736</v>
      </c>
      <c r="AD442" s="8">
        <f>Q442/E442</f>
        <v>-64.444014902003133</v>
      </c>
      <c r="AE442" s="8">
        <f>Q442/J442</f>
        <v>-0.18565737326945941</v>
      </c>
      <c r="AF442" s="8">
        <f>Q442/G442</f>
        <v>-0.12181001864797088</v>
      </c>
      <c r="AG442" s="8">
        <f>Q442/K442</f>
        <v>-0.24317759927970534</v>
      </c>
      <c r="AH442" s="8">
        <f>Q442/L442</f>
        <v>-0.2664833085515288</v>
      </c>
      <c r="AI442" s="9">
        <f>R442</f>
        <v>513.25</v>
      </c>
      <c r="AJ442" s="9">
        <f>P442</f>
        <v>8679535</v>
      </c>
    </row>
    <row r="443" spans="1:36" x14ac:dyDescent="0.25">
      <c r="A443" s="15" t="s">
        <v>78</v>
      </c>
      <c r="B443" s="15">
        <v>2018</v>
      </c>
      <c r="C443" s="6">
        <v>28484874</v>
      </c>
      <c r="D443" s="11">
        <f>1240494-126866+369096</f>
        <v>1482724</v>
      </c>
      <c r="E443" s="6">
        <v>800850</v>
      </c>
      <c r="F443" s="6"/>
      <c r="G443" s="6">
        <v>24630080</v>
      </c>
      <c r="H443" s="6">
        <v>10775220</v>
      </c>
      <c r="I443" s="6">
        <v>4546333</v>
      </c>
      <c r="J443" s="6">
        <v>12324504</v>
      </c>
      <c r="K443" s="6">
        <v>7122950</v>
      </c>
      <c r="L443" s="6">
        <v>2272299</v>
      </c>
      <c r="M443" s="6">
        <v>1397541</v>
      </c>
      <c r="N443" s="6">
        <v>9739315</v>
      </c>
      <c r="O443" s="6">
        <v>12305576</v>
      </c>
      <c r="P443" s="6">
        <v>8693473</v>
      </c>
      <c r="Q443" s="6">
        <v>1885257</v>
      </c>
      <c r="R443" s="6">
        <v>85.5</v>
      </c>
      <c r="S443" s="15"/>
      <c r="T443" s="15">
        <f>E443/G443</f>
        <v>3.2515119723525054E-2</v>
      </c>
      <c r="U443" s="15">
        <f>D443/C443</f>
        <v>5.2053029969519965E-2</v>
      </c>
      <c r="V443" s="15">
        <f>(E443-F443)/O443</f>
        <v>6.5080253049511858E-2</v>
      </c>
      <c r="W443" s="15">
        <f>H443/K443</f>
        <v>1.5127468254023966</v>
      </c>
      <c r="X443" s="15">
        <f>(H443-I443)/K443</f>
        <v>0.87448135954906325</v>
      </c>
      <c r="Y443" s="15">
        <f>(H443-K443)/G443</f>
        <v>0.14828494263924438</v>
      </c>
      <c r="Z443" s="15">
        <f>J443/N443</f>
        <v>1.2654384830966039</v>
      </c>
      <c r="AA443" s="15">
        <f>J443/G443</f>
        <v>0.50038424560537365</v>
      </c>
      <c r="AB443" s="15">
        <f>C443/G443</f>
        <v>1.1565075712299757</v>
      </c>
      <c r="AC443" s="15">
        <f>C443/(G443-K443)</f>
        <v>1.6270441814277954</v>
      </c>
      <c r="AD443" s="15">
        <f>Q443/E443</f>
        <v>2.3540700505712682</v>
      </c>
      <c r="AE443" s="15">
        <f>Q443/J443</f>
        <v>0.1529681843585754</v>
      </c>
      <c r="AF443" s="15">
        <f>Q443/G443</f>
        <v>7.6542869531889463E-2</v>
      </c>
      <c r="AG443" s="15">
        <f>Q443/K443</f>
        <v>0.26467362539397299</v>
      </c>
      <c r="AH443" s="15">
        <f>Q443/L443</f>
        <v>0.82966942290605239</v>
      </c>
      <c r="AI443" s="6">
        <f>R443</f>
        <v>85.5</v>
      </c>
      <c r="AJ443" s="6">
        <f>P443</f>
        <v>8693473</v>
      </c>
    </row>
    <row r="444" spans="1:36" x14ac:dyDescent="0.25">
      <c r="A444" t="s">
        <v>78</v>
      </c>
      <c r="B444">
        <v>2019</v>
      </c>
      <c r="C444" s="1">
        <v>30089318</v>
      </c>
      <c r="D444" s="5">
        <f>1642546-149599+493597</f>
        <v>1986544</v>
      </c>
      <c r="E444" s="1">
        <v>1223826</v>
      </c>
      <c r="G444" s="1">
        <v>26201654</v>
      </c>
      <c r="H444" s="1">
        <v>11976799</v>
      </c>
      <c r="I444" s="1">
        <v>4690253</v>
      </c>
      <c r="J444" s="1">
        <v>12989002</v>
      </c>
      <c r="K444" s="1">
        <v>7804089</v>
      </c>
      <c r="L444" s="1">
        <v>1319090</v>
      </c>
      <c r="M444" s="1">
        <v>883102</v>
      </c>
      <c r="N444" s="1">
        <v>10421577</v>
      </c>
      <c r="O444" s="1">
        <v>13212652</v>
      </c>
      <c r="P444" s="1">
        <v>9249276</v>
      </c>
      <c r="Q444" s="1">
        <v>1487284</v>
      </c>
      <c r="R444" s="1">
        <v>78</v>
      </c>
      <c r="T444">
        <f>E444/G444</f>
        <v>4.6707967367250941E-2</v>
      </c>
      <c r="U444">
        <f>D444/C444</f>
        <v>6.6021569515134909E-2</v>
      </c>
      <c r="V444">
        <f>(E444-F444)/O444</f>
        <v>9.2625310951957265E-2</v>
      </c>
      <c r="W444">
        <f>H444/K444</f>
        <v>1.5346825234822412</v>
      </c>
      <c r="X444">
        <f>(H444-I444)/K444</f>
        <v>0.93368309869351818</v>
      </c>
      <c r="Y444">
        <f>(H444-K444)/G444</f>
        <v>0.15925368680923732</v>
      </c>
      <c r="Z444">
        <f>J444/N444</f>
        <v>1.2463566694368808</v>
      </c>
      <c r="AA444">
        <f>J444/G444</f>
        <v>0.49573213965805363</v>
      </c>
      <c r="AB444">
        <f>C444/G444</f>
        <v>1.1483747552730832</v>
      </c>
      <c r="AC444">
        <f>C444/(G444-K444)</f>
        <v>1.6355054595540226</v>
      </c>
      <c r="AD444">
        <f>Q444/E444</f>
        <v>1.2152740667382456</v>
      </c>
      <c r="AE444">
        <f>Q444/J444</f>
        <v>0.11450333135678938</v>
      </c>
      <c r="AF444">
        <f>Q444/G444</f>
        <v>5.6762981451476305E-2</v>
      </c>
      <c r="AG444">
        <f>Q444/K444</f>
        <v>0.1905775292926567</v>
      </c>
      <c r="AH444">
        <f>Q444/L444</f>
        <v>1.1275075999363198</v>
      </c>
      <c r="AI444" s="1">
        <f>R444</f>
        <v>78</v>
      </c>
      <c r="AJ444" s="1">
        <f>P444</f>
        <v>9249276</v>
      </c>
    </row>
    <row r="445" spans="1:36" x14ac:dyDescent="0.25">
      <c r="A445" t="s">
        <v>78</v>
      </c>
      <c r="B445">
        <v>2020</v>
      </c>
      <c r="C445" s="1">
        <v>30562982</v>
      </c>
      <c r="D445" s="5">
        <f>1160426-200530+481576</f>
        <v>1441472</v>
      </c>
      <c r="E445" s="1">
        <v>850293</v>
      </c>
      <c r="G445" s="1">
        <v>27279107</v>
      </c>
      <c r="H445" s="1">
        <v>11709180</v>
      </c>
      <c r="I445" s="1">
        <v>4661463</v>
      </c>
      <c r="J445" s="1">
        <v>13248076</v>
      </c>
      <c r="K445" s="1">
        <v>7232535</v>
      </c>
      <c r="L445" s="1">
        <v>1638216</v>
      </c>
      <c r="M445" s="1">
        <v>1377134</v>
      </c>
      <c r="N445" s="1">
        <v>11136862</v>
      </c>
      <c r="O445" s="1">
        <v>14031031</v>
      </c>
      <c r="P445" s="1">
        <v>9953105</v>
      </c>
      <c r="Q445" s="1">
        <v>3001924</v>
      </c>
      <c r="R445" s="1">
        <v>57</v>
      </c>
      <c r="T445">
        <f>E445/G445</f>
        <v>3.1170118581960914E-2</v>
      </c>
      <c r="U445">
        <f>D445/C445</f>
        <v>4.7163984194997725E-2</v>
      </c>
      <c r="V445">
        <f>(E445-F445)/O445</f>
        <v>6.0600892407692633E-2</v>
      </c>
      <c r="W445">
        <f>H445/K445</f>
        <v>1.6189593275386847</v>
      </c>
      <c r="X445">
        <f>(H445-I445)/K445</f>
        <v>0.97444630409669641</v>
      </c>
      <c r="Y445">
        <f>(H445-K445)/G445</f>
        <v>0.16410526195010708</v>
      </c>
      <c r="Z445">
        <f>J445/N445</f>
        <v>1.1895699165527955</v>
      </c>
      <c r="AA445">
        <f>J445/G445</f>
        <v>0.48564918199118468</v>
      </c>
      <c r="AB445">
        <f>C445/G445</f>
        <v>1.1203805901710786</v>
      </c>
      <c r="AC445">
        <f>C445/(G445-K445)</f>
        <v>1.5245989189573159</v>
      </c>
      <c r="AD445">
        <f>Q445/E445</f>
        <v>3.5304583243658363</v>
      </c>
      <c r="AE445">
        <f>Q445/J445</f>
        <v>0.22659320493028573</v>
      </c>
      <c r="AF445">
        <f>Q445/G445</f>
        <v>0.11004480461915414</v>
      </c>
      <c r="AG445">
        <f>Q445/K445</f>
        <v>0.41505834399695268</v>
      </c>
      <c r="AH445">
        <f>Q445/L445</f>
        <v>1.832434794923258</v>
      </c>
      <c r="AI445" s="1">
        <f>R445</f>
        <v>57</v>
      </c>
      <c r="AJ445" s="1">
        <f>P445</f>
        <v>9953105</v>
      </c>
    </row>
    <row r="446" spans="1:36" x14ac:dyDescent="0.25">
      <c r="A446" t="s">
        <v>78</v>
      </c>
      <c r="B446">
        <v>2021</v>
      </c>
      <c r="C446" s="1">
        <v>46386667</v>
      </c>
      <c r="D446" s="5">
        <f>7191273-465822+618834</f>
        <v>7344285</v>
      </c>
      <c r="E446" s="1">
        <v>5833327</v>
      </c>
      <c r="G446" s="1">
        <v>44305391</v>
      </c>
      <c r="H446" s="1">
        <v>27656383</v>
      </c>
      <c r="I446" s="1">
        <v>11103664</v>
      </c>
      <c r="J446" s="1">
        <v>25163853</v>
      </c>
      <c r="K446" s="1">
        <v>18908175</v>
      </c>
      <c r="L446" s="1">
        <v>2353086</v>
      </c>
      <c r="M446" s="1">
        <v>1819967</v>
      </c>
      <c r="N446" s="1">
        <v>15646252</v>
      </c>
      <c r="O446" s="1">
        <v>19141538</v>
      </c>
      <c r="P446" s="1">
        <v>14462463</v>
      </c>
      <c r="Q446" s="1">
        <v>-946812</v>
      </c>
      <c r="R446" s="1">
        <v>46.4</v>
      </c>
      <c r="T446">
        <f>E446/G446</f>
        <v>0.13166178806547493</v>
      </c>
      <c r="U446">
        <f>D446/C446</f>
        <v>0.15832749958086018</v>
      </c>
      <c r="V446">
        <f>(E446-F446)/O446</f>
        <v>0.30474703756824556</v>
      </c>
      <c r="W446">
        <f>H446/K446</f>
        <v>1.4626680258671183</v>
      </c>
      <c r="X446">
        <f>(H446-I446)/K446</f>
        <v>0.87542658135965001</v>
      </c>
      <c r="Y446">
        <f>(H446-K446)/G446</f>
        <v>0.19745244997386435</v>
      </c>
      <c r="Z446">
        <f>J446/N446</f>
        <v>1.6082990993625821</v>
      </c>
      <c r="AA446">
        <f>J446/G446</f>
        <v>0.56796368189144297</v>
      </c>
      <c r="AB446">
        <f>C446/G446</f>
        <v>1.046975682936643</v>
      </c>
      <c r="AC446">
        <f>C446/(G446-K446)</f>
        <v>1.826446922371334</v>
      </c>
      <c r="AD446">
        <f>Q446/E446</f>
        <v>-0.16231080479458806</v>
      </c>
      <c r="AE446">
        <f>Q446/J446</f>
        <v>-3.7625875496888332E-2</v>
      </c>
      <c r="AF446">
        <f>Q446/G446</f>
        <v>-2.1370130781601725E-2</v>
      </c>
      <c r="AG446">
        <f>Q446/K446</f>
        <v>-5.0074213931275757E-2</v>
      </c>
      <c r="AH446">
        <f>Q446/L446</f>
        <v>-0.40237033410593576</v>
      </c>
      <c r="AI446" s="1">
        <f>R446</f>
        <v>46.4</v>
      </c>
      <c r="AJ446" s="1">
        <f>P446</f>
        <v>14462463</v>
      </c>
    </row>
    <row r="447" spans="1:36" x14ac:dyDescent="0.25">
      <c r="A447" t="s">
        <v>78</v>
      </c>
      <c r="B447">
        <v>2022</v>
      </c>
      <c r="C447" s="1">
        <v>55293983</v>
      </c>
      <c r="D447" s="5">
        <f>7596775-2943626+706458</f>
        <v>5359607</v>
      </c>
      <c r="E447" s="1">
        <v>6410800</v>
      </c>
      <c r="G447" s="1">
        <v>54049600</v>
      </c>
      <c r="H447" s="1">
        <v>34445826</v>
      </c>
      <c r="I447" s="1">
        <v>12070081</v>
      </c>
      <c r="J447" s="1">
        <v>27690357</v>
      </c>
      <c r="K447" s="1">
        <v>20571993</v>
      </c>
      <c r="L447" s="1">
        <v>4314975</v>
      </c>
      <c r="M447" s="1">
        <v>2535569</v>
      </c>
      <c r="N447" s="1">
        <v>21906800</v>
      </c>
      <c r="O447" s="1">
        <v>26359243</v>
      </c>
      <c r="P447" s="1">
        <v>20662636</v>
      </c>
      <c r="Q447" s="1">
        <v>7807589</v>
      </c>
      <c r="R447" s="1">
        <v>32.5</v>
      </c>
      <c r="T447">
        <f>E447/G447</f>
        <v>0.11860957342885053</v>
      </c>
      <c r="U447">
        <f>D447/C447</f>
        <v>9.6929298799111649E-2</v>
      </c>
      <c r="V447">
        <f>(E447-F447)/O447</f>
        <v>0.24320880535150421</v>
      </c>
      <c r="W447">
        <f>H447/K447</f>
        <v>1.6744039335420735</v>
      </c>
      <c r="X447">
        <f>(H447-I447)/K447</f>
        <v>1.0876799831693507</v>
      </c>
      <c r="Y447">
        <f>(H447-K447)/G447</f>
        <v>0.25668706151386872</v>
      </c>
      <c r="Z447">
        <f>J447/N447</f>
        <v>1.2640073858345353</v>
      </c>
      <c r="AA447">
        <f>J447/G447</f>
        <v>0.51231381915869867</v>
      </c>
      <c r="AB447">
        <f>C447/G447</f>
        <v>1.0230229825937658</v>
      </c>
      <c r="AC447">
        <f>C447/(G447-K447)</f>
        <v>1.6516707123062888</v>
      </c>
      <c r="AD447">
        <f>Q447/E447</f>
        <v>1.217880607724465</v>
      </c>
      <c r="AE447">
        <f>Q447/J447</f>
        <v>0.28196057566177279</v>
      </c>
      <c r="AF447">
        <f>Q447/G447</f>
        <v>0.14445229936946805</v>
      </c>
      <c r="AG447">
        <f>Q447/K447</f>
        <v>0.37952516316722451</v>
      </c>
      <c r="AH447">
        <f>Q447/L447</f>
        <v>1.8094169722883677</v>
      </c>
      <c r="AI447" s="1">
        <f>R447</f>
        <v>32.5</v>
      </c>
      <c r="AJ447" s="1">
        <f>P447</f>
        <v>20662636</v>
      </c>
    </row>
    <row r="448" spans="1:36" x14ac:dyDescent="0.25">
      <c r="A448" t="s">
        <v>78</v>
      </c>
      <c r="B448">
        <v>2023</v>
      </c>
      <c r="C448" s="1">
        <v>80099312</v>
      </c>
      <c r="D448" s="5">
        <f>11218692-2645279+1054716</f>
        <v>9628129</v>
      </c>
      <c r="E448" s="1">
        <v>8502424</v>
      </c>
      <c r="G448" s="1">
        <v>62681059</v>
      </c>
      <c r="H448" s="1">
        <v>36011260</v>
      </c>
      <c r="I448" s="1">
        <v>12648602</v>
      </c>
      <c r="J448" s="1">
        <v>29165750</v>
      </c>
      <c r="K448" s="1">
        <v>18814859</v>
      </c>
      <c r="L448" s="1">
        <v>6572756</v>
      </c>
      <c r="M448" s="1">
        <v>3576522</v>
      </c>
      <c r="N448" s="1">
        <v>26975060</v>
      </c>
      <c r="O448" s="1">
        <v>33515309</v>
      </c>
      <c r="P448" s="1">
        <v>25766130</v>
      </c>
      <c r="Q448" s="1">
        <v>12476702</v>
      </c>
      <c r="R448" s="1">
        <v>27.7</v>
      </c>
      <c r="T448">
        <f>E448/G448</f>
        <v>0.1356458256392892</v>
      </c>
      <c r="U448">
        <f>D448/C448</f>
        <v>0.12020239324902067</v>
      </c>
      <c r="V448">
        <f>(E448-F448)/O448</f>
        <v>0.25368776996804654</v>
      </c>
      <c r="W448">
        <f>H448/K448</f>
        <v>1.9139797965002023</v>
      </c>
      <c r="X448">
        <f>(H448-I448)/K448</f>
        <v>1.2417131587326804</v>
      </c>
      <c r="Y448">
        <f>(H448-K448)/G448</f>
        <v>0.2743476462323331</v>
      </c>
      <c r="Z448">
        <f>J448/N448</f>
        <v>1.0812116821982973</v>
      </c>
      <c r="AA448">
        <f>J448/G448</f>
        <v>0.46530404025241501</v>
      </c>
      <c r="AB448">
        <f>C448/G448</f>
        <v>1.2778870248506811</v>
      </c>
      <c r="AC448">
        <f>C448/(G448-K448)</f>
        <v>1.8259915834970888</v>
      </c>
      <c r="AD448">
        <f>Q448/E448</f>
        <v>1.4674288179465056</v>
      </c>
      <c r="AE448">
        <f>Q448/J448</f>
        <v>0.42778608470551932</v>
      </c>
      <c r="AF448">
        <f>Q448/G448</f>
        <v>0.19905059357723998</v>
      </c>
      <c r="AG448">
        <f>Q448/K448</f>
        <v>0.66313024190082959</v>
      </c>
      <c r="AH448">
        <f>Q448/L448</f>
        <v>1.8982451197032113</v>
      </c>
      <c r="AI448" s="1">
        <f>R448</f>
        <v>27.7</v>
      </c>
      <c r="AJ448" s="1">
        <f>P448</f>
        <v>25766130</v>
      </c>
    </row>
    <row r="449" spans="1:36" s="8" customFormat="1" x14ac:dyDescent="0.25">
      <c r="A449" s="8" t="s">
        <v>78</v>
      </c>
      <c r="B449" s="8">
        <v>2024</v>
      </c>
      <c r="C449" s="9">
        <v>73941960</v>
      </c>
      <c r="D449" s="10">
        <f>7567448-1296256+1466345</f>
        <v>7737537</v>
      </c>
      <c r="E449" s="9">
        <v>5779045</v>
      </c>
      <c r="F449" s="9"/>
      <c r="G449" s="9">
        <v>63913367</v>
      </c>
      <c r="H449" s="9">
        <v>34424004</v>
      </c>
      <c r="I449" s="9">
        <v>11685227</v>
      </c>
      <c r="J449" s="9">
        <v>27833493</v>
      </c>
      <c r="K449" s="9">
        <v>15980847</v>
      </c>
      <c r="L449" s="9">
        <v>6146407</v>
      </c>
      <c r="M449" s="9">
        <v>4300664</v>
      </c>
      <c r="N449" s="9">
        <v>28876855</v>
      </c>
      <c r="O449" s="9">
        <v>36079875</v>
      </c>
      <c r="P449" s="9">
        <v>27667925</v>
      </c>
      <c r="Q449" s="9">
        <v>6704624</v>
      </c>
      <c r="R449" s="9">
        <v>30.4</v>
      </c>
      <c r="T449" s="8">
        <f>E449/G449</f>
        <v>9.0419974275490755E-2</v>
      </c>
      <c r="U449" s="8">
        <f>D449/C449</f>
        <v>0.10464338516317392</v>
      </c>
      <c r="V449" s="8">
        <f>(E449-F449)/O449</f>
        <v>0.16017364250846214</v>
      </c>
      <c r="W449" s="8">
        <f>H449/K449</f>
        <v>2.1540788169738438</v>
      </c>
      <c r="X449" s="8">
        <f>(H449-I449)/K449</f>
        <v>1.4228768350012988</v>
      </c>
      <c r="Y449" s="8">
        <f>(H449-K449)/G449</f>
        <v>0.28856494135256555</v>
      </c>
      <c r="Z449" s="8">
        <f>J449/N449</f>
        <v>0.9638685722527609</v>
      </c>
      <c r="AA449" s="8">
        <f>J449/G449</f>
        <v>0.43548782213273163</v>
      </c>
      <c r="AB449" s="8">
        <f>C449/G449</f>
        <v>1.1569091642441558</v>
      </c>
      <c r="AC449" s="8">
        <f>C449/(G449-K449)</f>
        <v>1.5426261752981065</v>
      </c>
      <c r="AD449" s="8">
        <f>Q449/E449</f>
        <v>1.1601612377131516</v>
      </c>
      <c r="AE449" s="8">
        <f>Q449/J449</f>
        <v>0.24088331277716382</v>
      </c>
      <c r="AF449" s="8">
        <f>Q449/G449</f>
        <v>0.10490174926944469</v>
      </c>
      <c r="AG449" s="8">
        <f>Q449/K449</f>
        <v>0.41954121705814468</v>
      </c>
      <c r="AH449" s="8">
        <f>Q449/L449</f>
        <v>1.0908200514544513</v>
      </c>
      <c r="AI449" s="9">
        <f>R449</f>
        <v>30.4</v>
      </c>
      <c r="AJ449" s="9">
        <f>P449</f>
        <v>27667925</v>
      </c>
    </row>
    <row r="450" spans="1:36" x14ac:dyDescent="0.25">
      <c r="A450" s="15" t="s">
        <v>79</v>
      </c>
      <c r="B450" s="15">
        <v>2018</v>
      </c>
      <c r="C450" s="6">
        <v>90387000</v>
      </c>
      <c r="D450" s="6">
        <v>7909611</v>
      </c>
      <c r="E450" s="6">
        <v>4349500</v>
      </c>
      <c r="F450" s="6"/>
      <c r="G450" s="6">
        <v>24117621</v>
      </c>
      <c r="H450" s="6">
        <v>15079248</v>
      </c>
      <c r="I450" s="6">
        <v>4694531</v>
      </c>
      <c r="J450" s="6">
        <v>18404712</v>
      </c>
      <c r="K450" s="6">
        <v>16501407</v>
      </c>
      <c r="L450" s="6">
        <v>5300000</v>
      </c>
      <c r="M450" s="6">
        <v>0</v>
      </c>
      <c r="N450" s="6">
        <v>5712900</v>
      </c>
      <c r="O450" s="6">
        <v>5712900</v>
      </c>
      <c r="P450" s="6">
        <v>-467788</v>
      </c>
      <c r="Q450" s="6">
        <v>2245565</v>
      </c>
      <c r="R450" s="6" t="s">
        <v>223</v>
      </c>
      <c r="S450" s="15"/>
      <c r="T450" s="15">
        <f>E450/G450</f>
        <v>0.180345316812135</v>
      </c>
      <c r="U450" s="15">
        <f>D450/C450</f>
        <v>8.7508281058116769E-2</v>
      </c>
      <c r="V450" s="15">
        <f>(E450-F450)/O450</f>
        <v>0.76134712667821947</v>
      </c>
      <c r="W450" s="15">
        <f>H450/K450</f>
        <v>0.91381589460825974</v>
      </c>
      <c r="X450" s="15">
        <f>(H450-I450)/K450</f>
        <v>0.62932312377968735</v>
      </c>
      <c r="Y450" s="15">
        <f>(H450-K450)/G450</f>
        <v>-5.8967632006490189E-2</v>
      </c>
      <c r="Z450" s="15">
        <f>J450/N450</f>
        <v>3.2216058394160583</v>
      </c>
      <c r="AA450" s="15">
        <f>J450/G450</f>
        <v>0.76312302942317567</v>
      </c>
      <c r="AB450" s="15">
        <f>C450/G450</f>
        <v>3.7477577079430846</v>
      </c>
      <c r="AC450" s="15">
        <f>C450/(G450-K450)</f>
        <v>11.867707498765135</v>
      </c>
      <c r="AD450" s="15">
        <f>Q450/E450</f>
        <v>0.51628118174502813</v>
      </c>
      <c r="AE450" s="15">
        <f>Q450/J450</f>
        <v>0.12201033083266938</v>
      </c>
      <c r="AF450" s="15">
        <f>Q450/G450</f>
        <v>9.3108893285950553E-2</v>
      </c>
      <c r="AG450" s="15">
        <f>Q450/K450</f>
        <v>0.13608324429547128</v>
      </c>
      <c r="AH450" s="15">
        <f>Q450/L450</f>
        <v>0.42369150943396228</v>
      </c>
      <c r="AI450" s="6" t="str">
        <f>R450</f>
        <v>-</v>
      </c>
      <c r="AJ450" s="6">
        <f>P450</f>
        <v>-467788</v>
      </c>
    </row>
    <row r="451" spans="1:36" x14ac:dyDescent="0.25">
      <c r="A451" t="s">
        <v>79</v>
      </c>
      <c r="B451">
        <v>2019</v>
      </c>
      <c r="C451" s="1">
        <v>81672900</v>
      </c>
      <c r="D451" s="1">
        <v>9126586</v>
      </c>
      <c r="E451" s="1">
        <v>5394600</v>
      </c>
      <c r="G451" s="1">
        <v>25785000</v>
      </c>
      <c r="H451" s="1">
        <v>16929800</v>
      </c>
      <c r="I451" s="1">
        <v>4754749</v>
      </c>
      <c r="J451" s="1">
        <v>17962646</v>
      </c>
      <c r="K451" s="1">
        <v>15761197</v>
      </c>
      <c r="L451" s="1">
        <v>5187400</v>
      </c>
      <c r="M451" s="1">
        <v>0</v>
      </c>
      <c r="N451" s="1">
        <v>7822400</v>
      </c>
      <c r="O451" s="1">
        <v>7822400</v>
      </c>
      <c r="P451" s="1">
        <v>1832633</v>
      </c>
      <c r="Q451" s="1">
        <v>3773900</v>
      </c>
      <c r="R451" s="1">
        <v>14.5</v>
      </c>
      <c r="T451">
        <f>E451/G451</f>
        <v>0.20921465968586386</v>
      </c>
      <c r="U451">
        <f>D451/C451</f>
        <v>0.11174558513288986</v>
      </c>
      <c r="V451">
        <f>(E451-F451)/O451</f>
        <v>0.68963489466148498</v>
      </c>
      <c r="W451">
        <f>H451/K451</f>
        <v>1.0741443051565183</v>
      </c>
      <c r="X451">
        <f>(H451-I451)/K451</f>
        <v>0.77246994628644006</v>
      </c>
      <c r="Y451">
        <f>(H451-K451)/G451</f>
        <v>4.5321039363971298E-2</v>
      </c>
      <c r="Z451">
        <f>J451/N451</f>
        <v>2.2963088054816936</v>
      </c>
      <c r="AA451">
        <f>J451/G451</f>
        <v>0.69663160752375408</v>
      </c>
      <c r="AB451">
        <f>C451/G451</f>
        <v>3.1674578243164633</v>
      </c>
      <c r="AC451">
        <f>C451/(G451-K451)</f>
        <v>8.1478955641885626</v>
      </c>
      <c r="AD451">
        <f>Q451/E451</f>
        <v>0.69956994031068109</v>
      </c>
      <c r="AE451">
        <f>Q451/J451</f>
        <v>0.21009710930115752</v>
      </c>
      <c r="AF451">
        <f>Q451/G451</f>
        <v>0.14636028698855924</v>
      </c>
      <c r="AG451">
        <f>Q451/K451</f>
        <v>0.23944247381718534</v>
      </c>
      <c r="AH451">
        <f>Q451/L451</f>
        <v>0.72751281952423175</v>
      </c>
      <c r="AI451" s="1">
        <f>R451</f>
        <v>14.5</v>
      </c>
      <c r="AJ451" s="1">
        <f>P451</f>
        <v>1832633</v>
      </c>
    </row>
    <row r="452" spans="1:36" x14ac:dyDescent="0.25">
      <c r="A452" t="s">
        <v>79</v>
      </c>
      <c r="B452">
        <v>2020</v>
      </c>
      <c r="C452" s="1">
        <v>81648000</v>
      </c>
      <c r="D452" s="1">
        <v>9872989</v>
      </c>
      <c r="E452" s="1">
        <v>5761000</v>
      </c>
      <c r="G452" s="1">
        <v>20877900</v>
      </c>
      <c r="H452" s="1">
        <v>10824100</v>
      </c>
      <c r="I452" s="1">
        <v>4733605</v>
      </c>
      <c r="J452" s="1">
        <v>13982122</v>
      </c>
      <c r="K452" s="1">
        <v>10320122</v>
      </c>
      <c r="L452" s="1">
        <v>5187800</v>
      </c>
      <c r="M452" s="1">
        <v>0</v>
      </c>
      <c r="N452" s="1">
        <v>6895800</v>
      </c>
      <c r="O452" s="1">
        <v>6895800</v>
      </c>
      <c r="P452" s="1">
        <v>889739</v>
      </c>
      <c r="Q452" s="1">
        <v>6386900</v>
      </c>
      <c r="R452" s="1">
        <v>13</v>
      </c>
      <c r="T452">
        <f>E452/G452</f>
        <v>0.27593771404212109</v>
      </c>
      <c r="U452">
        <f>D452/C452</f>
        <v>0.12092138203017833</v>
      </c>
      <c r="V452">
        <f>(E452-F452)/O452</f>
        <v>0.83543606253081582</v>
      </c>
      <c r="W452">
        <f>H452/K452</f>
        <v>1.0488345002123036</v>
      </c>
      <c r="X452">
        <f>(H452-I452)/K452</f>
        <v>0.59015726752067466</v>
      </c>
      <c r="Y452">
        <f>(H452-K452)/G452</f>
        <v>2.4139305198319753E-2</v>
      </c>
      <c r="Z452">
        <f>J452/N452</f>
        <v>2.0276287015284664</v>
      </c>
      <c r="AA452">
        <f>J452/G452</f>
        <v>0.66970921404930572</v>
      </c>
      <c r="AB452">
        <f>C452/G452</f>
        <v>3.9107381489517623</v>
      </c>
      <c r="AC452">
        <f>C452/(G452-K452)</f>
        <v>7.7334454276269113</v>
      </c>
      <c r="AD452">
        <f>Q452/E452</f>
        <v>1.108644332581149</v>
      </c>
      <c r="AE452">
        <f>Q452/J452</f>
        <v>0.45679046428002845</v>
      </c>
      <c r="AF452">
        <f>Q452/G452</f>
        <v>0.30591678281819534</v>
      </c>
      <c r="AG452">
        <f>Q452/K452</f>
        <v>0.61887834271726627</v>
      </c>
      <c r="AH452">
        <f>Q452/L452</f>
        <v>1.2311384401865917</v>
      </c>
      <c r="AI452" s="1">
        <f>R452</f>
        <v>13</v>
      </c>
      <c r="AJ452" s="1">
        <f>P452</f>
        <v>889739</v>
      </c>
    </row>
    <row r="453" spans="1:36" x14ac:dyDescent="0.25">
      <c r="A453" t="s">
        <v>79</v>
      </c>
      <c r="B453">
        <v>2021</v>
      </c>
      <c r="C453" s="1">
        <v>92830100</v>
      </c>
      <c r="D453" s="1">
        <v>12175109</v>
      </c>
      <c r="E453" s="1">
        <v>7268100</v>
      </c>
      <c r="G453" s="1">
        <v>23071900</v>
      </c>
      <c r="H453" s="1">
        <v>14427700</v>
      </c>
      <c r="I453" s="1">
        <v>4640802</v>
      </c>
      <c r="J453" s="1">
        <v>13990651</v>
      </c>
      <c r="K453" s="1">
        <v>10806937</v>
      </c>
      <c r="L453" s="1">
        <v>13000</v>
      </c>
      <c r="M453" s="1">
        <v>0</v>
      </c>
      <c r="N453" s="1">
        <v>9081300</v>
      </c>
      <c r="O453" s="1">
        <v>9081300</v>
      </c>
      <c r="P453" s="1">
        <v>3671541</v>
      </c>
      <c r="Q453" s="1">
        <v>11949000</v>
      </c>
      <c r="R453" s="1">
        <v>19.899999999999999</v>
      </c>
      <c r="T453">
        <f>E453/G453</f>
        <v>0.31501956925957553</v>
      </c>
      <c r="U453">
        <f>D453/C453</f>
        <v>0.13115475476165597</v>
      </c>
      <c r="V453">
        <f>(E453-F453)/O453</f>
        <v>0.80033695616266398</v>
      </c>
      <c r="W453">
        <f>H453/K453</f>
        <v>1.3350406317719812</v>
      </c>
      <c r="X453">
        <f>(H453-I453)/K453</f>
        <v>0.90561257088849501</v>
      </c>
      <c r="Y453">
        <f>(H453-K453)/G453</f>
        <v>0.15693388927656587</v>
      </c>
      <c r="Z453">
        <f>J453/N453</f>
        <v>1.5406000242256064</v>
      </c>
      <c r="AA453">
        <f>J453/G453</f>
        <v>0.60639353499278348</v>
      </c>
      <c r="AB453">
        <f>C453/G453</f>
        <v>4.0235134514279274</v>
      </c>
      <c r="AC453">
        <f>C453/(G453-K453)</f>
        <v>7.5687223842420073</v>
      </c>
      <c r="AD453">
        <f>Q453/E453</f>
        <v>1.6440335163247617</v>
      </c>
      <c r="AE453">
        <f>Q453/J453</f>
        <v>0.85407033596935555</v>
      </c>
      <c r="AF453">
        <f>Q453/G453</f>
        <v>0.51790273016093169</v>
      </c>
      <c r="AG453">
        <f>Q453/K453</f>
        <v>1.1056786950826123</v>
      </c>
      <c r="AH453">
        <f>Q453/L453</f>
        <v>919.15384615384619</v>
      </c>
      <c r="AI453" s="1">
        <f>R453</f>
        <v>19.899999999999999</v>
      </c>
      <c r="AJ453" s="1">
        <f>P453</f>
        <v>3671541</v>
      </c>
    </row>
    <row r="454" spans="1:36" x14ac:dyDescent="0.25">
      <c r="A454" t="s">
        <v>79</v>
      </c>
      <c r="B454">
        <v>2022</v>
      </c>
      <c r="C454" s="1">
        <v>107057400</v>
      </c>
      <c r="D454" s="1">
        <v>13060541</v>
      </c>
      <c r="E454" s="1">
        <v>7985800</v>
      </c>
      <c r="G454" s="1">
        <v>25159664</v>
      </c>
      <c r="H454" s="1">
        <v>17274136</v>
      </c>
      <c r="I454" s="1">
        <v>3381008</v>
      </c>
      <c r="J454" s="1">
        <v>18787203</v>
      </c>
      <c r="K454" s="1">
        <v>15869020</v>
      </c>
      <c r="L454" s="1">
        <v>10000</v>
      </c>
      <c r="M454" s="1">
        <v>0</v>
      </c>
      <c r="N454" s="1">
        <v>6372400</v>
      </c>
      <c r="O454" s="1">
        <v>6372400</v>
      </c>
      <c r="P454" s="1">
        <v>1325870</v>
      </c>
      <c r="Q454" s="1">
        <v>12273800</v>
      </c>
      <c r="R454" s="1">
        <v>19.3</v>
      </c>
      <c r="T454">
        <f>E454/G454</f>
        <v>0.31740487472328727</v>
      </c>
      <c r="U454">
        <f>D454/C454</f>
        <v>0.12199568642616017</v>
      </c>
      <c r="V454">
        <f>(E454-F454)/O454</f>
        <v>1.2531856129558723</v>
      </c>
      <c r="W454">
        <f>H454/K454</f>
        <v>1.0885445982171551</v>
      </c>
      <c r="X454">
        <f>(H454-I454)/K454</f>
        <v>0.87548745921298232</v>
      </c>
      <c r="Y454">
        <f>(H454-K454)/G454</f>
        <v>5.5847963629403002E-2</v>
      </c>
      <c r="Z454">
        <f>J454/N454</f>
        <v>2.9482146444039921</v>
      </c>
      <c r="AA454">
        <f>J454/G454</f>
        <v>0.74671915332414618</v>
      </c>
      <c r="AB454">
        <f>C454/G454</f>
        <v>4.255120418142309</v>
      </c>
      <c r="AC454">
        <f>C454/(G454-K454)</f>
        <v>11.52314091466641</v>
      </c>
      <c r="AD454">
        <f>Q454/E454</f>
        <v>1.5369530917378347</v>
      </c>
      <c r="AE454">
        <f>Q454/J454</f>
        <v>0.65330640223560688</v>
      </c>
      <c r="AF454">
        <f>Q454/G454</f>
        <v>0.4878364035386164</v>
      </c>
      <c r="AG454">
        <f>Q454/K454</f>
        <v>0.77344410681945075</v>
      </c>
      <c r="AH454">
        <f>Q454/L454</f>
        <v>1227.3800000000001</v>
      </c>
      <c r="AI454" s="1">
        <f>R454</f>
        <v>19.3</v>
      </c>
      <c r="AJ454" s="1">
        <f>P454</f>
        <v>1325870</v>
      </c>
    </row>
    <row r="455" spans="1:36" x14ac:dyDescent="0.25">
      <c r="A455" t="s">
        <v>79</v>
      </c>
      <c r="B455">
        <v>2023</v>
      </c>
      <c r="C455" s="1">
        <v>123357900</v>
      </c>
      <c r="D455" s="1">
        <v>29608807</v>
      </c>
      <c r="E455" s="1">
        <v>18843400</v>
      </c>
      <c r="G455" s="1">
        <v>29713100</v>
      </c>
      <c r="H455" s="1">
        <v>22371800</v>
      </c>
      <c r="I455" s="1">
        <v>6822811</v>
      </c>
      <c r="J455" s="1">
        <v>17465381</v>
      </c>
      <c r="K455" s="1">
        <v>15196341</v>
      </c>
      <c r="L455" s="1">
        <v>4600</v>
      </c>
      <c r="M455" s="1">
        <v>0</v>
      </c>
      <c r="N455" s="1">
        <v>12247700</v>
      </c>
      <c r="O455" s="1">
        <v>12247700</v>
      </c>
      <c r="P455" s="1">
        <v>6912288</v>
      </c>
      <c r="Q455" s="1">
        <v>7054000</v>
      </c>
      <c r="R455" s="1">
        <v>19.600000000000001</v>
      </c>
      <c r="T455">
        <f>E455/G455</f>
        <v>0.63417819076434301</v>
      </c>
      <c r="U455">
        <f>D455/C455</f>
        <v>0.24002359800223577</v>
      </c>
      <c r="V455">
        <f>(E455-F455)/O455</f>
        <v>1.5385256007250341</v>
      </c>
      <c r="W455">
        <f>H455/K455</f>
        <v>1.4721833367650805</v>
      </c>
      <c r="X455">
        <f>(H455-I455)/K455</f>
        <v>1.0232061125767051</v>
      </c>
      <c r="Y455">
        <f>(H455-K455)/G455</f>
        <v>0.24149142970608922</v>
      </c>
      <c r="Z455">
        <f>J455/N455</f>
        <v>1.4260131289956481</v>
      </c>
      <c r="AA455">
        <f>J455/G455</f>
        <v>0.58780070070103763</v>
      </c>
      <c r="AB455">
        <f>C455/G455</f>
        <v>4.1516334546041982</v>
      </c>
      <c r="AC455">
        <f>C455/(G455-K455)</f>
        <v>8.4976198888470904</v>
      </c>
      <c r="AD455">
        <f>Q455/E455</f>
        <v>0.37434857828205104</v>
      </c>
      <c r="AE455">
        <f>Q455/J455</f>
        <v>0.40388469052006365</v>
      </c>
      <c r="AF455">
        <f>Q455/G455</f>
        <v>0.23740370409011513</v>
      </c>
      <c r="AG455">
        <f>Q455/K455</f>
        <v>0.46419068906126809</v>
      </c>
      <c r="AH455">
        <f>Q455/L455</f>
        <v>1533.4782608695652</v>
      </c>
      <c r="AI455" s="1">
        <f>R455</f>
        <v>19.600000000000001</v>
      </c>
      <c r="AJ455" s="1">
        <f>P455</f>
        <v>6912288</v>
      </c>
    </row>
    <row r="456" spans="1:36" s="8" customFormat="1" x14ac:dyDescent="0.25">
      <c r="A456" s="8" t="s">
        <v>79</v>
      </c>
      <c r="B456" s="8">
        <v>2024</v>
      </c>
      <c r="C456" s="9">
        <v>115396200</v>
      </c>
      <c r="D456" s="9">
        <v>22858121</v>
      </c>
      <c r="E456" s="9">
        <v>14340000</v>
      </c>
      <c r="F456" s="9"/>
      <c r="G456" s="9">
        <v>30979700</v>
      </c>
      <c r="H456" s="9">
        <v>18023900</v>
      </c>
      <c r="I456" s="9">
        <v>6628705</v>
      </c>
      <c r="J456" s="9">
        <v>20358870</v>
      </c>
      <c r="K456" s="9">
        <v>18124002</v>
      </c>
      <c r="L456" s="9">
        <v>2715500</v>
      </c>
      <c r="M456" s="9">
        <v>0</v>
      </c>
      <c r="N456" s="9">
        <v>10620800</v>
      </c>
      <c r="O456" s="9">
        <v>10620800</v>
      </c>
      <c r="P456" s="9">
        <v>3448776</v>
      </c>
      <c r="Q456" s="9">
        <v>17907200</v>
      </c>
      <c r="R456" s="9">
        <v>26.9</v>
      </c>
      <c r="T456" s="8">
        <f>E456/G456</f>
        <v>0.46288375936500353</v>
      </c>
      <c r="U456" s="8">
        <f>D456/C456</f>
        <v>0.19808382771703054</v>
      </c>
      <c r="V456" s="8">
        <f>(E456-F456)/O456</f>
        <v>1.3501807773425731</v>
      </c>
      <c r="W456" s="8">
        <f>H456/K456</f>
        <v>0.99447682691714556</v>
      </c>
      <c r="X456" s="8">
        <f>(H456-I456)/K456</f>
        <v>0.62873503324486502</v>
      </c>
      <c r="Y456" s="8">
        <f>(H456-K456)/G456</f>
        <v>-3.2312126973469725E-3</v>
      </c>
      <c r="Z456" s="8">
        <f>J456/N456</f>
        <v>1.9168866752033744</v>
      </c>
      <c r="AA456" s="8">
        <f>J456/G456</f>
        <v>0.65716808103370916</v>
      </c>
      <c r="AB456" s="8">
        <f>C456/G456</f>
        <v>3.7248972714390391</v>
      </c>
      <c r="AC456" s="8">
        <f>C456/(G456-K456)</f>
        <v>8.9762687331329651</v>
      </c>
      <c r="AD456" s="8">
        <f>Q456/E456</f>
        <v>1.2487587168758716</v>
      </c>
      <c r="AE456" s="8">
        <f>Q456/J456</f>
        <v>0.87957730463429451</v>
      </c>
      <c r="AF456" s="8">
        <f>Q456/G456</f>
        <v>0.57803012940732157</v>
      </c>
      <c r="AG456" s="8">
        <f>Q456/K456</f>
        <v>0.988037851684192</v>
      </c>
      <c r="AH456" s="8">
        <f>Q456/L456</f>
        <v>6.5944393297735227</v>
      </c>
      <c r="AI456" s="9">
        <f>R456</f>
        <v>26.9</v>
      </c>
      <c r="AJ456" s="9">
        <f>P456</f>
        <v>3448776</v>
      </c>
    </row>
    <row r="457" spans="1:36" x14ac:dyDescent="0.25">
      <c r="A457" t="s">
        <v>68</v>
      </c>
      <c r="B457">
        <v>2018</v>
      </c>
      <c r="C457" s="1">
        <v>14946583</v>
      </c>
      <c r="D457" s="1">
        <f>460889-308500</f>
        <v>152389</v>
      </c>
      <c r="E457" s="1">
        <v>337475</v>
      </c>
      <c r="G457" s="1">
        <v>16989584</v>
      </c>
      <c r="H457" s="1">
        <v>12039360</v>
      </c>
      <c r="I457" s="1">
        <v>821934</v>
      </c>
      <c r="J457" s="1">
        <f>872526+K457</f>
        <v>6692865</v>
      </c>
      <c r="K457" s="1">
        <v>5820339</v>
      </c>
      <c r="L457" s="1">
        <v>2712300</v>
      </c>
      <c r="M457" s="1">
        <v>0</v>
      </c>
      <c r="N457" s="1">
        <v>10220207</v>
      </c>
      <c r="O457" s="1">
        <v>10296719</v>
      </c>
      <c r="P457" s="1">
        <v>9391113</v>
      </c>
      <c r="Q457" s="1">
        <v>1072449</v>
      </c>
      <c r="R457" s="1">
        <v>55.6</v>
      </c>
      <c r="T457">
        <f>E457/G457</f>
        <v>1.986364115801776E-2</v>
      </c>
      <c r="U457">
        <f>D457/C457</f>
        <v>1.0195574466752701E-2</v>
      </c>
      <c r="V457">
        <f>(E457-F457)/O457</f>
        <v>3.2775003377289405E-2</v>
      </c>
      <c r="W457">
        <f>H457/K457</f>
        <v>2.0684980720195165</v>
      </c>
      <c r="X457">
        <f>(H457-I457)/K457</f>
        <v>1.9272805243818272</v>
      </c>
      <c r="Y457">
        <f>(H457-K457)/G457</f>
        <v>0.36604904510905034</v>
      </c>
      <c r="Z457">
        <f>J457/N457</f>
        <v>0.65486589459489419</v>
      </c>
      <c r="AA457">
        <f>J457/G457</f>
        <v>0.39393931010906447</v>
      </c>
      <c r="AB457">
        <f>C457/G457</f>
        <v>0.87974979257879415</v>
      </c>
      <c r="AC457">
        <f>C457/(G457-K457)</f>
        <v>1.338190987842061</v>
      </c>
      <c r="AD457">
        <f>Q457/E457</f>
        <v>3.177862063856582</v>
      </c>
      <c r="AE457">
        <f>Q457/J457</f>
        <v>0.16023765607105478</v>
      </c>
      <c r="AF457">
        <f>Q457/G457</f>
        <v>6.312391168612487E-2</v>
      </c>
      <c r="AG457">
        <f>Q457/K457</f>
        <v>0.18425885502545469</v>
      </c>
      <c r="AH457">
        <f>Q457/L457</f>
        <v>0.39540205729454708</v>
      </c>
      <c r="AI457" s="1">
        <f>R457</f>
        <v>55.6</v>
      </c>
      <c r="AJ457" s="1">
        <f>P457</f>
        <v>9391113</v>
      </c>
    </row>
    <row r="458" spans="1:36" x14ac:dyDescent="0.25">
      <c r="A458" t="s">
        <v>68</v>
      </c>
      <c r="B458">
        <v>2019</v>
      </c>
      <c r="C458" s="1">
        <v>11631547</v>
      </c>
      <c r="D458" s="1">
        <f>-1476239-292390</f>
        <v>-1768629</v>
      </c>
      <c r="E458" s="1">
        <v>-1677047</v>
      </c>
      <c r="G458" s="1">
        <v>17019847</v>
      </c>
      <c r="H458" s="1">
        <v>11390183</v>
      </c>
      <c r="I458" s="1">
        <v>712862</v>
      </c>
      <c r="J458" s="1">
        <f>1081138+K458</f>
        <v>8603941</v>
      </c>
      <c r="K458" s="1">
        <v>7522803</v>
      </c>
      <c r="L458" s="1">
        <v>3670553</v>
      </c>
      <c r="M458" s="1">
        <v>0</v>
      </c>
      <c r="N458" s="1">
        <v>8334770</v>
      </c>
      <c r="O458" s="1">
        <v>8415906</v>
      </c>
      <c r="P458" s="1">
        <v>7599193</v>
      </c>
      <c r="Q458" s="1">
        <v>-580721</v>
      </c>
      <c r="R458" s="1">
        <v>62</v>
      </c>
      <c r="T458">
        <f>E458/G458</f>
        <v>-9.8534787063596987E-2</v>
      </c>
      <c r="U458">
        <f>D458/C458</f>
        <v>-0.15205449455691492</v>
      </c>
      <c r="V458">
        <f>(E458-F458)/O458</f>
        <v>-0.19927111828482874</v>
      </c>
      <c r="W458">
        <f>H458/K458</f>
        <v>1.5140876346223608</v>
      </c>
      <c r="X458">
        <f>(H458-I458)/K458</f>
        <v>1.4193274767397206</v>
      </c>
      <c r="Y458">
        <f>(H458-K458)/G458</f>
        <v>0.22722765956709245</v>
      </c>
      <c r="Z458">
        <f>J458/N458</f>
        <v>1.0322949523502147</v>
      </c>
      <c r="AA458">
        <f>J458/G458</f>
        <v>0.50552399207818965</v>
      </c>
      <c r="AB458">
        <f>C458/G458</f>
        <v>0.68341078506757436</v>
      </c>
      <c r="AC458">
        <f>C458/(G458-K458)</f>
        <v>1.2247544604405329</v>
      </c>
      <c r="AD458">
        <f>Q458/E458</f>
        <v>0.3462759242883473</v>
      </c>
      <c r="AE458">
        <f>Q458/J458</f>
        <v>-6.7494767804660682E-2</v>
      </c>
      <c r="AF458">
        <f>Q458/G458</f>
        <v>-3.4120224465002534E-2</v>
      </c>
      <c r="AG458">
        <f>Q458/K458</f>
        <v>-7.7194763707091621E-2</v>
      </c>
      <c r="AH458">
        <f>Q458/L458</f>
        <v>-0.1582107655168036</v>
      </c>
      <c r="AI458" s="1">
        <f>R458</f>
        <v>62</v>
      </c>
      <c r="AJ458" s="1">
        <f>P458</f>
        <v>7599193</v>
      </c>
    </row>
    <row r="459" spans="1:36" x14ac:dyDescent="0.25">
      <c r="A459" t="s">
        <v>68</v>
      </c>
      <c r="B459">
        <v>2020</v>
      </c>
      <c r="C459" s="1">
        <v>9674445</v>
      </c>
      <c r="D459" s="1">
        <f>-1006513+140356</f>
        <v>-866157</v>
      </c>
      <c r="E459" s="1">
        <v>-1161136</v>
      </c>
      <c r="G459" s="1">
        <v>18056071</v>
      </c>
      <c r="H459" s="1">
        <v>11727905</v>
      </c>
      <c r="I459" s="1">
        <v>1144194</v>
      </c>
      <c r="J459" s="1">
        <f>1226876+K459</f>
        <v>11053293</v>
      </c>
      <c r="K459" s="1">
        <v>9826417</v>
      </c>
      <c r="L459" s="1">
        <v>6441816</v>
      </c>
      <c r="M459" s="1">
        <v>0</v>
      </c>
      <c r="N459" s="1">
        <v>6918382</v>
      </c>
      <c r="O459" s="1">
        <v>7002778</v>
      </c>
      <c r="P459" s="1">
        <v>6284377</v>
      </c>
      <c r="Q459" s="1">
        <v>-1367248</v>
      </c>
      <c r="R459" s="1">
        <v>85.3</v>
      </c>
      <c r="T459">
        <f>E459/G459</f>
        <v>-6.4307234946074376E-2</v>
      </c>
      <c r="U459">
        <f>D459/C459</f>
        <v>-8.9530407170643894E-2</v>
      </c>
      <c r="V459">
        <f>(E459-F459)/O459</f>
        <v>-0.16581076824083243</v>
      </c>
      <c r="W459">
        <f>H459/K459</f>
        <v>1.1935077658519886</v>
      </c>
      <c r="X459">
        <f>(H459-I459)/K459</f>
        <v>1.0770671547930442</v>
      </c>
      <c r="Y459">
        <f>(H459-K459)/G459</f>
        <v>0.10531017517598375</v>
      </c>
      <c r="Z459">
        <f>J459/N459</f>
        <v>1.5976702356128933</v>
      </c>
      <c r="AA459">
        <f>J459/G459</f>
        <v>0.61216490564309367</v>
      </c>
      <c r="AB459">
        <f>C459/G459</f>
        <v>0.53580011952766471</v>
      </c>
      <c r="AC459">
        <f>C459/(G459-K459)</f>
        <v>1.1755591425836371</v>
      </c>
      <c r="AD459">
        <f>Q459/E459</f>
        <v>1.1775089222967852</v>
      </c>
      <c r="AE459">
        <f>Q459/J459</f>
        <v>-0.12369598815484219</v>
      </c>
      <c r="AF459">
        <f>Q459/G459</f>
        <v>-7.57223429172382E-2</v>
      </c>
      <c r="AG459">
        <f>Q459/K459</f>
        <v>-0.13914003446016998</v>
      </c>
      <c r="AH459">
        <f>Q459/L459</f>
        <v>-0.21224573940019398</v>
      </c>
      <c r="AI459" s="1">
        <f>R459</f>
        <v>85.3</v>
      </c>
      <c r="AJ459" s="1">
        <f>P459</f>
        <v>6284377</v>
      </c>
    </row>
    <row r="460" spans="1:36" x14ac:dyDescent="0.25">
      <c r="A460" t="s">
        <v>68</v>
      </c>
      <c r="B460">
        <v>2021</v>
      </c>
      <c r="C460" s="1">
        <v>17232128</v>
      </c>
      <c r="D460" s="1">
        <f>410963+416112-725837</f>
        <v>101238</v>
      </c>
      <c r="E460" s="1">
        <v>262108</v>
      </c>
      <c r="G460" s="1">
        <v>27189260</v>
      </c>
      <c r="H460" s="1">
        <v>21015375</v>
      </c>
      <c r="I460" s="1">
        <v>2262469</v>
      </c>
      <c r="J460" s="1">
        <f>1113975+K460</f>
        <v>19790157</v>
      </c>
      <c r="K460" s="1">
        <v>18676182</v>
      </c>
      <c r="L460" s="1">
        <v>11025150</v>
      </c>
      <c r="M460" s="1">
        <v>0</v>
      </c>
      <c r="N460" s="1">
        <v>7295757</v>
      </c>
      <c r="O460" s="1">
        <v>7399103</v>
      </c>
      <c r="P460" s="1">
        <v>6532445</v>
      </c>
      <c r="Q460" s="1">
        <v>-1735812</v>
      </c>
      <c r="R460" s="1">
        <v>79.400000000000006</v>
      </c>
      <c r="T460">
        <f>E460/G460</f>
        <v>9.6401299630810115E-3</v>
      </c>
      <c r="U460">
        <f>D460/C460</f>
        <v>5.874956360584137E-3</v>
      </c>
      <c r="V460">
        <f>(E460-F460)/O460</f>
        <v>3.5424293998880675E-2</v>
      </c>
      <c r="W460">
        <f>H460/K460</f>
        <v>1.1252500644939099</v>
      </c>
      <c r="X460">
        <f>(H460-I460)/K460</f>
        <v>1.0041081201714568</v>
      </c>
      <c r="Y460">
        <f>(H460-K460)/G460</f>
        <v>8.6033713311800319E-2</v>
      </c>
      <c r="Z460">
        <f>J460/N460</f>
        <v>2.7125570382895154</v>
      </c>
      <c r="AA460">
        <f>J460/G460</f>
        <v>0.72786670177856994</v>
      </c>
      <c r="AB460">
        <f>C460/G460</f>
        <v>0.63378436926933646</v>
      </c>
      <c r="AC460">
        <f>C460/(G460-K460)</f>
        <v>2.0241947742050526</v>
      </c>
      <c r="AD460">
        <f>Q460/E460</f>
        <v>-6.6225067529415353</v>
      </c>
      <c r="AE460">
        <f>Q460/J460</f>
        <v>-8.7710875664099075E-2</v>
      </c>
      <c r="AF460">
        <f>Q460/G460</f>
        <v>-6.3841825779738029E-2</v>
      </c>
      <c r="AG460">
        <f>Q460/K460</f>
        <v>-9.2942551106002289E-2</v>
      </c>
      <c r="AH460">
        <f>Q460/L460</f>
        <v>-0.1574411232500238</v>
      </c>
      <c r="AI460" s="1">
        <f>R460</f>
        <v>79.400000000000006</v>
      </c>
      <c r="AJ460" s="1">
        <f>P460</f>
        <v>6532445</v>
      </c>
    </row>
    <row r="461" spans="1:36" x14ac:dyDescent="0.25">
      <c r="A461" t="s">
        <v>68</v>
      </c>
      <c r="B461">
        <v>2022</v>
      </c>
      <c r="C461" s="1">
        <v>27291727</v>
      </c>
      <c r="D461" s="1">
        <f>782042+1398110-370091</f>
        <v>1810061</v>
      </c>
      <c r="E461" s="1">
        <v>687932</v>
      </c>
      <c r="G461" s="1">
        <v>51379854</v>
      </c>
      <c r="H461" s="1">
        <v>45442446</v>
      </c>
      <c r="I461" s="1">
        <v>5541456</v>
      </c>
      <c r="J461" s="1">
        <f>1369443+K461</f>
        <v>43256704</v>
      </c>
      <c r="K461" s="1">
        <v>41887261</v>
      </c>
      <c r="L461" s="1">
        <v>24038588</v>
      </c>
      <c r="M461" s="1">
        <v>0</v>
      </c>
      <c r="N461" s="1">
        <v>7915688</v>
      </c>
      <c r="O461" s="1">
        <v>8123150</v>
      </c>
      <c r="P461" s="1">
        <v>7056798</v>
      </c>
      <c r="Q461" s="1">
        <v>-3466202</v>
      </c>
      <c r="R461" s="1">
        <v>59</v>
      </c>
      <c r="T461">
        <f>E461/G461</f>
        <v>1.3389138863648776E-2</v>
      </c>
      <c r="U461">
        <f>D461/C461</f>
        <v>6.6322699182796305E-2</v>
      </c>
      <c r="V461">
        <f>(E461-F461)/O461</f>
        <v>8.4687836615106205E-2</v>
      </c>
      <c r="W461">
        <f>H461/K461</f>
        <v>1.0848750888724856</v>
      </c>
      <c r="X461">
        <f>(H461-I461)/K461</f>
        <v>0.95258054710237561</v>
      </c>
      <c r="Y461">
        <f>(H461-K461)/G461</f>
        <v>6.9194143681295783E-2</v>
      </c>
      <c r="Z461">
        <f>J461/N461</f>
        <v>5.4646802653161668</v>
      </c>
      <c r="AA461">
        <f>J461/G461</f>
        <v>0.84190009570677249</v>
      </c>
      <c r="AB461">
        <f>C461/G461</f>
        <v>0.53117564327839473</v>
      </c>
      <c r="AC461">
        <f>C461/(G461-K461)</f>
        <v>2.8750550034116071</v>
      </c>
      <c r="AD461">
        <f>Q461/E461</f>
        <v>-5.0385823017391251</v>
      </c>
      <c r="AE461">
        <f>Q461/J461</f>
        <v>-8.0130978079143531E-2</v>
      </c>
      <c r="AF461">
        <f>Q461/G461</f>
        <v>-6.7462278113908231E-2</v>
      </c>
      <c r="AG461">
        <f>Q461/K461</f>
        <v>-8.2750743716568154E-2</v>
      </c>
      <c r="AH461">
        <f>Q461/L461</f>
        <v>-0.14419324462817867</v>
      </c>
      <c r="AI461" s="1">
        <f>R461</f>
        <v>59</v>
      </c>
      <c r="AJ461" s="1">
        <f>P461</f>
        <v>7056798</v>
      </c>
    </row>
    <row r="462" spans="1:36" x14ac:dyDescent="0.25">
      <c r="A462" t="s">
        <v>68</v>
      </c>
      <c r="B462">
        <v>2023</v>
      </c>
      <c r="C462" s="1">
        <v>36167621</v>
      </c>
      <c r="D462" s="1">
        <f>-13419809+2678990-293844</f>
        <v>-11034663</v>
      </c>
      <c r="E462" s="1">
        <v>-11006427</v>
      </c>
      <c r="G462" s="1">
        <v>39325181</v>
      </c>
      <c r="H462" s="1">
        <v>24649342</v>
      </c>
      <c r="I462" s="1">
        <v>3716313</v>
      </c>
      <c r="J462" s="1">
        <f>4680850+K462</f>
        <v>36034403</v>
      </c>
      <c r="K462" s="1">
        <v>31353553</v>
      </c>
      <c r="L462" s="1">
        <f>20850998+M462</f>
        <v>23850998</v>
      </c>
      <c r="M462" s="1">
        <v>3000000</v>
      </c>
      <c r="N462" s="1">
        <v>3086155</v>
      </c>
      <c r="O462" s="1">
        <v>3290778</v>
      </c>
      <c r="P462" s="1">
        <v>-3854830</v>
      </c>
      <c r="Q462" s="1">
        <v>-13032494</v>
      </c>
      <c r="R462" s="1">
        <v>50.5</v>
      </c>
      <c r="T462">
        <f>E462/G462</f>
        <v>-0.27988242444453082</v>
      </c>
      <c r="U462">
        <f>D462/C462</f>
        <v>-0.30509783875472485</v>
      </c>
      <c r="V462">
        <f>(E462-F462)/O462</f>
        <v>-3.3446276230119443</v>
      </c>
      <c r="W462">
        <f>H462/K462</f>
        <v>0.78617380301364892</v>
      </c>
      <c r="X462">
        <f>(H462-I462)/K462</f>
        <v>0.66764455690237079</v>
      </c>
      <c r="Y462">
        <f>(H462-K462)/G462</f>
        <v>-0.17048137680536041</v>
      </c>
      <c r="Z462">
        <f>J462/N462</f>
        <v>11.676148151988478</v>
      </c>
      <c r="AA462">
        <f>J462/G462</f>
        <v>0.91631880855170122</v>
      </c>
      <c r="AB462">
        <f>C462/G462</f>
        <v>0.91970640898003753</v>
      </c>
      <c r="AC462">
        <f>C462/(G462-K462)</f>
        <v>4.5370432488821608</v>
      </c>
      <c r="AD462">
        <f>Q462/E462</f>
        <v>1.1840803559592954</v>
      </c>
      <c r="AE462">
        <f>Q462/J462</f>
        <v>-0.36166809812278561</v>
      </c>
      <c r="AF462">
        <f>Q462/G462</f>
        <v>-0.33140328076303072</v>
      </c>
      <c r="AG462">
        <f>Q462/K462</f>
        <v>-0.41566242907143569</v>
      </c>
      <c r="AH462">
        <f>Q462/L462</f>
        <v>-0.54641294255276029</v>
      </c>
      <c r="AI462" s="1">
        <f>R462</f>
        <v>50.5</v>
      </c>
      <c r="AJ462" s="1">
        <f>P462</f>
        <v>-3854830</v>
      </c>
    </row>
    <row r="463" spans="1:36" s="8" customFormat="1" x14ac:dyDescent="0.25">
      <c r="A463" s="8" t="s">
        <v>68</v>
      </c>
      <c r="B463" s="8">
        <v>2024</v>
      </c>
      <c r="C463" s="9">
        <v>25447069</v>
      </c>
      <c r="D463" s="9">
        <f>-4902368+2474812-365545</f>
        <v>-2793101</v>
      </c>
      <c r="E463" s="9">
        <v>-2742897</v>
      </c>
      <c r="F463" s="9"/>
      <c r="G463" s="9">
        <v>43860700</v>
      </c>
      <c r="H463" s="9">
        <v>22176754</v>
      </c>
      <c r="I463" s="9">
        <v>3511463</v>
      </c>
      <c r="J463" s="9">
        <f>9185176+K463</f>
        <v>38370145</v>
      </c>
      <c r="K463" s="9">
        <v>29184969</v>
      </c>
      <c r="L463" s="9">
        <f>21210067+M463</f>
        <v>28667917</v>
      </c>
      <c r="M463" s="9">
        <v>7457850</v>
      </c>
      <c r="N463" s="9">
        <v>5311344</v>
      </c>
      <c r="O463" s="9">
        <v>5490555</v>
      </c>
      <c r="P463" s="9">
        <v>-6573293</v>
      </c>
      <c r="Q463" s="9">
        <v>-2007511</v>
      </c>
      <c r="R463" s="9">
        <v>65.900000000000006</v>
      </c>
      <c r="T463" s="8">
        <f>E463/G463</f>
        <v>-6.2536553224184749E-2</v>
      </c>
      <c r="U463" s="8">
        <f>D463/C463</f>
        <v>-0.10976120668356737</v>
      </c>
      <c r="V463" s="8">
        <f>(E463-F463)/O463</f>
        <v>-0.4995664372727347</v>
      </c>
      <c r="W463" s="8">
        <f>H463/K463</f>
        <v>0.75986902710090254</v>
      </c>
      <c r="X463" s="8">
        <f>(H463-I463)/K463</f>
        <v>0.63955151023117418</v>
      </c>
      <c r="Y463" s="8">
        <f>(H463-K463)/G463</f>
        <v>-0.15978347358797282</v>
      </c>
      <c r="Z463" s="8">
        <f>J463/N463</f>
        <v>7.2241875126145096</v>
      </c>
      <c r="AA463" s="8">
        <f>J463/G463</f>
        <v>0.8748183453524454</v>
      </c>
      <c r="AB463" s="8">
        <f>C463/G463</f>
        <v>0.58017927210464038</v>
      </c>
      <c r="AC463" s="8">
        <f>C463/(G463-K463)</f>
        <v>1.7339558077209238</v>
      </c>
      <c r="AD463" s="8">
        <f>Q463/E463</f>
        <v>0.73189441674259004</v>
      </c>
      <c r="AE463" s="8">
        <f>Q463/J463</f>
        <v>-5.2319609425505169E-2</v>
      </c>
      <c r="AF463" s="8">
        <f>Q463/G463</f>
        <v>-4.5770154147106633E-2</v>
      </c>
      <c r="AG463" s="8">
        <f>Q463/K463</f>
        <v>-6.878578490181024E-2</v>
      </c>
      <c r="AH463" s="8">
        <f>Q463/L463</f>
        <v>-7.0026399197402445E-2</v>
      </c>
      <c r="AI463" s="9">
        <f>R463</f>
        <v>65.900000000000006</v>
      </c>
      <c r="AJ463" s="9">
        <f>P463</f>
        <v>-6573293</v>
      </c>
    </row>
    <row r="464" spans="1:36" x14ac:dyDescent="0.25">
      <c r="A464" s="15" t="s">
        <v>74</v>
      </c>
      <c r="B464" s="15">
        <v>2018</v>
      </c>
      <c r="C464" s="6">
        <v>2083446</v>
      </c>
      <c r="D464" s="6">
        <v>-64729</v>
      </c>
      <c r="E464" s="6">
        <v>3478</v>
      </c>
      <c r="F464" s="6"/>
      <c r="G464" s="6">
        <v>3613502</v>
      </c>
      <c r="H464" s="6">
        <v>1606646</v>
      </c>
      <c r="I464" s="6">
        <v>742573</v>
      </c>
      <c r="J464" s="6">
        <v>1624885</v>
      </c>
      <c r="K464" s="6">
        <v>944436</v>
      </c>
      <c r="L464" s="6">
        <f>420076+M464</f>
        <v>850944</v>
      </c>
      <c r="M464" s="6">
        <v>430868</v>
      </c>
      <c r="N464" s="6">
        <v>1974930</v>
      </c>
      <c r="O464" s="6">
        <v>1988618</v>
      </c>
      <c r="P464" s="6">
        <v>-278740</v>
      </c>
      <c r="Q464" s="6">
        <v>-57741</v>
      </c>
      <c r="R464" s="6">
        <v>6.9</v>
      </c>
      <c r="S464" s="15"/>
      <c r="T464" s="15">
        <f>E464/G464</f>
        <v>9.6250119689984955E-4</v>
      </c>
      <c r="U464" s="15">
        <f>D464/C464</f>
        <v>-3.1068239829590016E-2</v>
      </c>
      <c r="V464" s="15">
        <f>(E464-F464)/O464</f>
        <v>1.7489532931915532E-3</v>
      </c>
      <c r="W464" s="15">
        <f>H464/K464</f>
        <v>1.7011697986946708</v>
      </c>
      <c r="X464" s="15">
        <f>(H464-I464)/K464</f>
        <v>0.91490900389227015</v>
      </c>
      <c r="Y464" s="15">
        <f>(H464-K464)/G464</f>
        <v>0.18325989580191182</v>
      </c>
      <c r="Z464" s="15">
        <f>J464/N464</f>
        <v>0.82275574324153267</v>
      </c>
      <c r="AA464" s="15">
        <f>J464/G464</f>
        <v>0.44967043051311445</v>
      </c>
      <c r="AB464" s="15">
        <f>C464/G464</f>
        <v>0.57657253268435993</v>
      </c>
      <c r="AC464" s="15">
        <f>C464/(G464-K464)</f>
        <v>0.78058991422467638</v>
      </c>
      <c r="AD464" s="15">
        <f>Q464/E464</f>
        <v>-16.601782633697528</v>
      </c>
      <c r="AE464" s="15">
        <f>Q464/J464</f>
        <v>-3.5535437892527777E-2</v>
      </c>
      <c r="AF464" s="15">
        <f>Q464/G464</f>
        <v>-1.5979235655605006E-2</v>
      </c>
      <c r="AG464" s="15">
        <f>Q464/K464</f>
        <v>-6.1138076058091816E-2</v>
      </c>
      <c r="AH464" s="15">
        <f>Q464/L464</f>
        <v>-6.7855229016245494E-2</v>
      </c>
      <c r="AI464" s="6">
        <f>R464</f>
        <v>6.9</v>
      </c>
      <c r="AJ464" s="6">
        <f>P464</f>
        <v>-278740</v>
      </c>
    </row>
    <row r="465" spans="1:36" x14ac:dyDescent="0.25">
      <c r="A465" t="s">
        <v>74</v>
      </c>
      <c r="B465">
        <v>2019</v>
      </c>
      <c r="C465" s="1">
        <v>2173202</v>
      </c>
      <c r="D465" s="1">
        <v>190707</v>
      </c>
      <c r="E465" s="1">
        <v>366256</v>
      </c>
      <c r="G465" s="1">
        <v>4598832</v>
      </c>
      <c r="H465" s="1">
        <v>1993191</v>
      </c>
      <c r="I465" s="1">
        <v>1017355</v>
      </c>
      <c r="J465" s="1">
        <v>1983407</v>
      </c>
      <c r="K465" s="1">
        <v>1496260</v>
      </c>
      <c r="L465" s="1">
        <f>1154823+M465</f>
        <v>1253924</v>
      </c>
      <c r="M465" s="1">
        <v>99101</v>
      </c>
      <c r="N465" s="1">
        <v>2595384</v>
      </c>
      <c r="O465" s="1">
        <v>2615425</v>
      </c>
      <c r="P465" s="1">
        <v>78029</v>
      </c>
      <c r="Q465" s="1">
        <v>-457015</v>
      </c>
      <c r="R465" s="1">
        <v>5.3</v>
      </c>
      <c r="T465">
        <f>E465/G465</f>
        <v>7.9641091477140283E-2</v>
      </c>
      <c r="U465">
        <f>D465/C465</f>
        <v>8.7753922552988625E-2</v>
      </c>
      <c r="V465">
        <f>(E465-F465)/O465</f>
        <v>0.14003689648909834</v>
      </c>
      <c r="W465">
        <f>H465/K465</f>
        <v>1.3321154077499899</v>
      </c>
      <c r="X465">
        <f>(H465-I465)/K465</f>
        <v>0.65218344405384088</v>
      </c>
      <c r="Y465">
        <f>(H465-K465)/G465</f>
        <v>0.1080559150671301</v>
      </c>
      <c r="Z465">
        <f>J465/N465</f>
        <v>0.76420560502800361</v>
      </c>
      <c r="AA465">
        <f>J465/G465</f>
        <v>0.43128494365525855</v>
      </c>
      <c r="AB465">
        <f>C465/G465</f>
        <v>0.47255520532169909</v>
      </c>
      <c r="AC465">
        <f>C465/(G465-K465)</f>
        <v>0.70045175422198103</v>
      </c>
      <c r="AD465">
        <f>Q465/E465</f>
        <v>-1.2478020837883885</v>
      </c>
      <c r="AE465">
        <f>Q465/J465</f>
        <v>-0.23041917266602366</v>
      </c>
      <c r="AF465">
        <f>Q465/G465</f>
        <v>-9.9376319900357307E-2</v>
      </c>
      <c r="AG465">
        <f>Q465/K465</f>
        <v>-0.30543822597676873</v>
      </c>
      <c r="AH465">
        <f>Q465/L465</f>
        <v>-0.3644678624860837</v>
      </c>
      <c r="AI465" s="1">
        <f>R465</f>
        <v>5.3</v>
      </c>
      <c r="AJ465" s="1">
        <f>P465</f>
        <v>78029</v>
      </c>
    </row>
    <row r="466" spans="1:36" x14ac:dyDescent="0.25">
      <c r="A466" t="s">
        <v>74</v>
      </c>
      <c r="B466">
        <v>2020</v>
      </c>
      <c r="C466" s="1">
        <v>2233871</v>
      </c>
      <c r="D466" s="1">
        <v>-248271</v>
      </c>
      <c r="E466" s="1">
        <v>-224110</v>
      </c>
      <c r="G466" s="1">
        <v>5132973</v>
      </c>
      <c r="H466" s="1">
        <v>2418880</v>
      </c>
      <c r="I466" s="1">
        <v>1418602</v>
      </c>
      <c r="J466" s="1">
        <v>2646696</v>
      </c>
      <c r="K466" s="1">
        <v>2027795</v>
      </c>
      <c r="L466" s="1">
        <f>1634165+M466</f>
        <v>1807805</v>
      </c>
      <c r="M466" s="1">
        <v>173640</v>
      </c>
      <c r="N466" s="1">
        <v>2464738</v>
      </c>
      <c r="O466" s="1">
        <v>2486277</v>
      </c>
      <c r="P466" s="1">
        <v>-156671</v>
      </c>
      <c r="Q466" s="1">
        <v>-371391</v>
      </c>
      <c r="R466" s="1">
        <v>4.5</v>
      </c>
      <c r="T466">
        <f>E466/G466</f>
        <v>-4.3660856973142079E-2</v>
      </c>
      <c r="U466">
        <f>D466/C466</f>
        <v>-0.11113936301603808</v>
      </c>
      <c r="V466">
        <f>(E466-F466)/O466</f>
        <v>-9.0138789845218378E-2</v>
      </c>
      <c r="W466">
        <f>H466/K466</f>
        <v>1.1928621976087326</v>
      </c>
      <c r="X466">
        <f>(H466-I466)/K466</f>
        <v>0.49328359129004656</v>
      </c>
      <c r="Y466">
        <f>(H466-K466)/G466</f>
        <v>7.619073780438744E-2</v>
      </c>
      <c r="Z466">
        <f>J466/N466</f>
        <v>1.0738244795187155</v>
      </c>
      <c r="AA466">
        <f>J466/G466</f>
        <v>0.5156263241595076</v>
      </c>
      <c r="AB466">
        <f>C466/G466</f>
        <v>0.43520022411962817</v>
      </c>
      <c r="AC466">
        <f>C466/(G466-K466)</f>
        <v>0.71940191512370633</v>
      </c>
      <c r="AD466">
        <f>Q466/E466</f>
        <v>1.6571817411092766</v>
      </c>
      <c r="AE466">
        <f>Q466/J466</f>
        <v>-0.14032250020402798</v>
      </c>
      <c r="AF466">
        <f>Q466/G466</f>
        <v>-7.2353974977074687E-2</v>
      </c>
      <c r="AG466">
        <f>Q466/K466</f>
        <v>-0.18315017050540119</v>
      </c>
      <c r="AH466">
        <f>Q466/L466</f>
        <v>-0.20543753336228188</v>
      </c>
      <c r="AI466" s="1">
        <f>R466</f>
        <v>4.5</v>
      </c>
      <c r="AJ466" s="1">
        <f>P466</f>
        <v>-156671</v>
      </c>
    </row>
    <row r="467" spans="1:36" x14ac:dyDescent="0.25">
      <c r="A467" t="s">
        <v>74</v>
      </c>
      <c r="B467">
        <v>2021</v>
      </c>
      <c r="C467" s="1">
        <v>2432418</v>
      </c>
      <c r="D467" s="1">
        <v>-268885</v>
      </c>
      <c r="E467" s="1">
        <v>-397793</v>
      </c>
      <c r="G467" s="1">
        <v>4829386</v>
      </c>
      <c r="H467" s="1">
        <v>2064222</v>
      </c>
      <c r="I467" s="1">
        <v>1048667</v>
      </c>
      <c r="J467" s="1">
        <v>2566526</v>
      </c>
      <c r="K467" s="1">
        <v>2071702</v>
      </c>
      <c r="L467" s="1">
        <f>1376990+M467</f>
        <v>1516154</v>
      </c>
      <c r="M467" s="1">
        <v>139164</v>
      </c>
      <c r="N467" s="1">
        <v>2250798</v>
      </c>
      <c r="O467" s="1">
        <v>2262860</v>
      </c>
      <c r="P467" s="1">
        <v>-563866</v>
      </c>
      <c r="Q467" s="1">
        <v>472005</v>
      </c>
      <c r="R467" s="1">
        <v>10.3</v>
      </c>
      <c r="T467">
        <f>E467/G467</f>
        <v>-8.2369270130819947E-2</v>
      </c>
      <c r="U467">
        <f>D467/C467</f>
        <v>-0.11054226699522862</v>
      </c>
      <c r="V467">
        <f>(E467-F467)/O467</f>
        <v>-0.17579213915133945</v>
      </c>
      <c r="W467">
        <f>H467/K467</f>
        <v>0.99638944211088276</v>
      </c>
      <c r="X467">
        <f>(H467-I467)/K467</f>
        <v>0.49020322420888718</v>
      </c>
      <c r="Y467">
        <f>(H467-K467)/G467</f>
        <v>-1.5488511375980302E-3</v>
      </c>
      <c r="Z467">
        <f>J467/N467</f>
        <v>1.1402738051126755</v>
      </c>
      <c r="AA467">
        <f>J467/G467</f>
        <v>0.53143940037097881</v>
      </c>
      <c r="AB467">
        <f>C467/G467</f>
        <v>0.50367023882539108</v>
      </c>
      <c r="AC467">
        <f>C467/(G467-K467)</f>
        <v>0.88205102542568325</v>
      </c>
      <c r="AD467">
        <f>Q467/E467</f>
        <v>-1.1865593411648772</v>
      </c>
      <c r="AE467">
        <f>Q467/J467</f>
        <v>0.18390813106900145</v>
      </c>
      <c r="AF467">
        <f>Q467/G467</f>
        <v>9.7736026898657513E-2</v>
      </c>
      <c r="AG467">
        <f>Q467/K467</f>
        <v>0.22783440861668328</v>
      </c>
      <c r="AH467">
        <f>Q467/L467</f>
        <v>0.31131732000838963</v>
      </c>
      <c r="AI467" s="1">
        <f>R467</f>
        <v>10.3</v>
      </c>
      <c r="AJ467" s="1">
        <f>P467</f>
        <v>-563866</v>
      </c>
    </row>
    <row r="468" spans="1:36" x14ac:dyDescent="0.25">
      <c r="A468" t="s">
        <v>74</v>
      </c>
      <c r="B468">
        <v>2022</v>
      </c>
      <c r="C468" s="1">
        <v>3762106</v>
      </c>
      <c r="D468" s="1">
        <v>303633</v>
      </c>
      <c r="E468" s="1">
        <v>189482</v>
      </c>
      <c r="G468" s="1">
        <v>5024297</v>
      </c>
      <c r="H468" s="1">
        <v>2137247</v>
      </c>
      <c r="I468" s="1">
        <v>918744</v>
      </c>
      <c r="J468" s="1">
        <v>2387795</v>
      </c>
      <c r="K468" s="1">
        <v>1772883</v>
      </c>
      <c r="L468" s="1">
        <f>1148416+M468</f>
        <v>1365968</v>
      </c>
      <c r="M468" s="1">
        <v>217552</v>
      </c>
      <c r="N468" s="1">
        <v>2627699</v>
      </c>
      <c r="O468" s="1">
        <v>2636502</v>
      </c>
      <c r="P468" s="1">
        <v>-364272</v>
      </c>
      <c r="Q468" s="1">
        <v>214083</v>
      </c>
      <c r="R468" s="1">
        <v>9.8000000000000007</v>
      </c>
      <c r="T468">
        <f>E468/G468</f>
        <v>3.7713136783116129E-2</v>
      </c>
      <c r="U468">
        <f>D468/C468</f>
        <v>8.0708252239570066E-2</v>
      </c>
      <c r="V468">
        <f>(E468-F468)/O468</f>
        <v>7.1868710890414647E-2</v>
      </c>
      <c r="W468">
        <f>H468/K468</f>
        <v>1.2055206124713249</v>
      </c>
      <c r="X468">
        <f>(H468-I468)/K468</f>
        <v>0.68730028997965464</v>
      </c>
      <c r="Y468">
        <f>(H468-K468)/G468</f>
        <v>7.2520394395474627E-2</v>
      </c>
      <c r="Z468">
        <f>J468/N468</f>
        <v>0.9087018718658415</v>
      </c>
      <c r="AA468">
        <f>J468/G468</f>
        <v>0.47524957222871178</v>
      </c>
      <c r="AB468">
        <f>C468/G468</f>
        <v>0.74878256599878545</v>
      </c>
      <c r="AC468">
        <f>C468/(G468-K468)</f>
        <v>1.1570676634842565</v>
      </c>
      <c r="AD468">
        <f>Q468/E468</f>
        <v>1.1298329128888231</v>
      </c>
      <c r="AE468">
        <f>Q468/J468</f>
        <v>8.9657194189618455E-2</v>
      </c>
      <c r="AF468">
        <f>Q468/G468</f>
        <v>4.2609543185842716E-2</v>
      </c>
      <c r="AG468">
        <f>Q468/K468</f>
        <v>0.12075416144212563</v>
      </c>
      <c r="AH468">
        <f>Q468/L468</f>
        <v>0.1567262190622328</v>
      </c>
      <c r="AI468" s="1">
        <f>R468</f>
        <v>9.8000000000000007</v>
      </c>
      <c r="AJ468" s="1">
        <f>P468</f>
        <v>-364272</v>
      </c>
    </row>
    <row r="469" spans="1:36" x14ac:dyDescent="0.25">
      <c r="A469" t="s">
        <v>74</v>
      </c>
      <c r="B469">
        <v>2023</v>
      </c>
      <c r="C469" s="1">
        <v>5913133</v>
      </c>
      <c r="D469" s="1">
        <v>1167998</v>
      </c>
      <c r="E469" s="1">
        <v>679332</v>
      </c>
      <c r="G469" s="1">
        <v>6133824</v>
      </c>
      <c r="H469" s="1">
        <v>2924750</v>
      </c>
      <c r="I469" s="1">
        <v>1455477</v>
      </c>
      <c r="J469" s="1">
        <v>2878268</v>
      </c>
      <c r="K469" s="1">
        <v>1671330</v>
      </c>
      <c r="L469" s="1">
        <f>763609+M469</f>
        <v>1202761</v>
      </c>
      <c r="M469" s="1">
        <v>439152</v>
      </c>
      <c r="N469" s="1">
        <v>3238108</v>
      </c>
      <c r="O469" s="1">
        <v>3255556</v>
      </c>
      <c r="P469" s="1">
        <v>336205</v>
      </c>
      <c r="Q469" s="1">
        <v>299499</v>
      </c>
      <c r="R469" s="1">
        <v>20.5</v>
      </c>
      <c r="T469">
        <f>E469/G469</f>
        <v>0.11075179203055061</v>
      </c>
      <c r="U469">
        <f>D469/C469</f>
        <v>0.19752608304261041</v>
      </c>
      <c r="V469">
        <f>(E469-F469)/O469</f>
        <v>0.20866850393604042</v>
      </c>
      <c r="W469">
        <f>H469/K469</f>
        <v>1.7499536297439764</v>
      </c>
      <c r="X469">
        <f>(H469-I469)/K469</f>
        <v>0.8791040668210347</v>
      </c>
      <c r="Y469">
        <f>(H469-K469)/G469</f>
        <v>0.2043456088730293</v>
      </c>
      <c r="Z469">
        <f>J469/N469</f>
        <v>0.88887337914609399</v>
      </c>
      <c r="AA469">
        <f>J469/G469</f>
        <v>0.4692452864640394</v>
      </c>
      <c r="AB469">
        <f>C469/G469</f>
        <v>0.96402065008712345</v>
      </c>
      <c r="AC469">
        <f>C469/(G469-K469)</f>
        <v>1.3250736023398575</v>
      </c>
      <c r="AD469">
        <f>Q469/E469</f>
        <v>0.44087279857271555</v>
      </c>
      <c r="AE469">
        <f>Q469/J469</f>
        <v>0.10405528602617964</v>
      </c>
      <c r="AF469">
        <f>Q469/G469</f>
        <v>4.8827452499452216E-2</v>
      </c>
      <c r="AG469">
        <f>Q469/K469</f>
        <v>0.17919800398485039</v>
      </c>
      <c r="AH469">
        <f>Q469/L469</f>
        <v>0.24900957047992078</v>
      </c>
      <c r="AI469" s="1">
        <f>R469</f>
        <v>20.5</v>
      </c>
      <c r="AJ469" s="1">
        <f>P469</f>
        <v>336205</v>
      </c>
    </row>
    <row r="470" spans="1:36" s="8" customFormat="1" x14ac:dyDescent="0.25">
      <c r="A470" s="8" t="s">
        <v>74</v>
      </c>
      <c r="B470" s="8">
        <v>2024</v>
      </c>
      <c r="C470" s="9">
        <v>6249204</v>
      </c>
      <c r="D470" s="9">
        <v>820768</v>
      </c>
      <c r="E470" s="9">
        <v>367947</v>
      </c>
      <c r="F470" s="9"/>
      <c r="G470" s="9">
        <v>7908501</v>
      </c>
      <c r="H470" s="9">
        <v>4647675</v>
      </c>
      <c r="I470" s="9">
        <v>1808037</v>
      </c>
      <c r="J470" s="9">
        <v>4200609</v>
      </c>
      <c r="K470" s="9">
        <v>3075569</v>
      </c>
      <c r="L470" s="9">
        <f>2100536+M470</f>
        <v>2409516</v>
      </c>
      <c r="M470" s="9">
        <v>308980</v>
      </c>
      <c r="N470" s="9">
        <v>3690818</v>
      </c>
      <c r="O470" s="9">
        <v>3707891</v>
      </c>
      <c r="P470" s="9">
        <v>683560</v>
      </c>
      <c r="Q470" s="9">
        <v>-1153411</v>
      </c>
      <c r="R470" s="9">
        <v>24.6</v>
      </c>
      <c r="T470" s="8">
        <f>E470/G470</f>
        <v>4.6525504643673943E-2</v>
      </c>
      <c r="U470" s="8">
        <f>D470/C470</f>
        <v>0.13133960741240006</v>
      </c>
      <c r="V470" s="8">
        <f>(E470-F470)/O470</f>
        <v>9.9233499582377149E-2</v>
      </c>
      <c r="W470" s="8">
        <f>H470/K470</f>
        <v>1.5111593984722826</v>
      </c>
      <c r="X470" s="8">
        <f>(H470-I470)/K470</f>
        <v>0.92328866625980432</v>
      </c>
      <c r="Y470" s="8">
        <f>(H470-K470)/G470</f>
        <v>0.19878684974560917</v>
      </c>
      <c r="Z470" s="8">
        <f>J470/N470</f>
        <v>1.1381241231618573</v>
      </c>
      <c r="AA470" s="8">
        <f>J470/G470</f>
        <v>0.53115109930440674</v>
      </c>
      <c r="AB470" s="8">
        <f>C470/G470</f>
        <v>0.79018817851828049</v>
      </c>
      <c r="AC470" s="8">
        <f>C470/(G470-K470)</f>
        <v>1.2930461260369481</v>
      </c>
      <c r="AD470" s="8">
        <f>Q470/E470</f>
        <v>-3.1347204896357357</v>
      </c>
      <c r="AE470" s="8">
        <f>Q470/J470</f>
        <v>-0.27458185229808346</v>
      </c>
      <c r="AF470" s="8">
        <f>Q470/G470</f>
        <v>-0.14584445269716725</v>
      </c>
      <c r="AG470" s="8">
        <f>Q470/K470</f>
        <v>-0.37502361351671837</v>
      </c>
      <c r="AH470" s="8">
        <f>Q470/L470</f>
        <v>-0.47868991116888204</v>
      </c>
      <c r="AI470" s="9">
        <f>R470</f>
        <v>24.6</v>
      </c>
      <c r="AJ470" s="9">
        <f>P470</f>
        <v>683560</v>
      </c>
    </row>
    <row r="471" spans="1:36" x14ac:dyDescent="0.25">
      <c r="A471" s="15" t="s">
        <v>83</v>
      </c>
      <c r="B471" s="15">
        <v>2018</v>
      </c>
      <c r="C471" s="6">
        <v>1002707.52</v>
      </c>
      <c r="D471" s="6">
        <v>-413436.10200000001</v>
      </c>
      <c r="E471" s="6">
        <v>-873864.33799999999</v>
      </c>
      <c r="F471" s="6">
        <v>0</v>
      </c>
      <c r="G471" s="6">
        <v>7348821.6030000001</v>
      </c>
      <c r="H471" s="6">
        <v>678835.78899999999</v>
      </c>
      <c r="I471" s="6">
        <v>42834.285000000003</v>
      </c>
      <c r="J471" s="6">
        <v>5893598.4519999996</v>
      </c>
      <c r="K471" s="6">
        <v>1217782.73</v>
      </c>
      <c r="L471" s="6">
        <v>270328.81</v>
      </c>
      <c r="M471" s="6">
        <v>4410304.8770000003</v>
      </c>
      <c r="N471" s="6">
        <v>1195747.439</v>
      </c>
      <c r="O471" s="6">
        <v>1455223.1510000001</v>
      </c>
      <c r="P471" s="6">
        <v>-42823.565000000002</v>
      </c>
      <c r="Q471" s="6">
        <v>181651.20600000001</v>
      </c>
      <c r="R471" s="6">
        <v>19.2</v>
      </c>
      <c r="S471" s="15"/>
      <c r="T471" s="15">
        <f>E471/G471</f>
        <v>-0.11891217193832321</v>
      </c>
      <c r="U471" s="15">
        <f>D471/C471</f>
        <v>-0.4123197380628002</v>
      </c>
      <c r="V471" s="15">
        <f>(E471-F471)/O471</f>
        <v>-0.60050194872140261</v>
      </c>
      <c r="W471" s="15">
        <f>H471/K471</f>
        <v>0.55743588102945096</v>
      </c>
      <c r="X471" s="15">
        <f>(H471-I471)/K471</f>
        <v>0.52226188492589309</v>
      </c>
      <c r="Y471" s="15">
        <f>(H471-K471)/G471</f>
        <v>-7.3337872398479012E-2</v>
      </c>
      <c r="Z471" s="15">
        <f>J471/N471</f>
        <v>4.9287987243600524</v>
      </c>
      <c r="AA471" s="15">
        <f>J471/G471</f>
        <v>0.80197870766029522</v>
      </c>
      <c r="AB471" s="15">
        <f>C471/G471</f>
        <v>0.13644466748120079</v>
      </c>
      <c r="AC471" s="15">
        <f>C471/(G471-K471)</f>
        <v>0.16354610381215243</v>
      </c>
      <c r="AD471" s="15">
        <f>Q471/E471</f>
        <v>-0.20787117416387807</v>
      </c>
      <c r="AE471" s="15">
        <f>Q471/J471</f>
        <v>3.0821781884097729E-2</v>
      </c>
      <c r="AF471" s="15">
        <f>Q471/G471</f>
        <v>2.4718412803196196E-2</v>
      </c>
      <c r="AG471" s="15">
        <f>Q471/K471</f>
        <v>0.14916552971645444</v>
      </c>
      <c r="AH471" s="15">
        <f>Q471/L471</f>
        <v>0.67196391683150603</v>
      </c>
      <c r="AI471" s="6">
        <f>R471</f>
        <v>19.2</v>
      </c>
      <c r="AJ471" s="6">
        <f>P471</f>
        <v>-42823.565000000002</v>
      </c>
    </row>
    <row r="472" spans="1:36" x14ac:dyDescent="0.25">
      <c r="A472" t="s">
        <v>83</v>
      </c>
      <c r="B472">
        <v>2019</v>
      </c>
      <c r="C472" s="1">
        <v>1610037.936</v>
      </c>
      <c r="D472" s="1">
        <v>58782.463000000003</v>
      </c>
      <c r="E472" s="1">
        <v>-984701.63100000005</v>
      </c>
      <c r="F472" s="1">
        <v>0</v>
      </c>
      <c r="G472" s="1">
        <v>6864726.023</v>
      </c>
      <c r="H472" s="1">
        <v>711433.38600000006</v>
      </c>
      <c r="I472" s="1">
        <v>16193.21</v>
      </c>
      <c r="J472" s="1">
        <v>6404565.5020000003</v>
      </c>
      <c r="K472" s="1">
        <v>1507570.4680000001</v>
      </c>
      <c r="L472" s="1">
        <v>748453.76399999997</v>
      </c>
      <c r="M472" s="1">
        <v>4587848.7630000003</v>
      </c>
      <c r="N472" s="1">
        <v>487022.359</v>
      </c>
      <c r="O472" s="1">
        <v>460160.52100000001</v>
      </c>
      <c r="P472" s="1">
        <v>-755302.473</v>
      </c>
      <c r="Q472" s="1">
        <v>-681361.83900000004</v>
      </c>
      <c r="R472" s="1">
        <v>17.5</v>
      </c>
      <c r="T472">
        <f>E472/G472</f>
        <v>-0.14344368991578035</v>
      </c>
      <c r="U472">
        <f>D472/C472</f>
        <v>3.6509986308794658E-2</v>
      </c>
      <c r="V472">
        <f>(E472-F472)/O472</f>
        <v>-2.1399089797188404</v>
      </c>
      <c r="W472">
        <f>H472/K472</f>
        <v>0.47190721833641014</v>
      </c>
      <c r="X472">
        <f>(H472-I472)/K472</f>
        <v>0.46116595592531867</v>
      </c>
      <c r="Y472">
        <f>(H472-K472)/G472</f>
        <v>-0.11597507013864405</v>
      </c>
      <c r="Z472">
        <f>J472/N472</f>
        <v>13.150454765876571</v>
      </c>
      <c r="AA472">
        <f>J472/G472</f>
        <v>0.93296738726960848</v>
      </c>
      <c r="AB472">
        <f>C472/G472</f>
        <v>0.23453782869201625</v>
      </c>
      <c r="AC472">
        <f>C472/(G472-K472)</f>
        <v>0.3005397023607615</v>
      </c>
      <c r="AD472">
        <f>Q472/E472</f>
        <v>0.69194750729523269</v>
      </c>
      <c r="AE472">
        <f>Q472/J472</f>
        <v>-0.10638689522142075</v>
      </c>
      <c r="AF472">
        <f>Q472/G472</f>
        <v>-9.9255503674454515E-2</v>
      </c>
      <c r="AG472">
        <f>Q472/K472</f>
        <v>-0.45196019255001751</v>
      </c>
      <c r="AH472">
        <f>Q472/L472</f>
        <v>-0.91035929241448788</v>
      </c>
      <c r="AI472" s="1">
        <f>R472</f>
        <v>17.5</v>
      </c>
      <c r="AJ472" s="1">
        <f>P472</f>
        <v>-755302.473</v>
      </c>
    </row>
    <row r="473" spans="1:36" x14ac:dyDescent="0.25">
      <c r="A473" t="s">
        <v>83</v>
      </c>
      <c r="B473">
        <v>2020</v>
      </c>
      <c r="C473" s="1">
        <v>63547.413</v>
      </c>
      <c r="D473" s="1">
        <v>2733998.338</v>
      </c>
      <c r="E473" s="1">
        <v>2719050.8689999999</v>
      </c>
      <c r="F473" s="1">
        <v>0</v>
      </c>
      <c r="G473" s="1">
        <v>2254525.966</v>
      </c>
      <c r="H473" s="1">
        <v>1898405.344</v>
      </c>
      <c r="I473" s="1">
        <v>1508.422</v>
      </c>
      <c r="J473" s="1">
        <v>153374.905</v>
      </c>
      <c r="K473" s="1">
        <v>125172.79300000001</v>
      </c>
      <c r="L473" s="1">
        <v>0</v>
      </c>
      <c r="M473" s="1">
        <v>0</v>
      </c>
      <c r="N473" s="1">
        <v>2072750.334</v>
      </c>
      <c r="O473" s="1">
        <v>2101151.06</v>
      </c>
      <c r="P473" s="1">
        <v>783562.50199999998</v>
      </c>
      <c r="Q473" s="1">
        <v>353134.82</v>
      </c>
      <c r="R473" s="1">
        <v>5.8</v>
      </c>
      <c r="T473">
        <f>E473/G473</f>
        <v>1.2060410525340564</v>
      </c>
      <c r="U473">
        <f>D473/C473</f>
        <v>43.022968346484852</v>
      </c>
      <c r="V473">
        <f>(E473-F473)/O473</f>
        <v>1.2940768137822514</v>
      </c>
      <c r="W473">
        <f>H473/K473</f>
        <v>15.166277738965208</v>
      </c>
      <c r="X473">
        <f>(H473-I473)/K473</f>
        <v>15.154227021202603</v>
      </c>
      <c r="Y473">
        <f>(H473-K473)/G473</f>
        <v>0.78652123672191943</v>
      </c>
      <c r="Z473">
        <f>J473/N473</f>
        <v>7.39958414113564E-2</v>
      </c>
      <c r="AA473">
        <f>J473/G473</f>
        <v>6.8029779790968262E-2</v>
      </c>
      <c r="AB473">
        <f>C473/G473</f>
        <v>2.8186596188442391E-2</v>
      </c>
      <c r="AC473">
        <f>C473/(G473-K473)</f>
        <v>2.9843528920319693E-2</v>
      </c>
      <c r="AD473">
        <f>Q473/E473</f>
        <v>0.12987429695637667</v>
      </c>
      <c r="AE473">
        <f>Q473/J473</f>
        <v>2.3024289403797837</v>
      </c>
      <c r="AF473">
        <f>Q473/G473</f>
        <v>0.15663373379838907</v>
      </c>
      <c r="AG473">
        <f>Q473/K473</f>
        <v>2.8211787205227576</v>
      </c>
      <c r="AH473" t="e">
        <f>Q473/L473</f>
        <v>#DIV/0!</v>
      </c>
      <c r="AI473" s="1">
        <f>R473</f>
        <v>5.8</v>
      </c>
      <c r="AJ473" s="1">
        <f>P473</f>
        <v>783562.50199999998</v>
      </c>
    </row>
    <row r="474" spans="1:36" x14ac:dyDescent="0.25">
      <c r="A474" t="s">
        <v>83</v>
      </c>
      <c r="B474">
        <v>2021</v>
      </c>
      <c r="C474" s="1">
        <v>71773.264999999999</v>
      </c>
      <c r="D474" s="1">
        <v>-35845.017999999996</v>
      </c>
      <c r="E474" s="1">
        <v>301120.59999999998</v>
      </c>
      <c r="F474" s="1">
        <v>0</v>
      </c>
      <c r="G474" s="1">
        <v>2518983.085</v>
      </c>
      <c r="H474" s="1">
        <v>2221080.4640000002</v>
      </c>
      <c r="I474" s="1">
        <v>2204.7130000000002</v>
      </c>
      <c r="J474" s="1">
        <v>116843.39200000001</v>
      </c>
      <c r="K474" s="1">
        <v>96675.472999999998</v>
      </c>
      <c r="L474" s="1">
        <v>0</v>
      </c>
      <c r="M474" s="1">
        <v>0</v>
      </c>
      <c r="N474" s="1">
        <v>2363564.6630000002</v>
      </c>
      <c r="O474" s="1">
        <v>2402140.4929999998</v>
      </c>
      <c r="P474" s="1">
        <v>1074379.831</v>
      </c>
      <c r="Q474" s="1">
        <v>-56790.697</v>
      </c>
      <c r="R474" s="1">
        <v>9.9</v>
      </c>
      <c r="T474">
        <f>E474/G474</f>
        <v>0.11954054070196346</v>
      </c>
      <c r="U474">
        <f>D474/C474</f>
        <v>-0.49942019497092682</v>
      </c>
      <c r="V474">
        <f>(E474-F474)/O474</f>
        <v>0.12535511593825832</v>
      </c>
      <c r="W474">
        <f>H474/K474</f>
        <v>22.974601468978591</v>
      </c>
      <c r="X474">
        <f>(H474-I474)/K474</f>
        <v>22.951796170679199</v>
      </c>
      <c r="Y474">
        <f>(H474-K474)/G474</f>
        <v>0.84335818039048105</v>
      </c>
      <c r="Z474">
        <f>J474/N474</f>
        <v>4.943524238160435E-2</v>
      </c>
      <c r="AA474">
        <f>J474/G474</f>
        <v>4.6385143550894473E-2</v>
      </c>
      <c r="AB474">
        <f>C474/G474</f>
        <v>2.8492952345489847E-2</v>
      </c>
      <c r="AC474">
        <f>C474/(G474-K474)</f>
        <v>2.9630119908982067E-2</v>
      </c>
      <c r="AD474">
        <f>Q474/E474</f>
        <v>-0.18859784750694575</v>
      </c>
      <c r="AE474">
        <f>Q474/J474</f>
        <v>-0.48604115327292102</v>
      </c>
      <c r="AF474">
        <f>Q474/G474</f>
        <v>-2.2545088666206744E-2</v>
      </c>
      <c r="AG474">
        <f>Q474/K474</f>
        <v>-0.58743645350460294</v>
      </c>
      <c r="AH474" t="e">
        <f>Q474/L474</f>
        <v>#DIV/0!</v>
      </c>
      <c r="AI474" s="1">
        <f>R474</f>
        <v>9.9</v>
      </c>
      <c r="AJ474" s="1">
        <f>P474</f>
        <v>1074379.831</v>
      </c>
    </row>
    <row r="475" spans="1:36" x14ac:dyDescent="0.25">
      <c r="A475" t="s">
        <v>83</v>
      </c>
      <c r="B475">
        <v>2022</v>
      </c>
      <c r="C475" s="1">
        <v>82240.535999999993</v>
      </c>
      <c r="D475" s="1">
        <v>-477.32900000000001</v>
      </c>
      <c r="E475" s="1">
        <v>136230.736</v>
      </c>
      <c r="F475" s="1">
        <v>0</v>
      </c>
      <c r="G475" s="1">
        <v>2625630.2949999999</v>
      </c>
      <c r="H475" s="1">
        <v>1189833.122</v>
      </c>
      <c r="I475" s="1">
        <v>2204.7130000000002</v>
      </c>
      <c r="J475" s="1">
        <v>85622.03</v>
      </c>
      <c r="K475" s="1">
        <v>65757.509000000005</v>
      </c>
      <c r="L475" s="1">
        <v>0</v>
      </c>
      <c r="M475" s="1">
        <v>0</v>
      </c>
      <c r="N475" s="1">
        <v>2497549.0469999998</v>
      </c>
      <c r="O475" s="1">
        <v>2540008.264</v>
      </c>
      <c r="P475" s="1">
        <v>1208364.2150000001</v>
      </c>
      <c r="Q475" s="1">
        <v>97666.614000000001</v>
      </c>
      <c r="R475" s="1">
        <v>7.3</v>
      </c>
      <c r="S475" s="1"/>
      <c r="T475">
        <f>E475/G475</f>
        <v>5.1884965015609713E-2</v>
      </c>
      <c r="U475">
        <f>D475/C475</f>
        <v>-5.8040599346288312E-3</v>
      </c>
      <c r="V475">
        <f>(E475-F475)/O475</f>
        <v>5.3633973531040449E-2</v>
      </c>
      <c r="W475">
        <f>H475/K475</f>
        <v>18.094254786932392</v>
      </c>
      <c r="X475">
        <f>(H475-I475)/K475</f>
        <v>18.060726859346207</v>
      </c>
      <c r="Y475">
        <f>(H475-K475)/G475</f>
        <v>0.42811648507430095</v>
      </c>
      <c r="Z475">
        <f>J475/N475</f>
        <v>3.4282421841864238E-2</v>
      </c>
      <c r="AA475">
        <f>J475/G475</f>
        <v>3.2610086105058445E-2</v>
      </c>
      <c r="AB475">
        <f>C475/G475</f>
        <v>3.1322207150264465E-2</v>
      </c>
      <c r="AC475">
        <f>C475/(G475-K475)</f>
        <v>3.2126805851359207E-2</v>
      </c>
      <c r="AD475">
        <f>Q475/E475</f>
        <v>0.71692054867853017</v>
      </c>
      <c r="AE475">
        <f>Q475/J475</f>
        <v>1.1406715538045524</v>
      </c>
      <c r="AF475">
        <f>Q475/G475</f>
        <v>3.719739758715726E-2</v>
      </c>
      <c r="AG475">
        <f>Q475/K475</f>
        <v>1.4852541631405167</v>
      </c>
      <c r="AH475" t="e">
        <f>Q475/L475</f>
        <v>#DIV/0!</v>
      </c>
      <c r="AI475" s="1">
        <f>R475</f>
        <v>7.3</v>
      </c>
      <c r="AJ475" s="1">
        <f>P475</f>
        <v>1208364.2150000001</v>
      </c>
    </row>
    <row r="476" spans="1:36" x14ac:dyDescent="0.25">
      <c r="A476" t="s">
        <v>83</v>
      </c>
      <c r="B476">
        <v>2023</v>
      </c>
      <c r="C476" s="1">
        <v>118819.15</v>
      </c>
      <c r="D476" s="1">
        <v>30196.936000000002</v>
      </c>
      <c r="E476" s="1">
        <v>100739.04399999999</v>
      </c>
      <c r="F476" s="1">
        <v>0</v>
      </c>
      <c r="G476" s="1">
        <v>2722040.0819999999</v>
      </c>
      <c r="H476" s="1">
        <v>932309.39300000004</v>
      </c>
      <c r="I476" s="1">
        <v>2204.7130000000002</v>
      </c>
      <c r="J476" s="1">
        <v>81066.75</v>
      </c>
      <c r="K476" s="1">
        <v>50770.881999999998</v>
      </c>
      <c r="L476" s="1">
        <v>0</v>
      </c>
      <c r="M476" s="1">
        <v>0</v>
      </c>
      <c r="N476" s="1">
        <v>2585115.7799999998</v>
      </c>
      <c r="O476" s="1">
        <v>2640973.3330000001</v>
      </c>
      <c r="P476" s="1">
        <v>1295930.9480000001</v>
      </c>
      <c r="Q476" s="1">
        <v>27164.808000000001</v>
      </c>
      <c r="R476" s="1">
        <v>8.4</v>
      </c>
      <c r="T476">
        <f>E476/G476</f>
        <v>3.7008655627871097E-2</v>
      </c>
      <c r="U476">
        <f>D476/C476</f>
        <v>0.25414199647110758</v>
      </c>
      <c r="V476">
        <f>(E476-F476)/O476</f>
        <v>3.8144665355468017E-2</v>
      </c>
      <c r="W476">
        <f>H476/K476</f>
        <v>18.36307261709576</v>
      </c>
      <c r="X476">
        <f>(H476-I476)/K476</f>
        <v>18.319647864301434</v>
      </c>
      <c r="Y476">
        <f>(H476-K476)/G476</f>
        <v>0.32385214193917961</v>
      </c>
      <c r="Z476">
        <f>J476/N476</f>
        <v>3.1359040328940317E-2</v>
      </c>
      <c r="AA476">
        <f>J476/G476</f>
        <v>2.9781615096731703E-2</v>
      </c>
      <c r="AB476">
        <f>C476/G476</f>
        <v>4.3650771634743325E-2</v>
      </c>
      <c r="AC476">
        <f>C476/(G476-K476)</f>
        <v>4.4480410285867113E-2</v>
      </c>
      <c r="AD476">
        <f>Q476/E476</f>
        <v>0.2696552093545776</v>
      </c>
      <c r="AE476">
        <f>Q476/J476</f>
        <v>0.33509185948616421</v>
      </c>
      <c r="AF476">
        <f>Q476/G476</f>
        <v>9.9795767812650461E-3</v>
      </c>
      <c r="AG476">
        <f>Q476/K476</f>
        <v>0.53504699800172872</v>
      </c>
      <c r="AH476" t="e">
        <f>Q476/L476</f>
        <v>#DIV/0!</v>
      </c>
      <c r="AI476" s="1">
        <f>R476</f>
        <v>8.4</v>
      </c>
      <c r="AJ476" s="1">
        <f>P476</f>
        <v>1295930.9480000001</v>
      </c>
    </row>
    <row r="477" spans="1:36" s="8" customFormat="1" x14ac:dyDescent="0.25">
      <c r="A477" s="8" t="s">
        <v>83</v>
      </c>
      <c r="B477" s="8">
        <v>2024</v>
      </c>
      <c r="C477" s="9">
        <v>136117.549</v>
      </c>
      <c r="D477" s="9">
        <v>29933.739000000001</v>
      </c>
      <c r="E477" s="9">
        <v>93267.096000000005</v>
      </c>
      <c r="F477" s="9">
        <v>0</v>
      </c>
      <c r="G477" s="9">
        <v>2811705.5959999999</v>
      </c>
      <c r="H477" s="9">
        <v>538971.89300000004</v>
      </c>
      <c r="I477" s="9">
        <v>2103.5039999999999</v>
      </c>
      <c r="J477" s="9">
        <v>76998.445999999996</v>
      </c>
      <c r="K477" s="9">
        <v>53266.252</v>
      </c>
      <c r="L477" s="9">
        <v>0</v>
      </c>
      <c r="M477" s="9">
        <v>0</v>
      </c>
      <c r="N477" s="9">
        <v>2666103.2629999998</v>
      </c>
      <c r="O477" s="9">
        <v>2734707.15</v>
      </c>
      <c r="P477" s="9">
        <v>1376918.4310000001</v>
      </c>
      <c r="Q477" s="9">
        <v>-12942.460999999999</v>
      </c>
      <c r="R477" s="9">
        <v>8.3000000000000007</v>
      </c>
      <c r="T477" s="8">
        <f>E477/G477</f>
        <v>3.3171003441001795E-2</v>
      </c>
      <c r="U477" s="8">
        <f>D477/C477</f>
        <v>0.21991094623662377</v>
      </c>
      <c r="V477" s="8">
        <f>(E477-F477)/O477</f>
        <v>3.4104966595783395E-2</v>
      </c>
      <c r="W477" s="8">
        <f>H477/K477</f>
        <v>10.118449726855197</v>
      </c>
      <c r="X477" s="8">
        <f>(H477-I477)/K477</f>
        <v>10.078959356855069</v>
      </c>
      <c r="Y477" s="8">
        <f>(H477-K477)/G477</f>
        <v>0.17274413142363718</v>
      </c>
      <c r="Z477" s="8">
        <f>J477/N477</f>
        <v>2.8880519021366954E-2</v>
      </c>
      <c r="AA477" s="8">
        <f>J477/G477</f>
        <v>2.7384960256699648E-2</v>
      </c>
      <c r="AB477" s="8">
        <f>C477/G477</f>
        <v>4.8411024679697656E-2</v>
      </c>
      <c r="AC477" s="8">
        <f>C477/(G477-K477)</f>
        <v>4.9345855400473142E-2</v>
      </c>
      <c r="AD477" s="8">
        <f>Q477/E477</f>
        <v>-0.13876770645887804</v>
      </c>
      <c r="AE477" s="8">
        <f>Q477/J477</f>
        <v>-0.16808730139826458</v>
      </c>
      <c r="AF477" s="8">
        <f>Q477/G477</f>
        <v>-4.6030640684473706E-3</v>
      </c>
      <c r="AG477" s="8">
        <f>Q477/K477</f>
        <v>-0.24297675383655676</v>
      </c>
      <c r="AH477" s="8" t="e">
        <f>Q477/L477</f>
        <v>#DIV/0!</v>
      </c>
      <c r="AI477" s="9">
        <f>R477</f>
        <v>8.3000000000000007</v>
      </c>
      <c r="AJ477" s="9">
        <f>P477</f>
        <v>1376918.4310000001</v>
      </c>
    </row>
    <row r="478" spans="1:36" x14ac:dyDescent="0.25">
      <c r="A478" s="15" t="s">
        <v>82</v>
      </c>
      <c r="B478" s="15">
        <v>2018</v>
      </c>
      <c r="C478" s="6">
        <v>15486226</v>
      </c>
      <c r="D478" s="6">
        <f>88372+488784</f>
        <v>577156</v>
      </c>
      <c r="E478" s="6">
        <v>-642921</v>
      </c>
      <c r="F478" s="6"/>
      <c r="G478" s="6">
        <v>8643085</v>
      </c>
      <c r="H478" s="6">
        <v>4751355</v>
      </c>
      <c r="I478" s="6">
        <v>2151984</v>
      </c>
      <c r="J478" s="6">
        <f>1254413+K478</f>
        <v>6104855</v>
      </c>
      <c r="K478" s="6">
        <v>4850442</v>
      </c>
      <c r="L478" s="6">
        <f>2173457+M478</f>
        <v>2667254</v>
      </c>
      <c r="M478" s="6">
        <v>493797</v>
      </c>
      <c r="N478" s="6">
        <v>2361240</v>
      </c>
      <c r="O478" s="6">
        <v>2538230</v>
      </c>
      <c r="P478" s="6">
        <v>2325961</v>
      </c>
      <c r="Q478" s="6">
        <v>877917</v>
      </c>
      <c r="R478" s="6">
        <v>12</v>
      </c>
      <c r="S478" s="15"/>
      <c r="T478" s="15">
        <f>E478/G478</f>
        <v>-7.4385592644293091E-2</v>
      </c>
      <c r="U478" s="15">
        <f>D478/C478</f>
        <v>3.7268989875260762E-2</v>
      </c>
      <c r="V478" s="15">
        <f>(E478-F478)/O478</f>
        <v>-0.25329501266630683</v>
      </c>
      <c r="W478" s="15">
        <f>H478/K478</f>
        <v>0.97957155244820993</v>
      </c>
      <c r="X478" s="15">
        <f>(H478-I478)/K478</f>
        <v>0.53590394442403388</v>
      </c>
      <c r="Y478" s="15">
        <f>(H478-K478)/G478</f>
        <v>-1.1464309329365614E-2</v>
      </c>
      <c r="Z478" s="15">
        <f>J478/N478</f>
        <v>2.5854445122054512</v>
      </c>
      <c r="AA478" s="15">
        <f>J478/G478</f>
        <v>0.70632823812330903</v>
      </c>
      <c r="AB478" s="15">
        <f>C478/G478</f>
        <v>1.7917475068219275</v>
      </c>
      <c r="AC478" s="15">
        <f>C478/(G478-K478)</f>
        <v>4.0832279758469223</v>
      </c>
      <c r="AD478" s="15">
        <f>Q478/E478</f>
        <v>-1.3655130257061132</v>
      </c>
      <c r="AE478" s="15">
        <f>Q478/J478</f>
        <v>0.14380636395131416</v>
      </c>
      <c r="AF478" s="15">
        <f>Q478/G478</f>
        <v>0.10157449568065106</v>
      </c>
      <c r="AG478" s="15">
        <f>Q478/K478</f>
        <v>0.1809973194195498</v>
      </c>
      <c r="AH478" s="15">
        <f>Q478/L478</f>
        <v>0.32914638050969275</v>
      </c>
      <c r="AI478" s="6">
        <f>R478</f>
        <v>12</v>
      </c>
      <c r="AJ478" s="6">
        <f>P478</f>
        <v>2325961</v>
      </c>
    </row>
    <row r="479" spans="1:36" x14ac:dyDescent="0.25">
      <c r="A479" t="s">
        <v>82</v>
      </c>
      <c r="B479">
        <v>2019</v>
      </c>
      <c r="C479" s="1">
        <v>10793779</v>
      </c>
      <c r="D479" s="1">
        <f>-829386+606875</f>
        <v>-222511</v>
      </c>
      <c r="E479" s="1">
        <v>-742420</v>
      </c>
      <c r="G479" s="1">
        <v>11989160</v>
      </c>
      <c r="H479" s="1">
        <v>4989813</v>
      </c>
      <c r="I479" s="1">
        <v>2238723</v>
      </c>
      <c r="J479" s="1">
        <f>2038615+K479</f>
        <v>7745317</v>
      </c>
      <c r="K479" s="1">
        <v>5706702</v>
      </c>
      <c r="L479" s="1">
        <f>2612609+M479</f>
        <v>3067407</v>
      </c>
      <c r="M479" s="1">
        <v>454798</v>
      </c>
      <c r="N479" s="1">
        <v>3964710</v>
      </c>
      <c r="O479" s="1">
        <v>4243843</v>
      </c>
      <c r="P479" s="1">
        <v>1306736</v>
      </c>
      <c r="Q479" s="1">
        <v>-335807</v>
      </c>
      <c r="R479" s="1">
        <v>14.9</v>
      </c>
      <c r="T479">
        <f>E479/G479</f>
        <v>-6.1924271592004775E-2</v>
      </c>
      <c r="U479">
        <f>D479/C479</f>
        <v>-2.0614744845155714E-2</v>
      </c>
      <c r="V479">
        <f>(E479-F479)/O479</f>
        <v>-0.17494049614936275</v>
      </c>
      <c r="W479">
        <f>H479/K479</f>
        <v>0.87437770537168402</v>
      </c>
      <c r="X479">
        <f>(H479-I479)/K479</f>
        <v>0.48208054319289845</v>
      </c>
      <c r="Y479">
        <f>(H479-K479)/G479</f>
        <v>-5.9794764604025635E-2</v>
      </c>
      <c r="Z479">
        <f>J479/N479</f>
        <v>1.9535645734492562</v>
      </c>
      <c r="AA479">
        <f>J479/G479</f>
        <v>0.64602666075021098</v>
      </c>
      <c r="AB479">
        <f>C479/G479</f>
        <v>0.90029484968087836</v>
      </c>
      <c r="AC479">
        <f>C479/(G479-K479)</f>
        <v>1.7180821582890009</v>
      </c>
      <c r="AD479">
        <f>Q479/E479</f>
        <v>0.45231405403949249</v>
      </c>
      <c r="AE479">
        <f>Q479/J479</f>
        <v>-4.3356133777352174E-2</v>
      </c>
      <c r="AF479">
        <f>Q479/G479</f>
        <v>-2.8009218327222259E-2</v>
      </c>
      <c r="AG479">
        <f>Q479/K479</f>
        <v>-5.8844320239605993E-2</v>
      </c>
      <c r="AH479">
        <f>Q479/L479</f>
        <v>-0.10947585370966423</v>
      </c>
      <c r="AI479" s="1">
        <f>R479</f>
        <v>14.9</v>
      </c>
      <c r="AJ479" s="1">
        <f>P479</f>
        <v>1306736</v>
      </c>
    </row>
    <row r="480" spans="1:36" x14ac:dyDescent="0.25">
      <c r="A480" t="s">
        <v>82</v>
      </c>
      <c r="B480">
        <v>2020</v>
      </c>
      <c r="C480" s="1">
        <v>11186301</v>
      </c>
      <c r="D480" s="1">
        <f>-366910+585272</f>
        <v>218362</v>
      </c>
      <c r="E480" s="1">
        <v>-424508</v>
      </c>
      <c r="G480" s="1">
        <v>11763992</v>
      </c>
      <c r="H480" s="1">
        <v>4917941</v>
      </c>
      <c r="I480" s="1">
        <v>2304788</v>
      </c>
      <c r="J480" s="1">
        <f>2215638+K480</f>
        <v>8025653</v>
      </c>
      <c r="K480" s="1">
        <v>5810015</v>
      </c>
      <c r="L480" s="1">
        <f>2321113+M480</f>
        <v>2847907</v>
      </c>
      <c r="M480" s="1">
        <v>526794</v>
      </c>
      <c r="N480" s="1">
        <v>3491327</v>
      </c>
      <c r="O480" s="1">
        <v>3738339</v>
      </c>
      <c r="P480" s="1">
        <v>826010</v>
      </c>
      <c r="Q480" s="1">
        <v>511242</v>
      </c>
      <c r="R480" s="1">
        <v>8.1690000000000005</v>
      </c>
      <c r="T480">
        <f>E480/G480</f>
        <v>-3.608536966023098E-2</v>
      </c>
      <c r="U480">
        <f>D480/C480</f>
        <v>1.9520483133790161E-2</v>
      </c>
      <c r="V480">
        <f>(E480-F480)/O480</f>
        <v>-0.11355524472232187</v>
      </c>
      <c r="W480">
        <f>H480/K480</f>
        <v>0.84645926043220199</v>
      </c>
      <c r="X480">
        <f>(H480-I480)/K480</f>
        <v>0.44976699715921559</v>
      </c>
      <c r="Y480">
        <f>(H480-K480)/G480</f>
        <v>-7.5830891418491281E-2</v>
      </c>
      <c r="Z480">
        <f>J480/N480</f>
        <v>2.2987399919858551</v>
      </c>
      <c r="AA480">
        <f>J480/G480</f>
        <v>0.68222190222502699</v>
      </c>
      <c r="AB480">
        <f>C480/G480</f>
        <v>0.95089328520454619</v>
      </c>
      <c r="AC480">
        <f>C480/(G480-K480)</f>
        <v>1.8787947954787194</v>
      </c>
      <c r="AD480">
        <f>Q480/E480</f>
        <v>-1.2043165264258859</v>
      </c>
      <c r="AE480">
        <f>Q480/J480</f>
        <v>6.3700984829521037E-2</v>
      </c>
      <c r="AF480">
        <f>Q480/G480</f>
        <v>4.3458207044003432E-2</v>
      </c>
      <c r="AG480">
        <f>Q480/K480</f>
        <v>8.7993232375475794E-2</v>
      </c>
      <c r="AH480">
        <f>Q480/L480</f>
        <v>0.17951499118475428</v>
      </c>
      <c r="AI480" s="1">
        <f>R480</f>
        <v>8.1690000000000005</v>
      </c>
      <c r="AJ480" s="1">
        <f>P480</f>
        <v>826010</v>
      </c>
    </row>
    <row r="481" spans="1:36" x14ac:dyDescent="0.25">
      <c r="A481" t="s">
        <v>82</v>
      </c>
      <c r="B481">
        <v>2021</v>
      </c>
      <c r="C481" s="1">
        <v>13766848</v>
      </c>
      <c r="D481" s="1">
        <f>831876-55102+529906</f>
        <v>1306680</v>
      </c>
      <c r="E481" s="1">
        <v>583628</v>
      </c>
      <c r="G481" s="1">
        <v>13092056</v>
      </c>
      <c r="H481" s="1">
        <v>6551656</v>
      </c>
      <c r="I481" s="1">
        <v>2819376</v>
      </c>
      <c r="J481" s="1">
        <f>1877208+K481</f>
        <v>8586610</v>
      </c>
      <c r="K481" s="1">
        <v>6709402</v>
      </c>
      <c r="L481" s="1">
        <f>2176732+M481</f>
        <v>2320325</v>
      </c>
      <c r="M481" s="1">
        <v>143593</v>
      </c>
      <c r="N481" s="1">
        <v>4154830</v>
      </c>
      <c r="O481" s="1">
        <v>4505446</v>
      </c>
      <c r="P481" s="1">
        <v>1153818</v>
      </c>
      <c r="Q481" s="1">
        <v>1408382</v>
      </c>
      <c r="R481" s="1">
        <v>30.4</v>
      </c>
      <c r="T481">
        <f>E481/G481</f>
        <v>4.4578788847221551E-2</v>
      </c>
      <c r="U481">
        <f>D481/C481</f>
        <v>9.4914972548545612E-2</v>
      </c>
      <c r="V481">
        <f>(E481-F481)/O481</f>
        <v>0.12953834093228506</v>
      </c>
      <c r="W481">
        <f>H481/K481</f>
        <v>0.97648881375717245</v>
      </c>
      <c r="X481">
        <f>(H481-I481)/K481</f>
        <v>0.55627610329504773</v>
      </c>
      <c r="Y481">
        <f>(H481-K481)/G481</f>
        <v>-1.2048986041611798E-2</v>
      </c>
      <c r="Z481">
        <f>J481/N481</f>
        <v>2.0666573602289384</v>
      </c>
      <c r="AA481">
        <f>J481/G481</f>
        <v>0.65586413623650863</v>
      </c>
      <c r="AB481">
        <f>C481/G481</f>
        <v>1.0515420954508596</v>
      </c>
      <c r="AC481">
        <f>C481/(G481-K481)</f>
        <v>2.1569159161690421</v>
      </c>
      <c r="AD481">
        <f>Q481/E481</f>
        <v>2.4131501572919736</v>
      </c>
      <c r="AE481">
        <f>Q481/J481</f>
        <v>0.16402072529205355</v>
      </c>
      <c r="AF481">
        <f>Q481/G481</f>
        <v>0.10757531131855837</v>
      </c>
      <c r="AG481">
        <f>Q481/K481</f>
        <v>0.20991170301019377</v>
      </c>
      <c r="AH481">
        <f>Q481/L481</f>
        <v>0.60697617790611225</v>
      </c>
      <c r="AI481" s="1">
        <f>R481</f>
        <v>30.4</v>
      </c>
      <c r="AJ481" s="1">
        <f>P481</f>
        <v>1153818</v>
      </c>
    </row>
    <row r="482" spans="1:36" x14ac:dyDescent="0.25">
      <c r="A482" t="s">
        <v>82</v>
      </c>
      <c r="B482">
        <v>2022</v>
      </c>
      <c r="C482" s="1">
        <v>17508915</v>
      </c>
      <c r="D482" s="1">
        <f>1037641-112751+888435</f>
        <v>1813325</v>
      </c>
      <c r="E482" s="1">
        <v>738111</v>
      </c>
      <c r="G482" s="1">
        <v>16519332</v>
      </c>
      <c r="H482" s="1">
        <v>8511420</v>
      </c>
      <c r="I482" s="1">
        <v>3416710</v>
      </c>
      <c r="J482" s="1">
        <f>3071242+K482</f>
        <v>11208987</v>
      </c>
      <c r="K482" s="1">
        <v>8137745</v>
      </c>
      <c r="L482" s="1">
        <f>3846888+M482</f>
        <v>5221364</v>
      </c>
      <c r="M482" s="1">
        <v>1374476</v>
      </c>
      <c r="N482" s="1">
        <v>4970176</v>
      </c>
      <c r="O482" s="1">
        <v>5310345</v>
      </c>
      <c r="P482" s="1">
        <v>2307663</v>
      </c>
      <c r="Q482" s="1">
        <v>404169</v>
      </c>
      <c r="R482" s="1">
        <v>16.899999999999999</v>
      </c>
      <c r="T482">
        <f>E482/G482</f>
        <v>4.4681649354828636E-2</v>
      </c>
      <c r="U482">
        <f>D482/C482</f>
        <v>0.10356581204489256</v>
      </c>
      <c r="V482">
        <f>(E482-F482)/O482</f>
        <v>0.13899492405860636</v>
      </c>
      <c r="W482">
        <f>H482/K482</f>
        <v>1.0459187403881542</v>
      </c>
      <c r="X482">
        <f>(H482-I482)/K482</f>
        <v>0.62605918470042987</v>
      </c>
      <c r="Y482">
        <f>(H482-K482)/G482</f>
        <v>2.2620466735579863E-2</v>
      </c>
      <c r="Z482">
        <f>J482/N482</f>
        <v>2.2552495122909129</v>
      </c>
      <c r="AA482">
        <f>J482/G482</f>
        <v>0.67853754619133511</v>
      </c>
      <c r="AB482">
        <f>C482/G482</f>
        <v>1.0599045409342218</v>
      </c>
      <c r="AC482">
        <f>C482/(G482-K482)</f>
        <v>2.0889737229954184</v>
      </c>
      <c r="AD482">
        <f>Q482/E482</f>
        <v>0.54757211313745491</v>
      </c>
      <c r="AE482">
        <f>Q482/J482</f>
        <v>3.6057584864716143E-2</v>
      </c>
      <c r="AF482">
        <f>Q482/G482</f>
        <v>2.4466425155690315E-2</v>
      </c>
      <c r="AG482">
        <f>Q482/K482</f>
        <v>4.9665970118257574E-2</v>
      </c>
      <c r="AH482">
        <f>Q482/L482</f>
        <v>7.7406784893755728E-2</v>
      </c>
      <c r="AI482" s="1">
        <f>R482</f>
        <v>16.899999999999999</v>
      </c>
      <c r="AJ482" s="1">
        <f>P482</f>
        <v>2307663</v>
      </c>
    </row>
    <row r="483" spans="1:36" x14ac:dyDescent="0.25">
      <c r="A483" t="s">
        <v>82</v>
      </c>
      <c r="B483">
        <v>2023</v>
      </c>
      <c r="C483" s="1">
        <v>23342429</v>
      </c>
      <c r="D483" s="1">
        <f>1800039-206964+2111359</f>
        <v>3704434</v>
      </c>
      <c r="E483" s="1">
        <v>1510007</v>
      </c>
      <c r="G483" s="1">
        <v>20245601</v>
      </c>
      <c r="H483" s="1">
        <v>9687692</v>
      </c>
      <c r="I483" s="1">
        <v>4847497</v>
      </c>
      <c r="J483" s="1">
        <f>3885931+K483</f>
        <v>13438039</v>
      </c>
      <c r="K483" s="1">
        <v>9552108</v>
      </c>
      <c r="L483" s="1">
        <f>4703207+M483</f>
        <v>6369658</v>
      </c>
      <c r="M483" s="1">
        <v>1666451</v>
      </c>
      <c r="N483" s="1">
        <v>6525057</v>
      </c>
      <c r="O483" s="1">
        <v>6807562</v>
      </c>
      <c r="P483" s="1">
        <v>4259818</v>
      </c>
      <c r="Q483" s="1">
        <v>-186911</v>
      </c>
      <c r="R483" s="1">
        <v>20.100000000000001</v>
      </c>
      <c r="T483">
        <f>E483/G483</f>
        <v>7.4584449234181782E-2</v>
      </c>
      <c r="U483">
        <f>D483/C483</f>
        <v>0.15869959377406695</v>
      </c>
      <c r="V483">
        <f>(E483-F483)/O483</f>
        <v>0.22181318363314209</v>
      </c>
      <c r="W483">
        <f>H483/K483</f>
        <v>1.0141941443710645</v>
      </c>
      <c r="X483">
        <f>(H483-I483)/K483</f>
        <v>0.50671485288901674</v>
      </c>
      <c r="Y483">
        <f>(H483-K483)/G483</f>
        <v>6.6969609842651746E-3</v>
      </c>
      <c r="Z483">
        <f>J483/N483</f>
        <v>2.0594515879324886</v>
      </c>
      <c r="AA483">
        <f>J483/G483</f>
        <v>0.66375105387091249</v>
      </c>
      <c r="AB483">
        <f>C483/G483</f>
        <v>1.1529630066304279</v>
      </c>
      <c r="AC483">
        <f>C483/(G483-K483)</f>
        <v>2.1828628868041529</v>
      </c>
      <c r="AD483">
        <f>Q483/E483</f>
        <v>-0.12378154538356445</v>
      </c>
      <c r="AE483">
        <f>Q483/J483</f>
        <v>-1.3909097897394106E-2</v>
      </c>
      <c r="AF483">
        <f>Q483/G483</f>
        <v>-9.2321783877890307E-3</v>
      </c>
      <c r="AG483">
        <f>Q483/K483</f>
        <v>-1.9567513265134773E-2</v>
      </c>
      <c r="AH483">
        <f>Q483/L483</f>
        <v>-2.9343961638128767E-2</v>
      </c>
      <c r="AI483" s="1">
        <f>R483</f>
        <v>20.100000000000001</v>
      </c>
      <c r="AJ483" s="1">
        <f>P483</f>
        <v>4259818</v>
      </c>
    </row>
    <row r="484" spans="1:36" s="8" customFormat="1" x14ac:dyDescent="0.25">
      <c r="A484" s="8" t="s">
        <v>82</v>
      </c>
      <c r="B484" s="8">
        <v>2024</v>
      </c>
      <c r="C484" s="9">
        <v>25822094</v>
      </c>
      <c r="D484" s="9">
        <f>666907-238858+1474770</f>
        <v>1902819</v>
      </c>
      <c r="E484" s="9">
        <v>280780</v>
      </c>
      <c r="F484" s="9"/>
      <c r="G484" s="9">
        <v>22426638</v>
      </c>
      <c r="H484" s="9">
        <v>11351187</v>
      </c>
      <c r="I484" s="9">
        <v>5071049</v>
      </c>
      <c r="J484" s="9">
        <f>3640909+K484</f>
        <v>15707699</v>
      </c>
      <c r="K484" s="9">
        <v>12066790</v>
      </c>
      <c r="L484" s="9">
        <f>5787613+M484</f>
        <v>6974091</v>
      </c>
      <c r="M484" s="9">
        <v>1186478</v>
      </c>
      <c r="N484" s="9">
        <v>6302403</v>
      </c>
      <c r="O484" s="9">
        <v>6718939</v>
      </c>
      <c r="P484" s="9">
        <v>4037164</v>
      </c>
      <c r="Q484" s="9">
        <v>1164016</v>
      </c>
      <c r="R484" s="9">
        <v>23</v>
      </c>
      <c r="T484" s="8">
        <f>E484/G484</f>
        <v>1.2519932769236299E-2</v>
      </c>
      <c r="U484" s="8">
        <f>D484/C484</f>
        <v>7.3689569869895138E-2</v>
      </c>
      <c r="V484" s="8">
        <f>(E484-F484)/O484</f>
        <v>4.1789336084164477E-2</v>
      </c>
      <c r="W484" s="8">
        <f>H484/K484</f>
        <v>0.94069649011874745</v>
      </c>
      <c r="X484" s="8">
        <f>(H484-I484)/K484</f>
        <v>0.52044810591714952</v>
      </c>
      <c r="Y484" s="8">
        <f>(H484-K484)/G484</f>
        <v>-3.1908616886757613E-2</v>
      </c>
      <c r="Z484" s="8">
        <f>J484/N484</f>
        <v>2.4923349078121473</v>
      </c>
      <c r="AA484" s="8">
        <f>J484/G484</f>
        <v>0.70040364498682328</v>
      </c>
      <c r="AB484" s="8">
        <f>C484/G484</f>
        <v>1.1514028094625686</v>
      </c>
      <c r="AC484" s="8">
        <f>C484/(G484-K484)</f>
        <v>2.4925166855729928</v>
      </c>
      <c r="AD484" s="8">
        <f>Q484/E484</f>
        <v>4.1456513996723414</v>
      </c>
      <c r="AE484" s="8">
        <f>Q484/J484</f>
        <v>7.4104806821164576E-2</v>
      </c>
      <c r="AF484" s="8">
        <f>Q484/G484</f>
        <v>5.190327680858807E-2</v>
      </c>
      <c r="AG484" s="8">
        <f>Q484/K484</f>
        <v>9.646442840225114E-2</v>
      </c>
      <c r="AH484" s="8">
        <f>Q484/L484</f>
        <v>0.16690576592705775</v>
      </c>
      <c r="AI484" s="9">
        <f>R484</f>
        <v>23</v>
      </c>
      <c r="AJ484" s="9">
        <f>P484</f>
        <v>4037164</v>
      </c>
    </row>
    <row r="485" spans="1:36" x14ac:dyDescent="0.25">
      <c r="A485" s="15" t="s">
        <v>81</v>
      </c>
      <c r="B485" s="15">
        <v>2018</v>
      </c>
      <c r="C485" s="6">
        <v>132805.60200000001</v>
      </c>
      <c r="D485" s="6">
        <v>24219.532999999999</v>
      </c>
      <c r="E485" s="6">
        <v>33720.15</v>
      </c>
      <c r="F485" s="6">
        <v>0</v>
      </c>
      <c r="G485" s="6">
        <v>317872.136</v>
      </c>
      <c r="H485" s="6">
        <v>306452.75199999998</v>
      </c>
      <c r="I485" s="6">
        <v>931.41499999999996</v>
      </c>
      <c r="J485" s="6">
        <f>(6503844+K485)/1000</f>
        <v>6570.9365580000003</v>
      </c>
      <c r="K485" s="6">
        <v>67092.558000000005</v>
      </c>
      <c r="L485" s="6">
        <v>0</v>
      </c>
      <c r="M485" s="6">
        <v>0</v>
      </c>
      <c r="N485" s="6">
        <v>244275.734</v>
      </c>
      <c r="O485" s="6">
        <v>244275.734</v>
      </c>
      <c r="P485" s="6">
        <v>150283.46400000001</v>
      </c>
      <c r="Q485" s="6">
        <v>79900.021999999997</v>
      </c>
      <c r="R485" s="6">
        <v>5.9</v>
      </c>
      <c r="S485" s="15"/>
      <c r="T485" s="15">
        <f>E485/G485</f>
        <v>0.10608086139390337</v>
      </c>
      <c r="U485" s="15">
        <f>D485/C485</f>
        <v>0.18236830852963565</v>
      </c>
      <c r="V485" s="15">
        <f>(E485-F485)/O485</f>
        <v>0.13804134142935376</v>
      </c>
      <c r="W485" s="15">
        <f>H485/K485</f>
        <v>4.5676116865301211</v>
      </c>
      <c r="X485" s="15">
        <f>(H485-I485)/K485</f>
        <v>4.553729148320742</v>
      </c>
      <c r="Y485" s="15">
        <f>(H485-K485)/G485</f>
        <v>0.75300778801196955</v>
      </c>
      <c r="Z485" s="15">
        <f>J485/N485</f>
        <v>2.6899669690481826E-2</v>
      </c>
      <c r="AA485" s="15">
        <f>J485/G485</f>
        <v>2.0671634326577152E-2</v>
      </c>
      <c r="AB485" s="15">
        <f>C485/G485</f>
        <v>0.41779566989161959</v>
      </c>
      <c r="AC485" s="15">
        <f>C485/(G485-K485)</f>
        <v>0.5295710402702728</v>
      </c>
      <c r="AD485" s="15">
        <f>Q485/E485</f>
        <v>2.3695037536903008</v>
      </c>
      <c r="AE485" s="15">
        <f>Q485/J485</f>
        <v>12.1596094095176</v>
      </c>
      <c r="AF485" s="15">
        <f>Q485/G485</f>
        <v>0.25135899926755456</v>
      </c>
      <c r="AG485" s="15">
        <f>Q485/K485</f>
        <v>1.1908924682823987</v>
      </c>
      <c r="AH485" s="15" t="e">
        <f>Q485/L485</f>
        <v>#DIV/0!</v>
      </c>
      <c r="AI485" s="6">
        <f>R485</f>
        <v>5.9</v>
      </c>
      <c r="AJ485" s="6">
        <f>P485</f>
        <v>150283.46400000001</v>
      </c>
    </row>
    <row r="486" spans="1:36" x14ac:dyDescent="0.25">
      <c r="A486" t="s">
        <v>81</v>
      </c>
      <c r="B486">
        <v>2019</v>
      </c>
      <c r="C486" s="1">
        <v>130197.702</v>
      </c>
      <c r="D486" s="1">
        <v>1630.912</v>
      </c>
      <c r="E486" s="1">
        <v>15012.834000000001</v>
      </c>
      <c r="F486" s="1">
        <v>0</v>
      </c>
      <c r="G486" s="1">
        <v>349287.51</v>
      </c>
      <c r="H486" s="1">
        <v>317092.658</v>
      </c>
      <c r="I486" s="1">
        <v>719.255</v>
      </c>
      <c r="J486" s="1">
        <f>(19621249+K486)/1000</f>
        <v>19690.658716999998</v>
      </c>
      <c r="K486" s="1">
        <v>69409.717000000004</v>
      </c>
      <c r="L486" s="1">
        <v>0</v>
      </c>
      <c r="M486" s="1">
        <v>0</v>
      </c>
      <c r="N486" s="1">
        <v>260256.54399999999</v>
      </c>
      <c r="O486" s="1">
        <v>260256.54399999999</v>
      </c>
      <c r="P486" s="1">
        <v>165918.66699999999</v>
      </c>
      <c r="Q486" s="1">
        <v>24337.041000000001</v>
      </c>
      <c r="R486" s="1">
        <v>5.5</v>
      </c>
      <c r="T486">
        <f>E486/G486</f>
        <v>4.2981307862969394E-2</v>
      </c>
      <c r="U486">
        <f>D486/C486</f>
        <v>1.2526426925722544E-2</v>
      </c>
      <c r="V486">
        <f>(E486-F486)/O486</f>
        <v>5.768475124298892E-2</v>
      </c>
      <c r="W486">
        <f>H486/K486</f>
        <v>4.5684188281591753</v>
      </c>
      <c r="X486">
        <f>(H486-I486)/K486</f>
        <v>4.5580563741529154</v>
      </c>
      <c r="Y486">
        <f>(H486-K486)/G486</f>
        <v>0.70910906891574788</v>
      </c>
      <c r="Z486">
        <f>J486/N486</f>
        <v>7.565864978595889E-2</v>
      </c>
      <c r="AA486">
        <f>J486/G486</f>
        <v>5.6373784212896696E-2</v>
      </c>
      <c r="AB486">
        <f>C486/G486</f>
        <v>0.3727522406970693</v>
      </c>
      <c r="AC486">
        <f>C486/(G486-K486)</f>
        <v>0.46519482880158342</v>
      </c>
      <c r="AD486">
        <f>Q486/E486</f>
        <v>1.621082401896937</v>
      </c>
      <c r="AE486">
        <f>Q486/J486</f>
        <v>1.2359688596394458</v>
      </c>
      <c r="AF486">
        <f>Q486/G486</f>
        <v>6.9676241787174131E-2</v>
      </c>
      <c r="AG486">
        <f>Q486/K486</f>
        <v>0.35062873113284698</v>
      </c>
      <c r="AH486" t="e">
        <f>Q486/L486</f>
        <v>#DIV/0!</v>
      </c>
      <c r="AI486" s="1">
        <f>R486</f>
        <v>5.5</v>
      </c>
      <c r="AJ486" s="1">
        <f>P486</f>
        <v>165918.66699999999</v>
      </c>
    </row>
    <row r="487" spans="1:36" x14ac:dyDescent="0.25">
      <c r="A487" t="s">
        <v>81</v>
      </c>
      <c r="B487">
        <v>2020</v>
      </c>
      <c r="C487" s="1">
        <v>130061.51300000001</v>
      </c>
      <c r="D487" s="1">
        <v>23012.012999999999</v>
      </c>
      <c r="E487" s="1">
        <v>30002.620999999999</v>
      </c>
      <c r="F487" s="1">
        <v>0</v>
      </c>
      <c r="G487" s="1">
        <v>392240.69400000002</v>
      </c>
      <c r="H487" s="1">
        <v>368593.96</v>
      </c>
      <c r="I487" s="1">
        <v>264.80500000000001</v>
      </c>
      <c r="J487" s="1">
        <v>100981.433</v>
      </c>
      <c r="K487" s="1">
        <v>85187.663</v>
      </c>
      <c r="L487" s="1">
        <v>0</v>
      </c>
      <c r="M487" s="1">
        <v>0</v>
      </c>
      <c r="N487" s="1">
        <v>291259.261</v>
      </c>
      <c r="O487" s="1">
        <v>291259.261</v>
      </c>
      <c r="P487" s="1">
        <v>196681.93100000001</v>
      </c>
      <c r="Q487" s="1">
        <v>29873.003000000001</v>
      </c>
      <c r="R487" s="1">
        <v>7.1</v>
      </c>
      <c r="T487">
        <f>E487/G487</f>
        <v>7.64903322346253E-2</v>
      </c>
      <c r="U487">
        <f>D487/C487</f>
        <v>0.17693176458742255</v>
      </c>
      <c r="V487">
        <f>(E487-F487)/O487</f>
        <v>0.10301001553389233</v>
      </c>
      <c r="W487">
        <f>H487/K487</f>
        <v>4.3268467172294658</v>
      </c>
      <c r="X487">
        <f>(H487-I487)/K487</f>
        <v>4.3237382272125489</v>
      </c>
      <c r="Y487">
        <f>(H487-K487)/G487</f>
        <v>0.72253160198620292</v>
      </c>
      <c r="Z487">
        <f>J487/N487</f>
        <v>0.34670634215473067</v>
      </c>
      <c r="AA487">
        <f>J487/G487</f>
        <v>0.25744761964958179</v>
      </c>
      <c r="AB487">
        <f>C487/G487</f>
        <v>0.33158597511557536</v>
      </c>
      <c r="AC487">
        <f>C487/(G487-K487)</f>
        <v>0.42357996785252383</v>
      </c>
      <c r="AD487">
        <f>Q487/E487</f>
        <v>0.99567977744344405</v>
      </c>
      <c r="AE487">
        <f>Q487/J487</f>
        <v>0.29582668924890382</v>
      </c>
      <c r="AF487">
        <f>Q487/G487</f>
        <v>7.6159876975946811E-2</v>
      </c>
      <c r="AG487">
        <f>Q487/K487</f>
        <v>0.35067287853641438</v>
      </c>
      <c r="AH487" t="e">
        <f>Q487/L487</f>
        <v>#DIV/0!</v>
      </c>
      <c r="AI487" s="1">
        <f>R487</f>
        <v>7.1</v>
      </c>
      <c r="AJ487" s="1">
        <f>P487</f>
        <v>196681.93100000001</v>
      </c>
    </row>
    <row r="488" spans="1:36" x14ac:dyDescent="0.25">
      <c r="A488" t="s">
        <v>81</v>
      </c>
      <c r="B488">
        <v>2021</v>
      </c>
      <c r="C488" s="1">
        <v>193249.23499999999</v>
      </c>
      <c r="D488" s="1">
        <v>55864.006999999998</v>
      </c>
      <c r="E488" s="1">
        <v>53372.311999999998</v>
      </c>
      <c r="F488" s="1">
        <v>0</v>
      </c>
      <c r="G488" s="1">
        <v>464057.52399999998</v>
      </c>
      <c r="H488" s="1">
        <v>444418.522</v>
      </c>
      <c r="I488" s="1">
        <v>292.02499999999998</v>
      </c>
      <c r="J488" s="1">
        <v>119103.469</v>
      </c>
      <c r="K488" s="1">
        <v>105930.20299999999</v>
      </c>
      <c r="L488" s="1">
        <v>0</v>
      </c>
      <c r="M488" s="1">
        <v>0</v>
      </c>
      <c r="N488" s="1">
        <v>344954.05499999999</v>
      </c>
      <c r="O488" s="1">
        <v>344954.05499999999</v>
      </c>
      <c r="P488" s="1">
        <v>250658.53</v>
      </c>
      <c r="Q488" s="1">
        <v>67466.726999999999</v>
      </c>
      <c r="R488" s="1">
        <v>26.2</v>
      </c>
      <c r="T488">
        <f>E488/G488</f>
        <v>0.11501227593499809</v>
      </c>
      <c r="U488">
        <f>D488/C488</f>
        <v>0.28907750656813724</v>
      </c>
      <c r="V488">
        <f>(E488-F488)/O488</f>
        <v>0.15472295868503416</v>
      </c>
      <c r="W488">
        <f>H488/K488</f>
        <v>4.1953900720835966</v>
      </c>
      <c r="X488">
        <f>(H488-I488)/K488</f>
        <v>4.1926333040256702</v>
      </c>
      <c r="Y488">
        <f>(H488-K488)/G488</f>
        <v>0.72941025949188154</v>
      </c>
      <c r="Z488">
        <f>J488/N488</f>
        <v>0.34527342779026038</v>
      </c>
      <c r="AA488">
        <f>J488/G488</f>
        <v>0.25665669198372915</v>
      </c>
      <c r="AB488">
        <f>C488/G488</f>
        <v>0.41643379323809865</v>
      </c>
      <c r="AC488">
        <f>C488/(G488-K488)</f>
        <v>0.53961042251786195</v>
      </c>
      <c r="AD488">
        <f>Q488/E488</f>
        <v>1.2640772803696418</v>
      </c>
      <c r="AE488">
        <f>Q488/J488</f>
        <v>0.56645476044026899</v>
      </c>
      <c r="AF488">
        <f>Q488/G488</f>
        <v>0.1453844049730352</v>
      </c>
      <c r="AG488">
        <f>Q488/K488</f>
        <v>0.63689792985670013</v>
      </c>
      <c r="AH488" t="e">
        <f>Q488/L488</f>
        <v>#DIV/0!</v>
      </c>
      <c r="AI488" s="1">
        <f>R488</f>
        <v>26.2</v>
      </c>
      <c r="AJ488" s="1">
        <f>P488</f>
        <v>250658.53</v>
      </c>
    </row>
    <row r="489" spans="1:36" x14ac:dyDescent="0.25">
      <c r="A489" t="s">
        <v>81</v>
      </c>
      <c r="B489">
        <v>2022</v>
      </c>
      <c r="C489" s="1">
        <v>221542.34</v>
      </c>
      <c r="D489" s="1">
        <v>44480.764999999999</v>
      </c>
      <c r="E489" s="1">
        <v>65519.591</v>
      </c>
      <c r="F489" s="1">
        <v>0</v>
      </c>
      <c r="G489" s="1">
        <v>554907.42200000002</v>
      </c>
      <c r="H489" s="1">
        <v>529227.74800000002</v>
      </c>
      <c r="I489" s="1">
        <v>288.46499999999997</v>
      </c>
      <c r="J489" s="1">
        <v>153530.959</v>
      </c>
      <c r="K489" s="1">
        <v>145924.95499999999</v>
      </c>
      <c r="L489" s="1">
        <v>0</v>
      </c>
      <c r="M489" s="1">
        <v>0</v>
      </c>
      <c r="N489" s="1">
        <v>401376.46399999998</v>
      </c>
      <c r="O489" s="1">
        <v>401376.46399999998</v>
      </c>
      <c r="P489" s="1">
        <v>306841.467</v>
      </c>
      <c r="Q489" s="1">
        <v>-54250.385999999999</v>
      </c>
      <c r="R489" s="1">
        <v>13</v>
      </c>
      <c r="T489">
        <f>E489/G489</f>
        <v>0.11807301254658654</v>
      </c>
      <c r="U489">
        <f>D489/C489</f>
        <v>0.20077771589845986</v>
      </c>
      <c r="V489">
        <f>(E489-F489)/O489</f>
        <v>0.16323725199791486</v>
      </c>
      <c r="W489">
        <f>H489/K489</f>
        <v>3.6267117437178586</v>
      </c>
      <c r="X489">
        <f>(H489-I489)/K489</f>
        <v>3.6247349399559528</v>
      </c>
      <c r="Y489">
        <f>(H489-K489)/G489</f>
        <v>0.6907508852891141</v>
      </c>
      <c r="Z489">
        <f>J489/N489</f>
        <v>0.38251111554961531</v>
      </c>
      <c r="AA489">
        <f>J489/G489</f>
        <v>0.27667851052819403</v>
      </c>
      <c r="AB489">
        <f>C489/G489</f>
        <v>0.39924198382770953</v>
      </c>
      <c r="AC489">
        <f>C489/(G489-K489)</f>
        <v>0.54169153417522897</v>
      </c>
      <c r="AD489">
        <f>Q489/E489</f>
        <v>-0.82800251301935013</v>
      </c>
      <c r="AE489">
        <f>Q489/J489</f>
        <v>-0.35335144360037507</v>
      </c>
      <c r="AF489">
        <f>Q489/G489</f>
        <v>-9.7764751108338932E-2</v>
      </c>
      <c r="AG489">
        <f>Q489/K489</f>
        <v>-0.37176907815390453</v>
      </c>
      <c r="AH489" t="e">
        <f>Q489/L489</f>
        <v>#DIV/0!</v>
      </c>
      <c r="AI489" s="1">
        <f>R489</f>
        <v>13</v>
      </c>
      <c r="AJ489" s="1">
        <f>P489</f>
        <v>306841.467</v>
      </c>
    </row>
    <row r="490" spans="1:36" x14ac:dyDescent="0.25">
      <c r="A490" t="s">
        <v>81</v>
      </c>
      <c r="B490">
        <v>2023</v>
      </c>
      <c r="C490" s="1">
        <v>271193.90600000002</v>
      </c>
      <c r="D490" s="1">
        <v>15784.902</v>
      </c>
      <c r="E490" s="1">
        <v>43826.610999999997</v>
      </c>
      <c r="F490" s="1">
        <v>0</v>
      </c>
      <c r="G490" s="1">
        <v>588501.11699999997</v>
      </c>
      <c r="H490" s="1">
        <v>572205.38699999999</v>
      </c>
      <c r="I490" s="1">
        <v>288.46499999999997</v>
      </c>
      <c r="J490" s="1">
        <v>145405.96100000001</v>
      </c>
      <c r="K490" s="1">
        <v>134186.98000000001</v>
      </c>
      <c r="L490" s="1">
        <v>0</v>
      </c>
      <c r="M490" s="1">
        <v>0</v>
      </c>
      <c r="N490" s="1">
        <v>443095.15600000002</v>
      </c>
      <c r="O490" s="1">
        <v>443095.15600000002</v>
      </c>
      <c r="P490" s="1">
        <v>348730.712</v>
      </c>
      <c r="Q490" s="1">
        <v>3884.3069999999998</v>
      </c>
      <c r="R490" s="1">
        <v>14</v>
      </c>
      <c r="T490">
        <f>E490/G490</f>
        <v>7.4471585072624427E-2</v>
      </c>
      <c r="U490">
        <f>D490/C490</f>
        <v>5.8205223829771453E-2</v>
      </c>
      <c r="V490">
        <f>(E490-F490)/O490</f>
        <v>9.891015599367102E-2</v>
      </c>
      <c r="W490">
        <f>H490/K490</f>
        <v>4.2642392503356135</v>
      </c>
      <c r="X490">
        <f>(H490-I490)/K490</f>
        <v>4.2620895261224296</v>
      </c>
      <c r="Y490">
        <f>(H490-K490)/G490</f>
        <v>0.74429494583270273</v>
      </c>
      <c r="Z490">
        <f>J490/N490</f>
        <v>0.32815967186966949</v>
      </c>
      <c r="AA490">
        <f>J490/G490</f>
        <v>0.24707847920703269</v>
      </c>
      <c r="AB490">
        <f>C490/G490</f>
        <v>0.46082139551826889</v>
      </c>
      <c r="AC490">
        <f>C490/(G490-K490)</f>
        <v>0.59693037022970741</v>
      </c>
      <c r="AD490">
        <f>Q490/E490</f>
        <v>8.8628961066599468E-2</v>
      </c>
      <c r="AE490">
        <f>Q490/J490</f>
        <v>2.6713533429348194E-2</v>
      </c>
      <c r="AF490">
        <f>Q490/G490</f>
        <v>6.6003392139695801E-3</v>
      </c>
      <c r="AG490">
        <f>Q490/K490</f>
        <v>2.8946973842022522E-2</v>
      </c>
      <c r="AH490" t="e">
        <f>Q490/L490</f>
        <v>#DIV/0!</v>
      </c>
      <c r="AI490" s="1">
        <f>R490</f>
        <v>14</v>
      </c>
      <c r="AJ490" s="1">
        <f>P490</f>
        <v>348730.712</v>
      </c>
    </row>
    <row r="491" spans="1:36" s="8" customFormat="1" x14ac:dyDescent="0.25">
      <c r="A491" s="8" t="s">
        <v>81</v>
      </c>
      <c r="B491" s="8">
        <v>2024</v>
      </c>
      <c r="C491" s="9">
        <v>255897.321</v>
      </c>
      <c r="D491" s="9">
        <v>16040.207</v>
      </c>
      <c r="E491" s="9">
        <v>31947.148000000001</v>
      </c>
      <c r="F491" s="9">
        <v>0</v>
      </c>
      <c r="G491" s="9">
        <v>708433.90099999995</v>
      </c>
      <c r="H491" s="9">
        <v>686048.15800000005</v>
      </c>
      <c r="I491" s="9">
        <v>288.46499999999997</v>
      </c>
      <c r="J491" s="9">
        <v>232922.723</v>
      </c>
      <c r="K491" s="9">
        <v>221195.413</v>
      </c>
      <c r="L491" s="9">
        <v>0</v>
      </c>
      <c r="M491" s="9">
        <v>0</v>
      </c>
      <c r="N491" s="9">
        <v>475511.17800000001</v>
      </c>
      <c r="O491" s="9">
        <v>475511.17800000001</v>
      </c>
      <c r="P491" s="9">
        <v>379967.42</v>
      </c>
      <c r="Q491" s="9">
        <v>-628.38800000000003</v>
      </c>
      <c r="R491" s="9">
        <v>13.8</v>
      </c>
      <c r="T491" s="8">
        <f>E491/G491</f>
        <v>4.5095453443016416E-2</v>
      </c>
      <c r="U491" s="8">
        <f>D491/C491</f>
        <v>6.2682199787468668E-2</v>
      </c>
      <c r="V491" s="8">
        <f>(E491-F491)/O491</f>
        <v>6.7184851751266303E-2</v>
      </c>
      <c r="W491" s="8">
        <f>H491/K491</f>
        <v>3.1015478517178838</v>
      </c>
      <c r="X491" s="8">
        <f>(H491-I491)/K491</f>
        <v>3.100243733354453</v>
      </c>
      <c r="Y491" s="8">
        <f>(H491-K491)/G491</f>
        <v>0.65616953726216454</v>
      </c>
      <c r="Z491" s="8">
        <f>J491/N491</f>
        <v>0.48983648287653919</v>
      </c>
      <c r="AA491" s="8">
        <f>J491/G491</f>
        <v>0.32878539927467421</v>
      </c>
      <c r="AB491" s="8">
        <f>C491/G491</f>
        <v>0.36121552150283109</v>
      </c>
      <c r="AC491" s="8">
        <f>C491/(G491-K491)</f>
        <v>0.52519931676661802</v>
      </c>
      <c r="AD491" s="8">
        <f>Q491/E491</f>
        <v>-1.9669611822626547E-2</v>
      </c>
      <c r="AE491" s="8">
        <f>Q491/J491</f>
        <v>-2.69783897382996E-3</v>
      </c>
      <c r="AF491" s="8">
        <f>Q491/G491</f>
        <v>-8.8701006418946075E-4</v>
      </c>
      <c r="AG491" s="8">
        <f>Q491/K491</f>
        <v>-2.8408726540816651E-3</v>
      </c>
      <c r="AH491" s="8" t="e">
        <f>Q491/L491</f>
        <v>#DIV/0!</v>
      </c>
      <c r="AI491" s="9">
        <f>R491</f>
        <v>13.8</v>
      </c>
      <c r="AJ491" s="9">
        <f>P491</f>
        <v>379967.42</v>
      </c>
    </row>
    <row r="492" spans="1:36" x14ac:dyDescent="0.25">
      <c r="A492" s="15" t="s">
        <v>85</v>
      </c>
      <c r="B492" s="15">
        <v>2018</v>
      </c>
      <c r="C492" s="6">
        <v>1397419</v>
      </c>
      <c r="D492" s="6">
        <v>94314</v>
      </c>
      <c r="E492" s="6">
        <v>-773952</v>
      </c>
      <c r="F492" s="6"/>
      <c r="G492" s="6">
        <v>13015371</v>
      </c>
      <c r="H492" s="6">
        <v>1606411</v>
      </c>
      <c r="I492" s="6">
        <v>36629</v>
      </c>
      <c r="J492" s="6">
        <f>1720034+K492</f>
        <v>9050156</v>
      </c>
      <c r="K492" s="6">
        <v>7330122</v>
      </c>
      <c r="L492" s="6">
        <f>550981+M492</f>
        <v>1470386</v>
      </c>
      <c r="M492" s="6">
        <v>919405</v>
      </c>
      <c r="N492" s="6">
        <v>2582176</v>
      </c>
      <c r="O492" s="6">
        <v>3965214</v>
      </c>
      <c r="P492" s="6">
        <v>-1100551</v>
      </c>
      <c r="Q492" s="6">
        <v>309531</v>
      </c>
      <c r="R492" s="6">
        <v>13.5</v>
      </c>
      <c r="S492" s="15"/>
      <c r="T492" s="15">
        <f>E492/G492</f>
        <v>-5.9464459368849337E-2</v>
      </c>
      <c r="U492" s="15">
        <f>D492/C492</f>
        <v>6.7491568384285605E-2</v>
      </c>
      <c r="V492" s="15">
        <f>(E492-F492)/O492</f>
        <v>-0.19518543009280206</v>
      </c>
      <c r="W492" s="15">
        <f>H492/K492</f>
        <v>0.21915201411381693</v>
      </c>
      <c r="X492" s="15">
        <f>(H492-I492)/K492</f>
        <v>0.21415496222300257</v>
      </c>
      <c r="Y492" s="15">
        <f>(H492-K492)/G492</f>
        <v>-0.4397654895891942</v>
      </c>
      <c r="Z492" s="15">
        <f>J492/N492</f>
        <v>3.5048563692017893</v>
      </c>
      <c r="AA492" s="15">
        <f>J492/G492</f>
        <v>0.69534368248127543</v>
      </c>
      <c r="AB492" s="15">
        <f>C492/G492</f>
        <v>0.10736682035417969</v>
      </c>
      <c r="AC492" s="15">
        <f>C492/(G492-K492)</f>
        <v>0.24579732567562124</v>
      </c>
      <c r="AD492" s="15">
        <f>Q492/E492</f>
        <v>-0.39993565492433641</v>
      </c>
      <c r="AE492" s="15">
        <f>Q492/J492</f>
        <v>3.4201730887290782E-2</v>
      </c>
      <c r="AF492" s="15">
        <f>Q492/G492</f>
        <v>2.3781957502402352E-2</v>
      </c>
      <c r="AG492" s="15">
        <f>Q492/K492</f>
        <v>4.2227264430250953E-2</v>
      </c>
      <c r="AH492" s="15">
        <f>Q492/L492</f>
        <v>0.21051002933923474</v>
      </c>
      <c r="AI492" s="6">
        <f>R492</f>
        <v>13.5</v>
      </c>
      <c r="AJ492" s="6">
        <f>P492</f>
        <v>-1100551</v>
      </c>
    </row>
    <row r="493" spans="1:36" x14ac:dyDescent="0.25">
      <c r="A493" t="s">
        <v>85</v>
      </c>
      <c r="B493">
        <v>2019</v>
      </c>
      <c r="C493" s="1">
        <v>1436557</v>
      </c>
      <c r="D493" s="1">
        <v>37906</v>
      </c>
      <c r="E493" s="1">
        <v>-1231301</v>
      </c>
      <c r="G493" s="1">
        <v>14484229</v>
      </c>
      <c r="H493" s="1">
        <v>2018019</v>
      </c>
      <c r="I493" s="1">
        <v>38309</v>
      </c>
      <c r="J493" s="1">
        <f>1901902+K493</f>
        <v>10817324</v>
      </c>
      <c r="K493" s="1">
        <v>8915422</v>
      </c>
      <c r="L493" s="1">
        <f>611421+M493</f>
        <v>1699714</v>
      </c>
      <c r="M493" s="1">
        <v>1088293</v>
      </c>
      <c r="N493" s="1">
        <v>1765186</v>
      </c>
      <c r="O493" s="1">
        <v>3666903</v>
      </c>
      <c r="P493" s="1">
        <v>-2256775</v>
      </c>
      <c r="Q493" s="1">
        <v>-42326</v>
      </c>
      <c r="R493" s="1">
        <v>13.5</v>
      </c>
      <c r="T493">
        <f>E493/G493</f>
        <v>-8.5009771662682213E-2</v>
      </c>
      <c r="U493">
        <f>D493/C493</f>
        <v>2.638670098019083E-2</v>
      </c>
      <c r="V493">
        <f>(E493-F493)/O493</f>
        <v>-0.33578772059146372</v>
      </c>
      <c r="W493">
        <f>H493/K493</f>
        <v>0.22635148397910945</v>
      </c>
      <c r="X493">
        <f>(H493-I493)/K493</f>
        <v>0.22205454772640038</v>
      </c>
      <c r="Y493">
        <f>(H493-K493)/G493</f>
        <v>-0.4762009078978246</v>
      </c>
      <c r="Z493">
        <f>J493/N493</f>
        <v>6.1281496680803045</v>
      </c>
      <c r="AA493">
        <f>J493/G493</f>
        <v>0.74683464339040762</v>
      </c>
      <c r="AB493">
        <f>C493/G493</f>
        <v>9.9180771030339274E-2</v>
      </c>
      <c r="AC493">
        <f>C493/(G493-K493)</f>
        <v>0.25796494653163593</v>
      </c>
      <c r="AD493">
        <f>Q493/E493</f>
        <v>3.4375022841693463E-2</v>
      </c>
      <c r="AE493">
        <f>Q493/J493</f>
        <v>-3.9127976567957107E-3</v>
      </c>
      <c r="AF493">
        <f>Q493/G493</f>
        <v>-2.9222128426718468E-3</v>
      </c>
      <c r="AG493">
        <f>Q493/K493</f>
        <v>-4.7475038197855356E-3</v>
      </c>
      <c r="AH493">
        <f>Q493/L493</f>
        <v>-2.4901836426598829E-2</v>
      </c>
      <c r="AI493" s="1">
        <f>R493</f>
        <v>13.5</v>
      </c>
      <c r="AJ493" s="1">
        <f>P493</f>
        <v>-2256775</v>
      </c>
    </row>
    <row r="494" spans="1:36" x14ac:dyDescent="0.25">
      <c r="A494" t="s">
        <v>85</v>
      </c>
      <c r="B494">
        <v>2020</v>
      </c>
      <c r="C494" s="1">
        <v>1108258</v>
      </c>
      <c r="D494" s="1">
        <v>-229828</v>
      </c>
      <c r="E494" s="1">
        <v>-1568938</v>
      </c>
      <c r="G494" s="1">
        <v>20380366</v>
      </c>
      <c r="H494" s="1">
        <v>2639763</v>
      </c>
      <c r="I494" s="1">
        <v>32952</v>
      </c>
      <c r="J494" s="1">
        <f>7477139+K494</f>
        <v>17568624</v>
      </c>
      <c r="K494" s="1">
        <v>10091485</v>
      </c>
      <c r="L494" s="1">
        <f>1157285+M494</f>
        <v>7792802</v>
      </c>
      <c r="M494" s="1">
        <v>6635517</v>
      </c>
      <c r="N494" s="1">
        <v>770148</v>
      </c>
      <c r="O494" s="1">
        <v>2811742</v>
      </c>
      <c r="P494" s="1">
        <v>-3716726</v>
      </c>
      <c r="Q494" s="1">
        <v>-126373</v>
      </c>
      <c r="R494" s="1">
        <v>15.4</v>
      </c>
      <c r="T494">
        <f>E494/G494</f>
        <v>-7.6982817678544146E-2</v>
      </c>
      <c r="U494">
        <f>D494/C494</f>
        <v>-0.20737770446953688</v>
      </c>
      <c r="V494">
        <f>(E494-F494)/O494</f>
        <v>-0.55799500807684344</v>
      </c>
      <c r="W494">
        <f>H494/K494</f>
        <v>0.26158320603954721</v>
      </c>
      <c r="X494">
        <f>(H494-I494)/K494</f>
        <v>0.25831787888502039</v>
      </c>
      <c r="Y494">
        <f>(H494-K494)/G494</f>
        <v>-0.36563239345161908</v>
      </c>
      <c r="Z494">
        <f>J494/N494</f>
        <v>22.812010159086306</v>
      </c>
      <c r="AA494">
        <f>J494/G494</f>
        <v>0.86203672691648425</v>
      </c>
      <c r="AB494">
        <f>C494/G494</f>
        <v>5.4378709391185616E-2</v>
      </c>
      <c r="AC494">
        <f>C494/(G494-K494)</f>
        <v>0.1077141430637598</v>
      </c>
      <c r="AD494">
        <f>Q494/E494</f>
        <v>8.0546841239105688E-2</v>
      </c>
      <c r="AE494">
        <f>Q494/J494</f>
        <v>-7.193107439717533E-3</v>
      </c>
      <c r="AF494">
        <f>Q494/G494</f>
        <v>-6.2007227936927136E-3</v>
      </c>
      <c r="AG494">
        <f>Q494/K494</f>
        <v>-1.2522735751973074E-2</v>
      </c>
      <c r="AH494">
        <f>Q494/L494</f>
        <v>-1.6216631707054792E-2</v>
      </c>
      <c r="AI494" s="1">
        <f>R494</f>
        <v>15.4</v>
      </c>
      <c r="AJ494" s="1">
        <f>P494</f>
        <v>-3716726</v>
      </c>
    </row>
    <row r="495" spans="1:36" x14ac:dyDescent="0.25">
      <c r="A495" t="s">
        <v>85</v>
      </c>
      <c r="B495">
        <v>2021</v>
      </c>
      <c r="C495" s="1">
        <v>751343</v>
      </c>
      <c r="D495" s="1">
        <v>-358717</v>
      </c>
      <c r="E495" s="1">
        <v>-1610916</v>
      </c>
      <c r="G495" s="1">
        <v>38456530</v>
      </c>
      <c r="H495" s="1">
        <v>2946737</v>
      </c>
      <c r="I495" s="1">
        <v>62335</v>
      </c>
      <c r="J495" s="1">
        <f>11858467+K495</f>
        <v>20423850</v>
      </c>
      <c r="K495" s="1">
        <v>8565383</v>
      </c>
      <c r="L495" s="1">
        <f>1308559+M495</f>
        <v>10077722</v>
      </c>
      <c r="M495" s="1">
        <v>8769163</v>
      </c>
      <c r="N495" s="1">
        <v>10226475</v>
      </c>
      <c r="O495" s="1">
        <v>18032679</v>
      </c>
      <c r="P495" s="1">
        <v>-5046639</v>
      </c>
      <c r="Q495" s="1">
        <v>-2953456</v>
      </c>
      <c r="R495" s="1">
        <v>10.4</v>
      </c>
      <c r="T495">
        <f>E495/G495</f>
        <v>-4.1889270820846293E-2</v>
      </c>
      <c r="U495">
        <f>D495/C495</f>
        <v>-0.47743440745438503</v>
      </c>
      <c r="V495">
        <f>(E495-F495)/O495</f>
        <v>-8.933314900132143E-2</v>
      </c>
      <c r="W495">
        <f>H495/K495</f>
        <v>0.34402863246161908</v>
      </c>
      <c r="X495">
        <f>(H495-I495)/K495</f>
        <v>0.33675108281789617</v>
      </c>
      <c r="Y495">
        <f>(H495-K495)/G495</f>
        <v>-0.14610382163965391</v>
      </c>
      <c r="Z495">
        <f>J495/N495</f>
        <v>1.9971544447133542</v>
      </c>
      <c r="AA495">
        <f>J495/G495</f>
        <v>0.53108925844323451</v>
      </c>
      <c r="AB495">
        <f>C495/G495</f>
        <v>1.9537462168323558E-2</v>
      </c>
      <c r="AC495">
        <f>C495/(G495-K495)</f>
        <v>2.513597086120516E-2</v>
      </c>
      <c r="AD495">
        <f>Q495/E495</f>
        <v>1.833401617464846</v>
      </c>
      <c r="AE495">
        <f>Q495/J495</f>
        <v>-0.14460819091405391</v>
      </c>
      <c r="AF495">
        <f>Q495/G495</f>
        <v>-7.6799856877362571E-2</v>
      </c>
      <c r="AG495">
        <f>Q495/K495</f>
        <v>-0.34481306907116704</v>
      </c>
      <c r="AH495">
        <f>Q495/L495</f>
        <v>-0.2930678183025886</v>
      </c>
      <c r="AI495" s="1">
        <f>R495</f>
        <v>10.4</v>
      </c>
      <c r="AJ495" s="1">
        <f>P495</f>
        <v>-5046639</v>
      </c>
    </row>
    <row r="496" spans="1:36" x14ac:dyDescent="0.25">
      <c r="A496" t="s">
        <v>85</v>
      </c>
      <c r="B496">
        <v>2022</v>
      </c>
      <c r="C496" s="1">
        <v>1091917</v>
      </c>
      <c r="D496" s="1">
        <v>-1194250</v>
      </c>
      <c r="E496" s="1">
        <v>-2990002</v>
      </c>
      <c r="G496" s="1">
        <v>57463985</v>
      </c>
      <c r="H496" s="1">
        <v>3860306</v>
      </c>
      <c r="I496" s="1">
        <v>68444</v>
      </c>
      <c r="J496" s="1">
        <f>16614195+K496</f>
        <v>30604758</v>
      </c>
      <c r="K496" s="1">
        <v>13990563</v>
      </c>
      <c r="L496" s="1">
        <f>2609750+M496</f>
        <v>14797873</v>
      </c>
      <c r="M496" s="1">
        <v>12188123</v>
      </c>
      <c r="N496" s="1">
        <v>15674182</v>
      </c>
      <c r="O496" s="1">
        <v>26859227</v>
      </c>
      <c r="P496" s="1">
        <v>-7385140</v>
      </c>
      <c r="Q496" s="1">
        <v>1054492</v>
      </c>
      <c r="R496" s="1">
        <v>13.1</v>
      </c>
      <c r="T496">
        <f>E496/G496</f>
        <v>-5.2032625304353673E-2</v>
      </c>
      <c r="U496">
        <f>D496/C496</f>
        <v>-1.0937186617664163</v>
      </c>
      <c r="V496">
        <f>(E496-F496)/O496</f>
        <v>-0.11132122305679162</v>
      </c>
      <c r="W496">
        <f>H496/K496</f>
        <v>0.27592213408423949</v>
      </c>
      <c r="X496">
        <f>(H496-I496)/K496</f>
        <v>0.27102997927960443</v>
      </c>
      <c r="Y496">
        <f>(H496-K496)/G496</f>
        <v>-0.17628880071578745</v>
      </c>
      <c r="Z496">
        <f>J496/N496</f>
        <v>1.9525585450009448</v>
      </c>
      <c r="AA496">
        <f>J496/G496</f>
        <v>0.53259024761335294</v>
      </c>
      <c r="AB496">
        <f>C496/G496</f>
        <v>1.900176258225043E-2</v>
      </c>
      <c r="AC496">
        <f>C496/(G496-K496)</f>
        <v>2.5116886358750409E-2</v>
      </c>
      <c r="AD496">
        <f>Q496/E496</f>
        <v>-0.35267267379754264</v>
      </c>
      <c r="AE496">
        <f>Q496/J496</f>
        <v>3.4455165435387528E-2</v>
      </c>
      <c r="AF496">
        <f>Q496/G496</f>
        <v>1.8350485090792085E-2</v>
      </c>
      <c r="AG496">
        <f>Q496/K496</f>
        <v>7.5371663027427843E-2</v>
      </c>
      <c r="AH496">
        <f>Q496/L496</f>
        <v>7.1259700634003276E-2</v>
      </c>
      <c r="AI496" s="1">
        <f>R496</f>
        <v>13.1</v>
      </c>
      <c r="AJ496" s="1">
        <f>P496</f>
        <v>-7385140</v>
      </c>
    </row>
    <row r="497" spans="1:36" x14ac:dyDescent="0.25">
      <c r="A497" t="s">
        <v>85</v>
      </c>
      <c r="B497">
        <v>2023</v>
      </c>
      <c r="C497" s="1">
        <v>2258609</v>
      </c>
      <c r="D497" s="1">
        <v>-1339346</v>
      </c>
      <c r="E497" s="1">
        <v>-5343634</v>
      </c>
      <c r="G497" s="1">
        <v>66668731</v>
      </c>
      <c r="H497" s="1">
        <v>6120789</v>
      </c>
      <c r="I497" s="1">
        <v>128172</v>
      </c>
      <c r="J497" s="1">
        <f>21658649+K497</f>
        <v>43665021</v>
      </c>
      <c r="K497" s="1">
        <v>22006372</v>
      </c>
      <c r="L497" s="1">
        <f>3935249+M497</f>
        <v>20105646</v>
      </c>
      <c r="M497" s="1">
        <v>16170397</v>
      </c>
      <c r="N497" s="1">
        <v>11497634</v>
      </c>
      <c r="O497" s="1">
        <v>23003709</v>
      </c>
      <c r="P497" s="1">
        <v>-11420386</v>
      </c>
      <c r="Q497" s="1">
        <v>1090056</v>
      </c>
      <c r="R497" s="1">
        <v>17.600000000000001</v>
      </c>
      <c r="T497">
        <f>E497/G497</f>
        <v>-8.0152028092450117E-2</v>
      </c>
      <c r="U497">
        <f>D497/C497</f>
        <v>-0.59299595458974974</v>
      </c>
      <c r="V497">
        <f>(E497-F497)/O497</f>
        <v>-0.23229445303798618</v>
      </c>
      <c r="W497">
        <f>H497/K497</f>
        <v>0.27813712319322786</v>
      </c>
      <c r="X497">
        <f>(H497-I497)/K497</f>
        <v>0.27231281012608533</v>
      </c>
      <c r="Y497">
        <f>(H497-K497)/G497</f>
        <v>-0.23827636677230291</v>
      </c>
      <c r="Z497">
        <f>J497/N497</f>
        <v>3.7977396914878314</v>
      </c>
      <c r="AA497">
        <f>J497/G497</f>
        <v>0.65495503431736235</v>
      </c>
      <c r="AB497">
        <f>C497/G497</f>
        <v>3.387808596506809E-2</v>
      </c>
      <c r="AC497">
        <f>C497/(G497-K497)</f>
        <v>5.0570750192572678E-2</v>
      </c>
      <c r="AD497">
        <f>Q497/E497</f>
        <v>-0.20399151588600567</v>
      </c>
      <c r="AE497">
        <f>Q497/J497</f>
        <v>2.4964055324741514E-2</v>
      </c>
      <c r="AF497">
        <f>Q497/G497</f>
        <v>1.6350333711916611E-2</v>
      </c>
      <c r="AG497">
        <f>Q497/K497</f>
        <v>4.9533653252794234E-2</v>
      </c>
      <c r="AH497">
        <f>Q497/L497</f>
        <v>5.4216412643493278E-2</v>
      </c>
      <c r="AI497" s="1">
        <f>R497</f>
        <v>17.600000000000001</v>
      </c>
      <c r="AJ497" s="1">
        <f>P497</f>
        <v>-11420386</v>
      </c>
    </row>
    <row r="498" spans="1:36" s="8" customFormat="1" x14ac:dyDescent="0.25">
      <c r="A498" s="8" t="s">
        <v>85</v>
      </c>
      <c r="B498" s="8">
        <v>2024</v>
      </c>
      <c r="C498" s="9">
        <v>6965417</v>
      </c>
      <c r="D498" s="9">
        <v>-165035</v>
      </c>
      <c r="E498" s="9">
        <v>-5481526</v>
      </c>
      <c r="F498" s="9"/>
      <c r="G498" s="9">
        <v>67960093</v>
      </c>
      <c r="H498" s="9">
        <v>7865896</v>
      </c>
      <c r="I498" s="9">
        <v>269143</v>
      </c>
      <c r="J498" s="9">
        <f>19604871+K498</f>
        <v>41495595</v>
      </c>
      <c r="K498" s="9">
        <v>21890724</v>
      </c>
      <c r="L498" s="9">
        <f>5967148+M498</f>
        <v>20178730</v>
      </c>
      <c r="M498" s="9">
        <v>14211582</v>
      </c>
      <c r="N498" s="9">
        <v>16788772</v>
      </c>
      <c r="O498" s="9">
        <v>26464497</v>
      </c>
      <c r="P498" s="9">
        <v>-15721508</v>
      </c>
      <c r="Q498" s="9">
        <v>-2744599</v>
      </c>
      <c r="R498" s="9">
        <v>12.9</v>
      </c>
      <c r="T498" s="8">
        <f>E498/G498</f>
        <v>-8.065801204833549E-2</v>
      </c>
      <c r="U498" s="8">
        <f>D498/C498</f>
        <v>-2.3693484539403741E-2</v>
      </c>
      <c r="V498" s="8">
        <f>(E498-F498)/O498</f>
        <v>-0.20712753391836619</v>
      </c>
      <c r="W498" s="8">
        <f>H498/K498</f>
        <v>0.35932552984542676</v>
      </c>
      <c r="X498" s="8">
        <f>(H498-I498)/K498</f>
        <v>0.34703068751860378</v>
      </c>
      <c r="Y498" s="8">
        <f>(H498-K498)/G498</f>
        <v>-0.20636858163216462</v>
      </c>
      <c r="Z498" s="8">
        <f>J498/N498</f>
        <v>2.4716277640794693</v>
      </c>
      <c r="AA498" s="8">
        <f>J498/G498</f>
        <v>0.61058767238591038</v>
      </c>
      <c r="AB498" s="8">
        <f>C498/G498</f>
        <v>0.10249275262174817</v>
      </c>
      <c r="AC498" s="8">
        <f>C498/(G498-K498)</f>
        <v>0.15119410469893782</v>
      </c>
      <c r="AD498" s="8">
        <f>Q498/E498</f>
        <v>0.50069980512725831</v>
      </c>
      <c r="AE498" s="8">
        <f>Q498/J498</f>
        <v>-6.6141936270584872E-2</v>
      </c>
      <c r="AF498" s="8">
        <f>Q498/G498</f>
        <v>-4.0385450914553631E-2</v>
      </c>
      <c r="AG498" s="8">
        <f>Q498/K498</f>
        <v>-0.12537726024959248</v>
      </c>
      <c r="AH498" s="8">
        <f>Q498/L498</f>
        <v>-0.13601445680674651</v>
      </c>
      <c r="AI498" s="9">
        <f>R498</f>
        <v>12.9</v>
      </c>
      <c r="AJ498" s="9">
        <f>P498</f>
        <v>-15721508</v>
      </c>
    </row>
    <row r="499" spans="1:36" x14ac:dyDescent="0.25">
      <c r="A499" s="15" t="s">
        <v>86</v>
      </c>
      <c r="B499" s="15">
        <v>2018</v>
      </c>
      <c r="C499" s="6">
        <v>3700200</v>
      </c>
      <c r="D499" s="6">
        <f>598481-2996+61958</f>
        <v>657443</v>
      </c>
      <c r="E499" s="6">
        <v>335426</v>
      </c>
      <c r="F499" s="6"/>
      <c r="G499" s="6">
        <v>6108052</v>
      </c>
      <c r="H499" s="6">
        <v>709807</v>
      </c>
      <c r="I499" s="6">
        <v>342803</v>
      </c>
      <c r="J499" s="6">
        <v>2087808</v>
      </c>
      <c r="K499" s="6">
        <v>565651</v>
      </c>
      <c r="L499" s="6">
        <f>113337+M499</f>
        <v>297529</v>
      </c>
      <c r="M499" s="6">
        <v>184192</v>
      </c>
      <c r="N499" s="6">
        <v>4024522</v>
      </c>
      <c r="O499" s="6">
        <v>4401327</v>
      </c>
      <c r="P499" s="6">
        <v>2549910</v>
      </c>
      <c r="Q499" s="6">
        <v>749542</v>
      </c>
      <c r="R499" s="6">
        <v>27.4</v>
      </c>
      <c r="S499" s="15"/>
      <c r="T499" s="15">
        <f>E499/G499</f>
        <v>5.4915380550132842E-2</v>
      </c>
      <c r="U499" s="15">
        <f>D499/C499</f>
        <v>0.1776776930976704</v>
      </c>
      <c r="V499" s="15">
        <f>(E499-F499)/O499</f>
        <v>7.6210197515431136E-2</v>
      </c>
      <c r="W499" s="15">
        <f>H499/K499</f>
        <v>1.2548497218249415</v>
      </c>
      <c r="X499" s="15">
        <f>(H499-I499)/K499</f>
        <v>0.64881702675324537</v>
      </c>
      <c r="Y499" s="15">
        <f>(H499-K499)/G499</f>
        <v>2.3600977856770046E-2</v>
      </c>
      <c r="Z499" s="15">
        <f>J499/N499</f>
        <v>0.51877167027537685</v>
      </c>
      <c r="AA499" s="15">
        <f>J499/G499</f>
        <v>0.34181241417067176</v>
      </c>
      <c r="AB499" s="15">
        <f>C499/G499</f>
        <v>0.60579052044743564</v>
      </c>
      <c r="AC499" s="15">
        <f>C499/(G499-K499)</f>
        <v>0.66761679640285865</v>
      </c>
      <c r="AD499" s="15">
        <f>Q499/E499</f>
        <v>2.2345971987860214</v>
      </c>
      <c r="AE499" s="15">
        <f>Q499/J499</f>
        <v>0.35900906596775184</v>
      </c>
      <c r="AF499" s="15">
        <f>Q499/G499</f>
        <v>0.12271375554759521</v>
      </c>
      <c r="AG499" s="15">
        <f>Q499/K499</f>
        <v>1.3250962165717024</v>
      </c>
      <c r="AH499" s="15">
        <f>Q499/L499</f>
        <v>2.5192233362126046</v>
      </c>
      <c r="AI499" s="6">
        <f>R499</f>
        <v>27.4</v>
      </c>
      <c r="AJ499" s="6">
        <f>P499</f>
        <v>2549910</v>
      </c>
    </row>
    <row r="500" spans="1:36" x14ac:dyDescent="0.25">
      <c r="A500" t="s">
        <v>86</v>
      </c>
      <c r="B500">
        <v>2019</v>
      </c>
      <c r="C500" s="1">
        <v>3547947</v>
      </c>
      <c r="D500" s="1">
        <f>512405-3828+45729</f>
        <v>554306</v>
      </c>
      <c r="E500" s="1">
        <v>438681</v>
      </c>
      <c r="G500" s="1">
        <v>6567481</v>
      </c>
      <c r="H500" s="1">
        <v>805184</v>
      </c>
      <c r="I500" s="1">
        <v>381276</v>
      </c>
      <c r="J500" s="1">
        <v>2166153</v>
      </c>
      <c r="K500" s="1">
        <v>631460</v>
      </c>
      <c r="L500" s="1">
        <v>185427</v>
      </c>
      <c r="M500" s="1">
        <v>76328</v>
      </c>
      <c r="N500" s="1">
        <v>4405730</v>
      </c>
      <c r="O500" s="1">
        <v>4401327</v>
      </c>
      <c r="P500" s="1">
        <v>2945536</v>
      </c>
      <c r="Q500" s="1">
        <v>701429</v>
      </c>
      <c r="R500" s="1">
        <v>18.100000000000001</v>
      </c>
      <c r="T500">
        <f>E500/G500</f>
        <v>6.6795929824540037E-2</v>
      </c>
      <c r="U500">
        <f>D500/C500</f>
        <v>0.15623288622969847</v>
      </c>
      <c r="V500">
        <f>(E500-F500)/O500</f>
        <v>9.9670167656254582E-2</v>
      </c>
      <c r="W500">
        <f>H500/K500</f>
        <v>1.2751148132898362</v>
      </c>
      <c r="X500">
        <f>(H500-I500)/K500</f>
        <v>0.67131409748836035</v>
      </c>
      <c r="Y500">
        <f>(H500-K500)/G500</f>
        <v>2.6452151136790499E-2</v>
      </c>
      <c r="Z500">
        <f>J500/N500</f>
        <v>0.49166721519475776</v>
      </c>
      <c r="AA500">
        <f>J500/G500</f>
        <v>0.32983011294589204</v>
      </c>
      <c r="AB500">
        <f>C500/G500</f>
        <v>0.54022950351892907</v>
      </c>
      <c r="AC500">
        <f>C500/(G500-K500)</f>
        <v>0.59769785181016033</v>
      </c>
      <c r="AD500">
        <f>Q500/E500</f>
        <v>1.5989500343073897</v>
      </c>
      <c r="AE500">
        <f>Q500/J500</f>
        <v>0.32381323018272484</v>
      </c>
      <c r="AF500">
        <f>Q500/G500</f>
        <v>0.10680335428454228</v>
      </c>
      <c r="AG500">
        <f>Q500/K500</f>
        <v>1.1108051182972793</v>
      </c>
      <c r="AH500">
        <f>Q500/L500</f>
        <v>3.7827770497284647</v>
      </c>
      <c r="AI500" s="1">
        <f>R500</f>
        <v>18.100000000000001</v>
      </c>
      <c r="AJ500" s="1">
        <f>P500</f>
        <v>2945536</v>
      </c>
    </row>
    <row r="501" spans="1:36" x14ac:dyDescent="0.25">
      <c r="A501" t="s">
        <v>86</v>
      </c>
      <c r="B501">
        <v>2020</v>
      </c>
      <c r="C501" s="1">
        <v>3307620</v>
      </c>
      <c r="D501" s="1">
        <f>335389-2470+49258</f>
        <v>382177</v>
      </c>
      <c r="E501" s="1">
        <v>307726</v>
      </c>
      <c r="G501" s="1">
        <v>7089878</v>
      </c>
      <c r="H501" s="1">
        <v>780405</v>
      </c>
      <c r="I501" s="1">
        <v>338311</v>
      </c>
      <c r="J501" s="1">
        <v>2463658</v>
      </c>
      <c r="K501" s="1">
        <v>788400</v>
      </c>
      <c r="L501" s="1">
        <f>70419+M501</f>
        <v>87669</v>
      </c>
      <c r="M501" s="1">
        <v>17250</v>
      </c>
      <c r="N501" s="1">
        <v>4630749</v>
      </c>
      <c r="O501" s="1">
        <v>4626218</v>
      </c>
      <c r="P501" s="1">
        <v>3145643</v>
      </c>
      <c r="Q501" s="1">
        <v>503095</v>
      </c>
      <c r="R501" s="1">
        <v>13</v>
      </c>
      <c r="T501">
        <f>E501/G501</f>
        <v>4.3403567734169757E-2</v>
      </c>
      <c r="U501">
        <f>D501/C501</f>
        <v>0.11554440957546513</v>
      </c>
      <c r="V501">
        <f>(E501-F501)/O501</f>
        <v>6.6517833789933811E-2</v>
      </c>
      <c r="W501">
        <f>H501/K501</f>
        <v>0.9898592085235921</v>
      </c>
      <c r="X501">
        <f>(H501-I501)/K501</f>
        <v>0.56074835109081689</v>
      </c>
      <c r="Y501">
        <f>(H501-K501)/G501</f>
        <v>-1.1276639739075905E-3</v>
      </c>
      <c r="Z501">
        <f>J501/N501</f>
        <v>0.53202149371516361</v>
      </c>
      <c r="AA501">
        <f>J501/G501</f>
        <v>0.3474894772519358</v>
      </c>
      <c r="AB501">
        <f>C501/G501</f>
        <v>0.46652706858989673</v>
      </c>
      <c r="AC501">
        <f>C501/(G501-K501)</f>
        <v>0.52489590537331088</v>
      </c>
      <c r="AD501">
        <f>Q501/E501</f>
        <v>1.6348797306694918</v>
      </c>
      <c r="AE501">
        <f>Q501/J501</f>
        <v>0.20420650918268687</v>
      </c>
      <c r="AF501">
        <f>Q501/G501</f>
        <v>7.0959613127334495E-2</v>
      </c>
      <c r="AG501">
        <f>Q501/K501</f>
        <v>0.6381215119228818</v>
      </c>
      <c r="AH501">
        <f>Q501/L501</f>
        <v>5.7385734980437784</v>
      </c>
      <c r="AI501" s="1">
        <f>R501</f>
        <v>13</v>
      </c>
      <c r="AJ501" s="1">
        <f>P501</f>
        <v>3145643</v>
      </c>
    </row>
    <row r="502" spans="1:36" x14ac:dyDescent="0.25">
      <c r="A502" t="s">
        <v>86</v>
      </c>
      <c r="B502">
        <v>2021</v>
      </c>
      <c r="C502" s="1">
        <v>4062191</v>
      </c>
      <c r="D502" s="1">
        <f>725515-2102+48315</f>
        <v>771728</v>
      </c>
      <c r="E502" s="1">
        <v>874992</v>
      </c>
      <c r="G502" s="1">
        <v>7602644</v>
      </c>
      <c r="H502" s="1">
        <v>884938</v>
      </c>
      <c r="I502" s="1">
        <v>323530</v>
      </c>
      <c r="J502" s="1">
        <v>2139077</v>
      </c>
      <c r="K502" s="1">
        <v>553676</v>
      </c>
      <c r="L502" s="1">
        <v>133082</v>
      </c>
      <c r="M502" s="1">
        <v>103574</v>
      </c>
      <c r="N502" s="1">
        <v>5468372</v>
      </c>
      <c r="O502" s="1">
        <v>5463566</v>
      </c>
      <c r="P502" s="1">
        <v>3976496</v>
      </c>
      <c r="Q502" s="1">
        <v>1031081</v>
      </c>
      <c r="R502" s="1">
        <v>43.08</v>
      </c>
      <c r="T502">
        <f>E502/G502</f>
        <v>0.11509048694112206</v>
      </c>
      <c r="U502">
        <f>D502/C502</f>
        <v>0.18997826542375776</v>
      </c>
      <c r="V502">
        <f>(E502-F502)/O502</f>
        <v>0.16015034869167866</v>
      </c>
      <c r="W502">
        <f>H502/K502</f>
        <v>1.5982957541955944</v>
      </c>
      <c r="X502">
        <f>(H502-I502)/K502</f>
        <v>1.0139648458665356</v>
      </c>
      <c r="Y502">
        <f>(H502-K502)/G502</f>
        <v>4.357194681218797E-2</v>
      </c>
      <c r="Z502">
        <f>J502/N502</f>
        <v>0.391172546417837</v>
      </c>
      <c r="AA502">
        <f>J502/G502</f>
        <v>0.28135961647027008</v>
      </c>
      <c r="AB502">
        <f>C502/G502</f>
        <v>0.5343129311329059</v>
      </c>
      <c r="AC502">
        <f>C502/(G502-K502)</f>
        <v>0.57628166279092197</v>
      </c>
      <c r="AD502">
        <f>Q502/E502</f>
        <v>1.178389059557116</v>
      </c>
      <c r="AE502">
        <f>Q502/J502</f>
        <v>0.48202145130820445</v>
      </c>
      <c r="AF502">
        <f>Q502/G502</f>
        <v>0.13562137067051935</v>
      </c>
      <c r="AG502">
        <f>Q502/K502</f>
        <v>1.8622461511786677</v>
      </c>
      <c r="AH502">
        <f>Q502/L502</f>
        <v>7.7477119370012471</v>
      </c>
      <c r="AI502" s="1">
        <f>R502</f>
        <v>43.08</v>
      </c>
      <c r="AJ502" s="1">
        <f>P502</f>
        <v>3976496</v>
      </c>
    </row>
    <row r="503" spans="1:36" x14ac:dyDescent="0.25">
      <c r="A503" t="s">
        <v>86</v>
      </c>
      <c r="B503">
        <v>2022</v>
      </c>
      <c r="C503" s="1">
        <v>5095987</v>
      </c>
      <c r="D503" s="1">
        <f>1633750-45134+49921</f>
        <v>1638537</v>
      </c>
      <c r="E503" s="1">
        <v>1532625</v>
      </c>
      <c r="G503" s="1">
        <v>9304956</v>
      </c>
      <c r="H503" s="1">
        <v>2139859</v>
      </c>
      <c r="I503" s="1">
        <v>440942</v>
      </c>
      <c r="J503" s="1">
        <v>2405710</v>
      </c>
      <c r="K503" s="1">
        <v>666761</v>
      </c>
      <c r="L503" s="1">
        <v>318852</v>
      </c>
      <c r="M503" s="1">
        <v>210194</v>
      </c>
      <c r="N503" s="1">
        <v>6904169</v>
      </c>
      <c r="O503" s="1">
        <v>6899245</v>
      </c>
      <c r="P503" s="1">
        <v>5391329</v>
      </c>
      <c r="Q503" s="1">
        <v>1522248</v>
      </c>
      <c r="R503" s="1">
        <v>75.5</v>
      </c>
      <c r="T503">
        <f>E503/G503</f>
        <v>0.16471061228016554</v>
      </c>
      <c r="U503">
        <f>D503/C503</f>
        <v>0.32153476843641871</v>
      </c>
      <c r="V503">
        <f>(E503-F503)/O503</f>
        <v>0.222143872264284</v>
      </c>
      <c r="W503">
        <f>H503/K503</f>
        <v>3.2093343791853455</v>
      </c>
      <c r="X503">
        <f>(H503-I503)/K503</f>
        <v>2.5480149558837426</v>
      </c>
      <c r="Y503">
        <f>(H503-K503)/G503</f>
        <v>0.15831326875699359</v>
      </c>
      <c r="Z503">
        <f>J503/N503</f>
        <v>0.34844309286171876</v>
      </c>
      <c r="AA503">
        <f>J503/G503</f>
        <v>0.25854071744132912</v>
      </c>
      <c r="AB503">
        <f>C503/G503</f>
        <v>0.54766373962434645</v>
      </c>
      <c r="AC503">
        <f>C503/(G503-K503)</f>
        <v>0.58993655503261966</v>
      </c>
      <c r="AD503">
        <f>Q503/E503</f>
        <v>0.99322926351847318</v>
      </c>
      <c r="AE503">
        <f>Q503/J503</f>
        <v>0.63276454768031054</v>
      </c>
      <c r="AF503">
        <f>Q503/G503</f>
        <v>0.1635954001287056</v>
      </c>
      <c r="AG503">
        <f>Q503/K503</f>
        <v>2.2830489485737768</v>
      </c>
      <c r="AH503">
        <f>Q503/L503</f>
        <v>4.7741522712731923</v>
      </c>
      <c r="AI503" s="1">
        <f>R503</f>
        <v>75.5</v>
      </c>
      <c r="AJ503" s="1">
        <f>P503</f>
        <v>5391329</v>
      </c>
    </row>
    <row r="504" spans="1:36" x14ac:dyDescent="0.25">
      <c r="A504" t="s">
        <v>86</v>
      </c>
      <c r="B504">
        <v>2023</v>
      </c>
      <c r="C504" s="1">
        <v>8348372</v>
      </c>
      <c r="D504" s="1">
        <f>3005828-357856+69826</f>
        <v>2717798</v>
      </c>
      <c r="E504" s="1">
        <v>1830726</v>
      </c>
      <c r="G504" s="1">
        <v>12017441</v>
      </c>
      <c r="H504" s="1">
        <v>4240727</v>
      </c>
      <c r="I504" s="1">
        <v>751103</v>
      </c>
      <c r="J504" s="1">
        <v>3505412</v>
      </c>
      <c r="K504" s="1">
        <v>861833</v>
      </c>
      <c r="L504" s="1">
        <v>185624</v>
      </c>
      <c r="M504" s="1">
        <v>72216</v>
      </c>
      <c r="N504" s="1">
        <v>8517080</v>
      </c>
      <c r="O504" s="1">
        <v>8512029</v>
      </c>
      <c r="P504" s="1">
        <v>7017246</v>
      </c>
      <c r="Q504" s="1">
        <v>2830231</v>
      </c>
      <c r="R504" s="1">
        <v>76.5</v>
      </c>
      <c r="T504">
        <f>E504/G504</f>
        <v>0.15233908783076197</v>
      </c>
      <c r="U504">
        <f>D504/C504</f>
        <v>0.32554826258341146</v>
      </c>
      <c r="V504">
        <f>(E504-F504)/O504</f>
        <v>0.21507516010577502</v>
      </c>
      <c r="W504">
        <f>H504/K504</f>
        <v>4.9205901839451496</v>
      </c>
      <c r="X504">
        <f>(H504-I504)/K504</f>
        <v>4.0490721520294537</v>
      </c>
      <c r="Y504">
        <f>(H504-K504)/G504</f>
        <v>0.28116584886915608</v>
      </c>
      <c r="Z504">
        <f>J504/N504</f>
        <v>0.41157438934470497</v>
      </c>
      <c r="AA504">
        <f>J504/G504</f>
        <v>0.29169371416094325</v>
      </c>
      <c r="AB504">
        <f>C504/G504</f>
        <v>0.69468799555579264</v>
      </c>
      <c r="AC504">
        <f>C504/(G504-K504)</f>
        <v>0.74835652167053557</v>
      </c>
      <c r="AD504">
        <f>Q504/E504</f>
        <v>1.5459610012639795</v>
      </c>
      <c r="AE504">
        <f>Q504/J504</f>
        <v>0.80738897453423453</v>
      </c>
      <c r="AF504">
        <f>Q504/G504</f>
        <v>0.2355102887544861</v>
      </c>
      <c r="AG504">
        <f>Q504/K504</f>
        <v>3.283966847405472</v>
      </c>
      <c r="AH504">
        <f>Q504/L504</f>
        <v>15.247117829591001</v>
      </c>
      <c r="AI504" s="1">
        <f>R504</f>
        <v>76.5</v>
      </c>
      <c r="AJ504" s="1">
        <f>P504</f>
        <v>7017246</v>
      </c>
    </row>
    <row r="505" spans="1:36" s="8" customFormat="1" x14ac:dyDescent="0.25">
      <c r="A505" s="8" t="s">
        <v>86</v>
      </c>
      <c r="B505" s="8">
        <v>2024</v>
      </c>
      <c r="C505" s="9">
        <v>7204027</v>
      </c>
      <c r="D505" s="9">
        <f>1987754-380707+82485</f>
        <v>1689532</v>
      </c>
      <c r="E505" s="9">
        <v>1565961</v>
      </c>
      <c r="F505" s="9"/>
      <c r="G505" s="9">
        <v>12446387</v>
      </c>
      <c r="H505" s="9">
        <v>3872339</v>
      </c>
      <c r="I505" s="9">
        <v>583486</v>
      </c>
      <c r="J505" s="9">
        <v>3912893</v>
      </c>
      <c r="K505" s="9">
        <v>799417</v>
      </c>
      <c r="L505" s="9">
        <v>72216</v>
      </c>
      <c r="M505" s="9">
        <v>0</v>
      </c>
      <c r="N505" s="9">
        <v>8538691</v>
      </c>
      <c r="O505" s="9">
        <v>8533495</v>
      </c>
      <c r="P505" s="9">
        <v>6790173</v>
      </c>
      <c r="Q505" s="9">
        <v>1928398</v>
      </c>
      <c r="R505" s="9">
        <v>104.5</v>
      </c>
      <c r="T505" s="8">
        <f>E505/G505</f>
        <v>0.12581651205285518</v>
      </c>
      <c r="U505" s="8">
        <f>D505/C505</f>
        <v>0.23452605049925548</v>
      </c>
      <c r="V505" s="8">
        <f>(E505-F505)/O505</f>
        <v>0.18350757807908719</v>
      </c>
      <c r="W505" s="8">
        <f>H505/K505</f>
        <v>4.8439537813181355</v>
      </c>
      <c r="X505" s="8">
        <f>(H505-I505)/K505</f>
        <v>4.1140643744128536</v>
      </c>
      <c r="Y505" s="8">
        <f>(H505-K505)/G505</f>
        <v>0.24689269263441671</v>
      </c>
      <c r="Z505" s="8">
        <f>J505/N505</f>
        <v>0.45825443267592186</v>
      </c>
      <c r="AA505" s="8">
        <f>J505/G505</f>
        <v>0.31437982765600975</v>
      </c>
      <c r="AB505" s="8">
        <f>C505/G505</f>
        <v>0.57880467640930655</v>
      </c>
      <c r="AC505" s="8">
        <f>C505/(G505-K505)</f>
        <v>0.6185322877967403</v>
      </c>
      <c r="AD505" s="8">
        <f>Q505/E505</f>
        <v>1.2314470156025596</v>
      </c>
      <c r="AE505" s="8">
        <f>Q505/J505</f>
        <v>0.49283177434189995</v>
      </c>
      <c r="AF505" s="8">
        <f>Q505/G505</f>
        <v>0.15493636828101198</v>
      </c>
      <c r="AG505" s="8">
        <f>Q505/K505</f>
        <v>2.4122554311454474</v>
      </c>
      <c r="AH505" s="8">
        <f>Q505/L505</f>
        <v>26.703195967652597</v>
      </c>
      <c r="AI505" s="9">
        <f>R505</f>
        <v>104.5</v>
      </c>
      <c r="AJ505" s="9">
        <f>P505</f>
        <v>6790173</v>
      </c>
    </row>
    <row r="506" spans="1:36" x14ac:dyDescent="0.25">
      <c r="A506" s="15" t="s">
        <v>84</v>
      </c>
      <c r="B506" s="15">
        <v>2018</v>
      </c>
      <c r="C506" s="6">
        <v>1378896</v>
      </c>
      <c r="D506" s="6">
        <v>-34288</v>
      </c>
      <c r="E506" s="6">
        <v>-20579</v>
      </c>
      <c r="F506" s="6"/>
      <c r="G506" s="6">
        <v>1742179</v>
      </c>
      <c r="H506" s="6">
        <v>510244</v>
      </c>
      <c r="I506" s="6">
        <v>68460</v>
      </c>
      <c r="J506" s="6">
        <f>20500+K506</f>
        <v>113493</v>
      </c>
      <c r="K506" s="6">
        <v>92993</v>
      </c>
      <c r="L506" s="6">
        <f>7948+M506</f>
        <v>16945</v>
      </c>
      <c r="M506" s="6">
        <v>8997</v>
      </c>
      <c r="N506" s="6">
        <v>1634197</v>
      </c>
      <c r="O506" s="6">
        <v>1628686</v>
      </c>
      <c r="P506" s="6">
        <v>1078770</v>
      </c>
      <c r="Q506" s="6">
        <v>20563</v>
      </c>
      <c r="R506" s="6">
        <v>5.6</v>
      </c>
      <c r="S506" s="15"/>
      <c r="T506" s="15">
        <f>E506/G506</f>
        <v>-1.1812219065893918E-2</v>
      </c>
      <c r="U506" s="15">
        <f>D506/C506</f>
        <v>-2.4866269827456169E-2</v>
      </c>
      <c r="V506" s="15">
        <f>(E506-F506)/O506</f>
        <v>-1.2635339162981691E-2</v>
      </c>
      <c r="W506" s="15">
        <f>H506/K506</f>
        <v>5.4869076167023323</v>
      </c>
      <c r="X506" s="15">
        <f>(H506-I506)/K506</f>
        <v>4.7507231727119246</v>
      </c>
      <c r="Y506" s="15">
        <f>(H506-K506)/G506</f>
        <v>0.23949950033836936</v>
      </c>
      <c r="Z506" s="15">
        <f>J506/N506</f>
        <v>6.9448787386098498E-2</v>
      </c>
      <c r="AA506" s="15">
        <f>J506/G506</f>
        <v>6.5144281959546066E-2</v>
      </c>
      <c r="AB506" s="15">
        <f>C506/G506</f>
        <v>0.79147779877957436</v>
      </c>
      <c r="AC506" s="15">
        <f>C506/(G506-K506)</f>
        <v>0.83610702492017275</v>
      </c>
      <c r="AD506" s="15">
        <f>Q506/E506</f>
        <v>-0.99922250838233151</v>
      </c>
      <c r="AE506" s="15">
        <f>Q506/J506</f>
        <v>0.18118298044813336</v>
      </c>
      <c r="AF506" s="15">
        <f>Q506/G506</f>
        <v>1.1803035164584121E-2</v>
      </c>
      <c r="AG506" s="15">
        <f>Q506/K506</f>
        <v>0.22112417063649953</v>
      </c>
      <c r="AH506" s="15">
        <f>Q506/L506</f>
        <v>1.2135143110061966</v>
      </c>
      <c r="AI506" s="6">
        <f>R506</f>
        <v>5.6</v>
      </c>
      <c r="AJ506" s="6">
        <f>P506</f>
        <v>1078770</v>
      </c>
    </row>
    <row r="507" spans="1:36" x14ac:dyDescent="0.25">
      <c r="A507" t="s">
        <v>84</v>
      </c>
      <c r="B507">
        <v>2019</v>
      </c>
      <c r="C507" s="1">
        <v>1560499</v>
      </c>
      <c r="D507" s="1">
        <v>-88925</v>
      </c>
      <c r="E507" s="1">
        <v>61027</v>
      </c>
      <c r="G507" s="1">
        <v>2501871</v>
      </c>
      <c r="H507" s="1">
        <v>618488</v>
      </c>
      <c r="I507" s="1">
        <v>165161</v>
      </c>
      <c r="J507" s="1">
        <f>77008+K507</f>
        <v>653133</v>
      </c>
      <c r="K507" s="1">
        <v>576125</v>
      </c>
      <c r="L507" s="1">
        <f>415915+M507</f>
        <v>423347</v>
      </c>
      <c r="M507" s="1">
        <v>7432</v>
      </c>
      <c r="N507" s="1">
        <v>1873431</v>
      </c>
      <c r="O507" s="1">
        <v>1848738</v>
      </c>
      <c r="P507" s="1">
        <v>1144899</v>
      </c>
      <c r="Q507" s="1">
        <v>55710</v>
      </c>
      <c r="R507" s="1">
        <v>3.9</v>
      </c>
      <c r="T507">
        <f>E507/G507</f>
        <v>2.4392544619606688E-2</v>
      </c>
      <c r="U507">
        <f>D507/C507</f>
        <v>-5.6984977241254238E-2</v>
      </c>
      <c r="V507">
        <f>(E507-F507)/O507</f>
        <v>3.3010085799069416E-2</v>
      </c>
      <c r="W507">
        <f>H507/K507</f>
        <v>1.0735309177695813</v>
      </c>
      <c r="X507">
        <f>(H507-I507)/K507</f>
        <v>0.7868552831416793</v>
      </c>
      <c r="Y507">
        <f>(H507-K507)/G507</f>
        <v>1.6932527696272109E-2</v>
      </c>
      <c r="Z507">
        <f>J507/N507</f>
        <v>0.34862933302587606</v>
      </c>
      <c r="AA507">
        <f>J507/G507</f>
        <v>0.26105782432427571</v>
      </c>
      <c r="AB507">
        <f>C507/G507</f>
        <v>0.62373279837369711</v>
      </c>
      <c r="AC507">
        <f>C507/(G507-K507)</f>
        <v>0.81033480012421155</v>
      </c>
      <c r="AD507">
        <f>Q507/E507</f>
        <v>0.91287462926245755</v>
      </c>
      <c r="AE507">
        <f>Q507/J507</f>
        <v>8.5296562874636564E-2</v>
      </c>
      <c r="AF507">
        <f>Q507/G507</f>
        <v>2.2267335126391407E-2</v>
      </c>
      <c r="AG507">
        <f>Q507/K507</f>
        <v>9.6697765241917991E-2</v>
      </c>
      <c r="AH507">
        <f>Q507/L507</f>
        <v>0.13159417688090386</v>
      </c>
      <c r="AI507" s="1">
        <f>R507</f>
        <v>3.9</v>
      </c>
      <c r="AJ507" s="1">
        <f>P507</f>
        <v>1144899</v>
      </c>
    </row>
    <row r="508" spans="1:36" x14ac:dyDescent="0.25">
      <c r="A508" t="s">
        <v>84</v>
      </c>
      <c r="B508">
        <v>2020</v>
      </c>
      <c r="C508" s="1">
        <v>2235416</v>
      </c>
      <c r="D508" s="1">
        <v>37707</v>
      </c>
      <c r="E508" s="1">
        <v>-38321</v>
      </c>
      <c r="G508" s="1">
        <v>2412596</v>
      </c>
      <c r="H508" s="1">
        <v>568424</v>
      </c>
      <c r="I508" s="1">
        <v>206735</v>
      </c>
      <c r="J508" s="1">
        <f>69334+K508</f>
        <v>609186</v>
      </c>
      <c r="K508" s="1">
        <v>539852</v>
      </c>
      <c r="L508" s="1">
        <f>386896+M508</f>
        <v>396215</v>
      </c>
      <c r="M508" s="1">
        <v>9319</v>
      </c>
      <c r="N508" s="1">
        <v>1787329</v>
      </c>
      <c r="O508" s="1">
        <v>1803410</v>
      </c>
      <c r="P508" s="1">
        <v>1149872</v>
      </c>
      <c r="Q508" s="1">
        <v>-92070</v>
      </c>
      <c r="R508" s="1">
        <v>2.9</v>
      </c>
      <c r="T508">
        <f>E508/G508</f>
        <v>-1.5883720274757977E-2</v>
      </c>
      <c r="U508">
        <f>D508/C508</f>
        <v>1.6868001302665813E-2</v>
      </c>
      <c r="V508">
        <f>(E508-F508)/O508</f>
        <v>-2.1249189036325628E-2</v>
      </c>
      <c r="W508">
        <f>H508/K508</f>
        <v>1.0529256166504894</v>
      </c>
      <c r="X508">
        <f>(H508-I508)/K508</f>
        <v>0.66997806806309879</v>
      </c>
      <c r="Y508">
        <f>(H508-K508)/G508</f>
        <v>1.1842844802859659E-2</v>
      </c>
      <c r="Z508">
        <f>J508/N508</f>
        <v>0.34083596248927872</v>
      </c>
      <c r="AA508">
        <f>J508/G508</f>
        <v>0.25250228384694329</v>
      </c>
      <c r="AB508">
        <f>C508/G508</f>
        <v>0.92656043531532006</v>
      </c>
      <c r="AC508">
        <f>C508/(G508-K508)</f>
        <v>1.1936580760637867</v>
      </c>
      <c r="AD508">
        <f>Q508/E508</f>
        <v>2.4025990971008064</v>
      </c>
      <c r="AE508">
        <f>Q508/J508</f>
        <v>-0.15113610621386572</v>
      </c>
      <c r="AF508">
        <f>Q508/G508</f>
        <v>-3.8162211990735294E-2</v>
      </c>
      <c r="AG508">
        <f>Q508/K508</f>
        <v>-0.17054674244052073</v>
      </c>
      <c r="AH508">
        <f>Q508/L508</f>
        <v>-0.2323738374367452</v>
      </c>
      <c r="AI508" s="1">
        <f>R508</f>
        <v>2.9</v>
      </c>
      <c r="AJ508" s="1">
        <f>P508</f>
        <v>1149872</v>
      </c>
    </row>
    <row r="509" spans="1:36" x14ac:dyDescent="0.25">
      <c r="A509" t="s">
        <v>84</v>
      </c>
      <c r="B509">
        <v>2021</v>
      </c>
      <c r="C509" s="1">
        <v>2031275</v>
      </c>
      <c r="D509" s="1">
        <v>103713</v>
      </c>
      <c r="E509" s="1">
        <v>8774</v>
      </c>
      <c r="G509" s="1">
        <v>2551233</v>
      </c>
      <c r="H509" s="1">
        <v>728097</v>
      </c>
      <c r="I509" s="1">
        <v>232768</v>
      </c>
      <c r="J509" s="1">
        <f>100878+K509</f>
        <v>739404</v>
      </c>
      <c r="K509" s="1">
        <v>638526</v>
      </c>
      <c r="L509" s="1">
        <f>415329+M509</f>
        <v>429762</v>
      </c>
      <c r="M509" s="1">
        <v>14433</v>
      </c>
      <c r="N509" s="1">
        <v>1789900</v>
      </c>
      <c r="O509" s="1">
        <v>1811829</v>
      </c>
      <c r="P509" s="1">
        <v>1154348</v>
      </c>
      <c r="Q509" s="1">
        <v>-45400</v>
      </c>
      <c r="R509" s="1">
        <v>5.9</v>
      </c>
      <c r="T509">
        <f>E509/G509</f>
        <v>3.4391213973792279E-3</v>
      </c>
      <c r="U509">
        <f>D509/C509</f>
        <v>5.1058079285178026E-2</v>
      </c>
      <c r="V509">
        <f>(E509-F509)/O509</f>
        <v>4.8426203576606847E-3</v>
      </c>
      <c r="W509">
        <f>H509/K509</f>
        <v>1.1402777647268867</v>
      </c>
      <c r="X509">
        <f>(H509-I509)/K509</f>
        <v>0.77573818450619081</v>
      </c>
      <c r="Y509">
        <f>(H509-K509)/G509</f>
        <v>3.5108906164195902E-2</v>
      </c>
      <c r="Z509">
        <f>J509/N509</f>
        <v>0.41309793843231468</v>
      </c>
      <c r="AA509">
        <f>J509/G509</f>
        <v>0.28982221537585945</v>
      </c>
      <c r="AB509">
        <f>C509/G509</f>
        <v>0.79619344842278228</v>
      </c>
      <c r="AC509">
        <f>C509/(G509-K509)</f>
        <v>1.061989630403402</v>
      </c>
      <c r="AD509">
        <f>Q509/E509</f>
        <v>-5.1743788465922043</v>
      </c>
      <c r="AE509">
        <f>Q509/J509</f>
        <v>-6.1400803890701162E-2</v>
      </c>
      <c r="AF509">
        <f>Q509/G509</f>
        <v>-1.77953170094617E-2</v>
      </c>
      <c r="AG509">
        <f>Q509/K509</f>
        <v>-7.1101255078101749E-2</v>
      </c>
      <c r="AH509">
        <f>Q509/L509</f>
        <v>-0.10563986578617933</v>
      </c>
      <c r="AI509" s="1">
        <f>R509</f>
        <v>5.9</v>
      </c>
      <c r="AJ509" s="1">
        <f>P509</f>
        <v>1154348</v>
      </c>
    </row>
    <row r="510" spans="1:36" x14ac:dyDescent="0.25">
      <c r="A510" t="s">
        <v>84</v>
      </c>
      <c r="B510">
        <v>2022</v>
      </c>
      <c r="C510" s="1">
        <v>3356426</v>
      </c>
      <c r="D510" s="1">
        <v>735555</v>
      </c>
      <c r="E510" s="1">
        <v>655166</v>
      </c>
      <c r="G510" s="1">
        <v>3105719</v>
      </c>
      <c r="H510" s="1">
        <v>1436393</v>
      </c>
      <c r="I510" s="1">
        <v>528004</v>
      </c>
      <c r="J510" s="1">
        <f>226697+K510</f>
        <v>1061416</v>
      </c>
      <c r="K510" s="1">
        <v>834719</v>
      </c>
      <c r="L510" s="1">
        <f>544668+M510</f>
        <v>682613</v>
      </c>
      <c r="M510" s="1">
        <v>137945</v>
      </c>
      <c r="N510" s="1">
        <v>2021852</v>
      </c>
      <c r="O510" s="1">
        <v>2044303</v>
      </c>
      <c r="P510" s="1">
        <v>1813686</v>
      </c>
      <c r="Q510" s="1">
        <v>-183861</v>
      </c>
      <c r="R510" s="1">
        <v>5.7</v>
      </c>
      <c r="T510">
        <f>E510/G510</f>
        <v>0.21095469358303182</v>
      </c>
      <c r="U510">
        <f>D510/C510</f>
        <v>0.21914828451454016</v>
      </c>
      <c r="V510">
        <f>(E510-F510)/O510</f>
        <v>0.32048380303702534</v>
      </c>
      <c r="W510">
        <f>H510/K510</f>
        <v>1.7208102367383515</v>
      </c>
      <c r="X510">
        <f>(H510-I510)/K510</f>
        <v>1.088257245851598</v>
      </c>
      <c r="Y510">
        <f>(H510-K510)/G510</f>
        <v>0.19373098467697819</v>
      </c>
      <c r="Z510">
        <f>J510/N510</f>
        <v>0.52497215424274379</v>
      </c>
      <c r="AA510">
        <f>J510/G510</f>
        <v>0.34176176273513476</v>
      </c>
      <c r="AB510">
        <f>C510/G510</f>
        <v>1.0807243024884092</v>
      </c>
      <c r="AC510">
        <f>C510/(G510-K510)</f>
        <v>1.4779506825187143</v>
      </c>
      <c r="AD510">
        <f>Q510/E510</f>
        <v>-0.28063269461479989</v>
      </c>
      <c r="AE510">
        <f>Q510/J510</f>
        <v>-0.17322237463916126</v>
      </c>
      <c r="AF510">
        <f>Q510/G510</f>
        <v>-5.9200784101845656E-2</v>
      </c>
      <c r="AG510">
        <f>Q510/K510</f>
        <v>-0.22026694013194859</v>
      </c>
      <c r="AH510">
        <f>Q510/L510</f>
        <v>-0.26934881111259235</v>
      </c>
      <c r="AI510" s="1">
        <f>R510</f>
        <v>5.7</v>
      </c>
      <c r="AJ510" s="1">
        <f>P510</f>
        <v>1813686</v>
      </c>
    </row>
    <row r="511" spans="1:36" x14ac:dyDescent="0.25">
      <c r="A511" t="s">
        <v>84</v>
      </c>
      <c r="B511">
        <v>2023</v>
      </c>
      <c r="C511" s="1">
        <v>2711623</v>
      </c>
      <c r="D511" s="1">
        <v>114029</v>
      </c>
      <c r="E511" s="1">
        <v>75080</v>
      </c>
      <c r="G511" s="1">
        <v>2574945</v>
      </c>
      <c r="H511" s="1">
        <v>964775</v>
      </c>
      <c r="I511" s="1">
        <v>426905</v>
      </c>
      <c r="J511" s="1">
        <f>238098+K511</f>
        <v>527728</v>
      </c>
      <c r="K511" s="1">
        <v>289630</v>
      </c>
      <c r="L511" s="1">
        <f>176152+M511</f>
        <v>267547</v>
      </c>
      <c r="M511" s="1">
        <v>91395</v>
      </c>
      <c r="N511" s="1">
        <v>2012112</v>
      </c>
      <c r="O511" s="1">
        <v>2047217</v>
      </c>
      <c r="P511" s="1">
        <v>1876983</v>
      </c>
      <c r="Q511" s="1">
        <v>439601</v>
      </c>
      <c r="R511" s="1">
        <v>9.4</v>
      </c>
      <c r="T511">
        <f>E511/G511</f>
        <v>2.915790434358792E-2</v>
      </c>
      <c r="U511">
        <f>D511/C511</f>
        <v>4.2051937160881139E-2</v>
      </c>
      <c r="V511">
        <f>(E511-F511)/O511</f>
        <v>3.6674177676328398E-2</v>
      </c>
      <c r="W511">
        <f>H511/K511</f>
        <v>3.331060318337189</v>
      </c>
      <c r="X511">
        <f>(H511-I511)/K511</f>
        <v>1.8570935331284744</v>
      </c>
      <c r="Y511">
        <f>(H511-K511)/G511</f>
        <v>0.26219783335178032</v>
      </c>
      <c r="Z511">
        <f>J511/N511</f>
        <v>0.26227565861144908</v>
      </c>
      <c r="AA511">
        <f>J511/G511</f>
        <v>0.20494729013629417</v>
      </c>
      <c r="AB511">
        <f>C511/G511</f>
        <v>1.0530799686983605</v>
      </c>
      <c r="AC511">
        <f>C511/(G511-K511)</f>
        <v>1.1865423366144274</v>
      </c>
      <c r="AD511">
        <f>Q511/E511</f>
        <v>5.8551012253596166</v>
      </c>
      <c r="AE511">
        <f>Q511/J511</f>
        <v>0.83300677621805175</v>
      </c>
      <c r="AF511">
        <f>Q511/G511</f>
        <v>0.17072248145106012</v>
      </c>
      <c r="AG511">
        <f>Q511/K511</f>
        <v>1.5178020232710701</v>
      </c>
      <c r="AH511">
        <f>Q511/L511</f>
        <v>1.6430795336894077</v>
      </c>
      <c r="AI511" s="1">
        <f>R511</f>
        <v>9.4</v>
      </c>
      <c r="AJ511" s="1">
        <f>P511</f>
        <v>1876983</v>
      </c>
    </row>
    <row r="512" spans="1:36" s="8" customFormat="1" x14ac:dyDescent="0.25">
      <c r="A512" s="8" t="s">
        <v>84</v>
      </c>
      <c r="B512" s="8">
        <v>2024</v>
      </c>
      <c r="C512" s="9">
        <v>2686134</v>
      </c>
      <c r="D512" s="9">
        <v>-33792</v>
      </c>
      <c r="E512" s="9">
        <v>20207</v>
      </c>
      <c r="F512" s="9"/>
      <c r="G512" s="9">
        <v>3136092</v>
      </c>
      <c r="H512" s="9">
        <v>921143</v>
      </c>
      <c r="I512" s="9">
        <v>328369</v>
      </c>
      <c r="J512" s="9">
        <f>295300+K512</f>
        <v>856801</v>
      </c>
      <c r="K512" s="9">
        <v>561501</v>
      </c>
      <c r="L512" s="9">
        <f>296798+M512</f>
        <v>339298</v>
      </c>
      <c r="M512" s="9">
        <v>42500</v>
      </c>
      <c r="N512" s="9">
        <v>2256131</v>
      </c>
      <c r="O512" s="9">
        <v>2279291</v>
      </c>
      <c r="P512" s="9">
        <v>1894090</v>
      </c>
      <c r="Q512" s="9">
        <v>-18494</v>
      </c>
      <c r="R512" s="9">
        <v>7.1</v>
      </c>
      <c r="T512" s="8">
        <f>E512/G512</f>
        <v>6.4433696460435468E-3</v>
      </c>
      <c r="U512" s="8">
        <f>D512/C512</f>
        <v>-1.2580161674734023E-2</v>
      </c>
      <c r="V512" s="8">
        <f>(E512-F512)/O512</f>
        <v>8.8654761502590055E-3</v>
      </c>
      <c r="W512" s="8">
        <f>H512/K512</f>
        <v>1.6405010854833739</v>
      </c>
      <c r="X512" s="8">
        <f>(H512-I512)/K512</f>
        <v>1.0556953594027436</v>
      </c>
      <c r="Y512" s="8">
        <f>(H512-K512)/G512</f>
        <v>0.11467839591440557</v>
      </c>
      <c r="Z512" s="8">
        <f>J512/N512</f>
        <v>0.37976562531165081</v>
      </c>
      <c r="AA512" s="8">
        <f>J512/G512</f>
        <v>0.27320658960260097</v>
      </c>
      <c r="AB512" s="8">
        <f>C512/G512</f>
        <v>0.85652270405332498</v>
      </c>
      <c r="AC512" s="8">
        <f>C512/(G512-K512)</f>
        <v>1.0433245513559242</v>
      </c>
      <c r="AD512" s="8">
        <f>Q512/E512</f>
        <v>-0.91522739644677586</v>
      </c>
      <c r="AE512" s="8">
        <f>Q512/J512</f>
        <v>-2.1584942127751951E-2</v>
      </c>
      <c r="AF512" s="8">
        <f>Q512/G512</f>
        <v>-5.8971484254926191E-3</v>
      </c>
      <c r="AG512" s="8">
        <f>Q512/K512</f>
        <v>-3.29367178330938E-2</v>
      </c>
      <c r="AH512" s="8">
        <f>Q512/L512</f>
        <v>-5.4506657864178389E-2</v>
      </c>
      <c r="AI512" s="9">
        <f>R512</f>
        <v>7.1</v>
      </c>
      <c r="AJ512" s="9">
        <f>P512</f>
        <v>1894090</v>
      </c>
    </row>
    <row r="513" spans="1:36" x14ac:dyDescent="0.25">
      <c r="A513" s="15" t="s">
        <v>87</v>
      </c>
      <c r="B513" s="15">
        <v>2018</v>
      </c>
      <c r="C513" s="6">
        <v>135969</v>
      </c>
      <c r="D513" s="6">
        <v>315728</v>
      </c>
      <c r="E513" s="6">
        <v>132848</v>
      </c>
      <c r="F513" s="6"/>
      <c r="G513" s="6">
        <v>1408561</v>
      </c>
      <c r="H513" s="6">
        <v>53071</v>
      </c>
      <c r="I513" s="6">
        <v>0</v>
      </c>
      <c r="J513" s="6">
        <v>345266</v>
      </c>
      <c r="K513" s="6">
        <v>31915</v>
      </c>
      <c r="L513" s="6">
        <v>0</v>
      </c>
      <c r="M513" s="6">
        <v>0</v>
      </c>
      <c r="N513" s="6">
        <v>1063295</v>
      </c>
      <c r="O513" s="6">
        <v>1063295</v>
      </c>
      <c r="P513" s="6">
        <v>618453</v>
      </c>
      <c r="Q513" s="6">
        <v>98825</v>
      </c>
      <c r="R513" s="6">
        <v>71.7</v>
      </c>
      <c r="S513" s="15"/>
      <c r="T513" s="15">
        <f>E513/G513</f>
        <v>9.4314694216295916E-2</v>
      </c>
      <c r="U513" s="15">
        <f>D513/C513</f>
        <v>2.3220587045576564</v>
      </c>
      <c r="V513" s="15">
        <f>(E513-F513)/O513</f>
        <v>0.12493992730145444</v>
      </c>
      <c r="W513" s="15">
        <f>H513/K513</f>
        <v>1.6628857903806988</v>
      </c>
      <c r="X513" s="15">
        <f>(H513-I513)/K513</f>
        <v>1.6628857903806988</v>
      </c>
      <c r="Y513" s="15">
        <f>(H513-K513)/G513</f>
        <v>1.5019583816391338E-2</v>
      </c>
      <c r="Z513" s="15">
        <f>J513/N513</f>
        <v>0.32471327336251932</v>
      </c>
      <c r="AA513" s="15">
        <f>J513/G513</f>
        <v>0.24511966467905899</v>
      </c>
      <c r="AB513" s="15">
        <f>C513/G513</f>
        <v>9.6530430701971731E-2</v>
      </c>
      <c r="AC513" s="15">
        <f>C513/(G513-K513)</f>
        <v>9.8768310807571452E-2</v>
      </c>
      <c r="AD513" s="15">
        <f>Q513/E513</f>
        <v>0.74389527881488615</v>
      </c>
      <c r="AE513" s="15">
        <f>Q513/J513</f>
        <v>0.286228588971981</v>
      </c>
      <c r="AF513" s="15">
        <f>Q513/G513</f>
        <v>7.0160255750372186E-2</v>
      </c>
      <c r="AG513" s="15">
        <f>Q513/K513</f>
        <v>3.0965063449788501</v>
      </c>
      <c r="AH513" s="15" t="e">
        <f>Q513/L513</f>
        <v>#DIV/0!</v>
      </c>
      <c r="AI513" s="6">
        <f>R513</f>
        <v>71.7</v>
      </c>
      <c r="AJ513" s="6">
        <f>P513</f>
        <v>618453</v>
      </c>
    </row>
    <row r="514" spans="1:36" x14ac:dyDescent="0.25">
      <c r="A514" t="s">
        <v>87</v>
      </c>
      <c r="B514">
        <v>2019</v>
      </c>
      <c r="C514" s="1">
        <v>143637</v>
      </c>
      <c r="D514" s="1">
        <v>258440</v>
      </c>
      <c r="E514" s="1">
        <v>190055</v>
      </c>
      <c r="G514" s="1">
        <v>1681092</v>
      </c>
      <c r="H514" s="1">
        <v>169594</v>
      </c>
      <c r="I514" s="1">
        <v>0</v>
      </c>
      <c r="J514" s="1">
        <v>474121</v>
      </c>
      <c r="K514" s="1">
        <v>123694</v>
      </c>
      <c r="L514" s="1">
        <v>0</v>
      </c>
      <c r="M514" s="1">
        <v>0</v>
      </c>
      <c r="N514" s="1">
        <v>1206971</v>
      </c>
      <c r="O514" s="1">
        <v>1206971</v>
      </c>
      <c r="P514" s="1">
        <v>762129</v>
      </c>
      <c r="Q514" s="1">
        <v>144809</v>
      </c>
      <c r="R514" s="1">
        <v>53</v>
      </c>
      <c r="T514">
        <f>E514/G514</f>
        <v>0.11305449077147474</v>
      </c>
      <c r="U514">
        <f>D514/C514</f>
        <v>1.7992578513892661</v>
      </c>
      <c r="V514">
        <f>(E514-F514)/O514</f>
        <v>0.15746442955133139</v>
      </c>
      <c r="W514">
        <f>H514/K514</f>
        <v>1.3710770126279366</v>
      </c>
      <c r="X514">
        <f>(H514-I514)/K514</f>
        <v>1.3710770126279366</v>
      </c>
      <c r="Y514">
        <f>(H514-K514)/G514</f>
        <v>2.7303681178662442E-2</v>
      </c>
      <c r="Z514">
        <f>J514/N514</f>
        <v>0.39281888297233319</v>
      </c>
      <c r="AA514">
        <f>J514/G514</f>
        <v>0.28203156043809618</v>
      </c>
      <c r="AB514">
        <f>C514/G514</f>
        <v>8.5442676545959412E-2</v>
      </c>
      <c r="AC514">
        <f>C514/(G514-K514)</f>
        <v>9.2228832963699714E-2</v>
      </c>
      <c r="AD514">
        <f>Q514/E514</f>
        <v>0.76193207229486204</v>
      </c>
      <c r="AE514">
        <f>Q514/J514</f>
        <v>0.30542625194834228</v>
      </c>
      <c r="AF514">
        <f>Q514/G514</f>
        <v>8.6139842435750097E-2</v>
      </c>
      <c r="AG514">
        <f>Q514/K514</f>
        <v>1.1707035102753569</v>
      </c>
      <c r="AH514" t="e">
        <f>Q514/L514</f>
        <v>#DIV/0!</v>
      </c>
      <c r="AI514" s="1">
        <f>R514</f>
        <v>53</v>
      </c>
      <c r="AJ514" s="1">
        <f>P514</f>
        <v>762129</v>
      </c>
    </row>
    <row r="515" spans="1:36" x14ac:dyDescent="0.25">
      <c r="A515" t="s">
        <v>87</v>
      </c>
      <c r="B515">
        <v>2020</v>
      </c>
      <c r="C515" s="1">
        <v>141254</v>
      </c>
      <c r="D515" s="1">
        <v>98570</v>
      </c>
      <c r="E515" s="1">
        <v>82053</v>
      </c>
      <c r="G515" s="1">
        <v>1764399</v>
      </c>
      <c r="H515" s="1">
        <v>246057</v>
      </c>
      <c r="I515" s="1">
        <v>0</v>
      </c>
      <c r="J515" s="1">
        <v>475423</v>
      </c>
      <c r="K515" s="1">
        <v>119494</v>
      </c>
      <c r="L515" s="1">
        <v>50169</v>
      </c>
      <c r="M515" s="1">
        <v>0</v>
      </c>
      <c r="N515" s="1">
        <v>1288976</v>
      </c>
      <c r="O515" s="1">
        <v>1288976</v>
      </c>
      <c r="P515" s="1">
        <v>844134</v>
      </c>
      <c r="Q515" s="1">
        <v>14027</v>
      </c>
      <c r="R515" s="1">
        <v>45.3</v>
      </c>
      <c r="T515">
        <f>E515/G515</f>
        <v>4.6504787182491035E-2</v>
      </c>
      <c r="U515">
        <f>D515/C515</f>
        <v>0.69782094666345729</v>
      </c>
      <c r="V515">
        <f>(E515-F515)/O515</f>
        <v>6.3657507975323047E-2</v>
      </c>
      <c r="W515">
        <f>H515/K515</f>
        <v>2.0591577819806854</v>
      </c>
      <c r="X515">
        <f>(H515-I515)/K515</f>
        <v>2.0591577819806854</v>
      </c>
      <c r="Y515">
        <f>(H515-K515)/G515</f>
        <v>7.1731507442477582E-2</v>
      </c>
      <c r="Z515">
        <f>J515/N515</f>
        <v>0.36883774406971115</v>
      </c>
      <c r="AA515">
        <f>J515/G515</f>
        <v>0.26945322458242155</v>
      </c>
      <c r="AB515">
        <f>C515/G515</f>
        <v>8.0057855394386424E-2</v>
      </c>
      <c r="AC515">
        <f>C515/(G515-K515)</f>
        <v>8.5873652277791118E-2</v>
      </c>
      <c r="AD515">
        <f>Q515/E515</f>
        <v>0.17095048322425749</v>
      </c>
      <c r="AE515">
        <f>Q515/J515</f>
        <v>2.950425200295316E-2</v>
      </c>
      <c r="AF515">
        <f>Q515/G515</f>
        <v>7.950015841088098E-3</v>
      </c>
      <c r="AG515">
        <f>Q515/K515</f>
        <v>0.11738664702830268</v>
      </c>
      <c r="AH515">
        <f>Q515/L515</f>
        <v>0.27959496900476388</v>
      </c>
      <c r="AI515" s="1">
        <f>R515</f>
        <v>45.3</v>
      </c>
      <c r="AJ515" s="1">
        <f>P515</f>
        <v>844134</v>
      </c>
    </row>
    <row r="516" spans="1:36" x14ac:dyDescent="0.25">
      <c r="A516" t="s">
        <v>87</v>
      </c>
      <c r="B516">
        <v>2021</v>
      </c>
      <c r="C516" s="1">
        <v>125255</v>
      </c>
      <c r="D516" s="1">
        <v>86135</v>
      </c>
      <c r="E516" s="1">
        <v>116099</v>
      </c>
      <c r="G516" s="1">
        <v>1715847</v>
      </c>
      <c r="H516" s="1">
        <v>195592</v>
      </c>
      <c r="I516" s="1">
        <v>0</v>
      </c>
      <c r="J516" s="1">
        <v>357483</v>
      </c>
      <c r="K516" s="1">
        <v>36043</v>
      </c>
      <c r="L516" s="1">
        <v>0</v>
      </c>
      <c r="M516" s="1">
        <v>0</v>
      </c>
      <c r="N516" s="1">
        <v>1358364</v>
      </c>
      <c r="O516" s="1">
        <v>1358364</v>
      </c>
      <c r="P516" s="1">
        <v>913522</v>
      </c>
      <c r="Q516" s="1">
        <v>33394</v>
      </c>
      <c r="R516" s="1">
        <v>54.2</v>
      </c>
      <c r="T516">
        <f>E516/G516</f>
        <v>6.7662792778143965E-2</v>
      </c>
      <c r="U516">
        <f>D516/C516</f>
        <v>0.68767713863718016</v>
      </c>
      <c r="V516">
        <f>(E516-F516)/O516</f>
        <v>8.5469726818437466E-2</v>
      </c>
      <c r="W516">
        <f>H516/K516</f>
        <v>5.4266293038870241</v>
      </c>
      <c r="X516">
        <f>(H516-I516)/K516</f>
        <v>5.4266293038870241</v>
      </c>
      <c r="Y516">
        <f>(H516-K516)/G516</f>
        <v>9.2985563398135143E-2</v>
      </c>
      <c r="Z516">
        <f>J516/N516</f>
        <v>0.2631717271659143</v>
      </c>
      <c r="AA516">
        <f>J516/G516</f>
        <v>0.2083420025212038</v>
      </c>
      <c r="AB516">
        <f>C516/G516</f>
        <v>7.2998932888538426E-2</v>
      </c>
      <c r="AC516">
        <f>C516/(G516-K516)</f>
        <v>7.4565246897852364E-2</v>
      </c>
      <c r="AD516">
        <f>Q516/E516</f>
        <v>0.2876338297487489</v>
      </c>
      <c r="AE516">
        <f>Q516/J516</f>
        <v>9.3414232285171608E-2</v>
      </c>
      <c r="AF516">
        <f>Q516/G516</f>
        <v>1.946210821827354E-2</v>
      </c>
      <c r="AG516">
        <f>Q516/K516</f>
        <v>0.92650445301445494</v>
      </c>
      <c r="AH516" t="e">
        <f>Q516/L516</f>
        <v>#DIV/0!</v>
      </c>
      <c r="AI516" s="1">
        <f>R516</f>
        <v>54.2</v>
      </c>
      <c r="AJ516" s="1">
        <f>P516</f>
        <v>913522</v>
      </c>
    </row>
    <row r="517" spans="1:36" x14ac:dyDescent="0.25">
      <c r="A517" t="s">
        <v>87</v>
      </c>
      <c r="B517">
        <v>2022</v>
      </c>
      <c r="C517" s="1">
        <v>133566</v>
      </c>
      <c r="D517" s="1">
        <v>132421</v>
      </c>
      <c r="E517" s="1">
        <v>104389</v>
      </c>
      <c r="G517" s="1">
        <v>1793763</v>
      </c>
      <c r="H517" s="1">
        <v>223345</v>
      </c>
      <c r="I517" s="1">
        <v>0</v>
      </c>
      <c r="J517" s="1">
        <v>350405</v>
      </c>
      <c r="K517" s="1">
        <v>10713</v>
      </c>
      <c r="L517" s="1">
        <v>0</v>
      </c>
      <c r="M517" s="1">
        <v>0</v>
      </c>
      <c r="N517" s="1">
        <v>1443358</v>
      </c>
      <c r="O517" s="1">
        <v>1443358</v>
      </c>
      <c r="P517" s="1">
        <v>998516</v>
      </c>
      <c r="Q517" s="1">
        <v>42453</v>
      </c>
      <c r="R517" s="1">
        <v>38</v>
      </c>
      <c r="T517">
        <f>E517/G517</f>
        <v>5.8195536422593175E-2</v>
      </c>
      <c r="U517">
        <f>D517/C517</f>
        <v>0.99142745908389862</v>
      </c>
      <c r="V517">
        <f>(E517-F517)/O517</f>
        <v>7.2323706246128813E-2</v>
      </c>
      <c r="W517">
        <f>H517/K517</f>
        <v>20.84803509754504</v>
      </c>
      <c r="X517">
        <f>(H517-I517)/K517</f>
        <v>20.84803509754504</v>
      </c>
      <c r="Y517">
        <f>(H517-K517)/G517</f>
        <v>0.11853962870234251</v>
      </c>
      <c r="Z517">
        <f>J517/N517</f>
        <v>0.24277067782213421</v>
      </c>
      <c r="AA517">
        <f>J517/G517</f>
        <v>0.19534631944130859</v>
      </c>
      <c r="AB517">
        <f>C517/G517</f>
        <v>7.4461341882957777E-2</v>
      </c>
      <c r="AC517">
        <f>C517/(G517-K517)</f>
        <v>7.4908723815933373E-2</v>
      </c>
      <c r="AD517">
        <f>Q517/E517</f>
        <v>0.40668078054201112</v>
      </c>
      <c r="AE517">
        <f>Q517/J517</f>
        <v>0.12115409312081735</v>
      </c>
      <c r="AF517">
        <f>Q517/G517</f>
        <v>2.3667006176401231E-2</v>
      </c>
      <c r="AG517">
        <f>Q517/K517</f>
        <v>3.9627555306636797</v>
      </c>
      <c r="AH517" t="e">
        <f>Q517/L517</f>
        <v>#DIV/0!</v>
      </c>
      <c r="AI517" s="1">
        <f>R517</f>
        <v>38</v>
      </c>
      <c r="AJ517" s="1">
        <f>P517</f>
        <v>998516</v>
      </c>
    </row>
    <row r="518" spans="1:36" x14ac:dyDescent="0.25">
      <c r="A518" t="s">
        <v>87</v>
      </c>
      <c r="B518">
        <v>2023</v>
      </c>
      <c r="C518" s="1">
        <v>146116</v>
      </c>
      <c r="D518" s="1">
        <v>224990</v>
      </c>
      <c r="E518" s="1">
        <v>101484</v>
      </c>
      <c r="G518" s="1">
        <v>2002528</v>
      </c>
      <c r="H518" s="1">
        <v>103946</v>
      </c>
      <c r="I518" s="1">
        <v>0</v>
      </c>
      <c r="J518" s="1">
        <v>491110</v>
      </c>
      <c r="K518" s="1">
        <v>17614</v>
      </c>
      <c r="L518" s="1">
        <v>0</v>
      </c>
      <c r="M518" s="1">
        <v>0</v>
      </c>
      <c r="N518" s="1">
        <v>1511418</v>
      </c>
      <c r="O518" s="1">
        <v>1511418</v>
      </c>
      <c r="P518" s="1">
        <v>1066576</v>
      </c>
      <c r="Q518" s="1">
        <v>55262</v>
      </c>
      <c r="R518" s="1">
        <v>38</v>
      </c>
      <c r="T518">
        <f>E518/G518</f>
        <v>5.0677943079946948E-2</v>
      </c>
      <c r="U518">
        <f>D518/C518</f>
        <v>1.5398039913493389</v>
      </c>
      <c r="V518">
        <f>(E518-F518)/O518</f>
        <v>6.7144893073921311E-2</v>
      </c>
      <c r="W518">
        <f>H518/K518</f>
        <v>5.9013284887021689</v>
      </c>
      <c r="X518">
        <f>(H518-I518)/K518</f>
        <v>5.9013284887021689</v>
      </c>
      <c r="Y518">
        <f>(H518-K518)/G518</f>
        <v>4.3111507055082376E-2</v>
      </c>
      <c r="Z518">
        <f>J518/N518</f>
        <v>0.32493327458055943</v>
      </c>
      <c r="AA518">
        <f>J518/G518</f>
        <v>0.24524501030697199</v>
      </c>
      <c r="AB518">
        <f>C518/G518</f>
        <v>7.2965771265120882E-2</v>
      </c>
      <c r="AC518">
        <f>C518/(G518-K518)</f>
        <v>7.361326485681495E-2</v>
      </c>
      <c r="AD518">
        <f>Q518/E518</f>
        <v>0.54453904063694769</v>
      </c>
      <c r="AE518">
        <f>Q518/J518</f>
        <v>0.11252468896988455</v>
      </c>
      <c r="AF518">
        <f>Q518/G518</f>
        <v>2.7596118506208155E-2</v>
      </c>
      <c r="AG518">
        <f>Q518/K518</f>
        <v>3.1373907119336892</v>
      </c>
      <c r="AH518" t="e">
        <f>Q518/L518</f>
        <v>#DIV/0!</v>
      </c>
      <c r="AI518" s="1">
        <f>R518</f>
        <v>38</v>
      </c>
      <c r="AJ518" s="1">
        <f>P518</f>
        <v>1066576</v>
      </c>
    </row>
    <row r="519" spans="1:36" s="8" customFormat="1" x14ac:dyDescent="0.25">
      <c r="A519" s="8" t="s">
        <v>87</v>
      </c>
      <c r="B519" s="8">
        <v>2024</v>
      </c>
      <c r="C519" s="9">
        <v>181457</v>
      </c>
      <c r="D519" s="9">
        <v>293550</v>
      </c>
      <c r="E519" s="9">
        <v>237695</v>
      </c>
      <c r="F519" s="9"/>
      <c r="G519" s="9">
        <v>2289206</v>
      </c>
      <c r="H519" s="9">
        <v>156350</v>
      </c>
      <c r="I519" s="9">
        <v>0</v>
      </c>
      <c r="J519" s="9">
        <v>556075</v>
      </c>
      <c r="K519" s="9">
        <v>41903</v>
      </c>
      <c r="L519" s="9">
        <v>0</v>
      </c>
      <c r="M519" s="9">
        <v>0</v>
      </c>
      <c r="N519" s="9">
        <v>1733131</v>
      </c>
      <c r="O519" s="9">
        <v>1733131</v>
      </c>
      <c r="P519" s="9">
        <v>1288289</v>
      </c>
      <c r="Q519" s="9">
        <v>48189</v>
      </c>
      <c r="R519" s="9">
        <v>41.1</v>
      </c>
      <c r="T519" s="8">
        <f>E519/G519</f>
        <v>0.10383294469785594</v>
      </c>
      <c r="U519" s="8">
        <f>D519/C519</f>
        <v>1.6177386378039977</v>
      </c>
      <c r="V519" s="8">
        <f>(E519-F519)/O519</f>
        <v>0.13714774013043446</v>
      </c>
      <c r="W519" s="8">
        <f>H519/K519</f>
        <v>3.7312364269861344</v>
      </c>
      <c r="X519" s="8">
        <f>(H519-I519)/K519</f>
        <v>3.7312364269861344</v>
      </c>
      <c r="Y519" s="8">
        <f>(H519-K519)/G519</f>
        <v>4.9994190125309826E-2</v>
      </c>
      <c r="Z519" s="8">
        <f>J519/N519</f>
        <v>0.32084995306182856</v>
      </c>
      <c r="AA519" s="8">
        <f>J519/G519</f>
        <v>0.24291173446164302</v>
      </c>
      <c r="AB519" s="8">
        <f>C519/G519</f>
        <v>7.9266348244762599E-2</v>
      </c>
      <c r="AC519" s="8">
        <f>C519/(G519-K519)</f>
        <v>8.0744341105760994E-2</v>
      </c>
      <c r="AD519" s="8">
        <f>Q519/E519</f>
        <v>0.20273459685731715</v>
      </c>
      <c r="AE519" s="8">
        <f>Q519/J519</f>
        <v>8.6659173672616108E-2</v>
      </c>
      <c r="AF519" s="8">
        <f>Q519/G519</f>
        <v>2.105053018382793E-2</v>
      </c>
      <c r="AG519" s="8">
        <f>Q519/K519</f>
        <v>1.1500131255518697</v>
      </c>
      <c r="AH519" s="8" t="e">
        <f>Q519/L519</f>
        <v>#DIV/0!</v>
      </c>
      <c r="AI519" s="9">
        <f>R519</f>
        <v>41.1</v>
      </c>
      <c r="AJ519" s="9">
        <f>P519</f>
        <v>1288289</v>
      </c>
    </row>
    <row r="520" spans="1:36" x14ac:dyDescent="0.25">
      <c r="A520" s="15" t="s">
        <v>90</v>
      </c>
      <c r="B520" s="15">
        <v>2018</v>
      </c>
      <c r="C520" s="6">
        <v>712371</v>
      </c>
      <c r="D520" s="6">
        <v>64653</v>
      </c>
      <c r="E520" s="6">
        <v>50667</v>
      </c>
      <c r="F520" s="6"/>
      <c r="G520" s="6">
        <v>478010</v>
      </c>
      <c r="H520" s="6">
        <v>316116</v>
      </c>
      <c r="I520" s="6">
        <v>50530</v>
      </c>
      <c r="J520" s="6">
        <v>205882</v>
      </c>
      <c r="K520" s="6">
        <v>161655</v>
      </c>
      <c r="L520" s="6">
        <f>883+M520</f>
        <v>2108</v>
      </c>
      <c r="M520" s="6">
        <v>1225</v>
      </c>
      <c r="N520" s="6">
        <v>272128</v>
      </c>
      <c r="O520" s="6">
        <v>272128</v>
      </c>
      <c r="P520" s="6">
        <v>175162</v>
      </c>
      <c r="Q520" s="6">
        <v>67329</v>
      </c>
      <c r="R520" s="6">
        <v>119</v>
      </c>
      <c r="S520" s="15"/>
      <c r="T520" s="15">
        <f>E520/G520</f>
        <v>0.10599569046672663</v>
      </c>
      <c r="U520" s="15">
        <f>D520/C520</f>
        <v>9.0757484512985515E-2</v>
      </c>
      <c r="V520" s="15">
        <f>(E520-F520)/O520</f>
        <v>0.18618811735653809</v>
      </c>
      <c r="W520" s="15">
        <f>H520/K520</f>
        <v>1.9554978194302681</v>
      </c>
      <c r="X520" s="15">
        <f>(H520-I520)/K520</f>
        <v>1.6429185611332777</v>
      </c>
      <c r="Y520" s="15">
        <f>(H520-K520)/G520</f>
        <v>0.32313340725089434</v>
      </c>
      <c r="Z520" s="15">
        <f>J520/N520</f>
        <v>0.75656308795860772</v>
      </c>
      <c r="AA520" s="15">
        <f>J520/G520</f>
        <v>0.43070647057592937</v>
      </c>
      <c r="AB520" s="15">
        <f>C520/G520</f>
        <v>1.490284722076944</v>
      </c>
      <c r="AC520" s="15">
        <f>C520/(G520-K520)</f>
        <v>2.2518088855873941</v>
      </c>
      <c r="AD520" s="15">
        <f>Q520/E520</f>
        <v>1.3288530996506602</v>
      </c>
      <c r="AE520" s="15">
        <f>Q520/J520</f>
        <v>0.32702713204651207</v>
      </c>
      <c r="AF520" s="15">
        <f>Q520/G520</f>
        <v>0.14085270182632162</v>
      </c>
      <c r="AG520" s="15">
        <f>Q520/K520</f>
        <v>0.41649809780087221</v>
      </c>
      <c r="AH520" s="15">
        <f>Q520/L520</f>
        <v>31.939753320683113</v>
      </c>
      <c r="AI520" s="6">
        <f>R520</f>
        <v>119</v>
      </c>
      <c r="AJ520" s="6">
        <f>P520</f>
        <v>175162</v>
      </c>
    </row>
    <row r="521" spans="1:36" x14ac:dyDescent="0.25">
      <c r="A521" t="s">
        <v>90</v>
      </c>
      <c r="B521">
        <v>2019</v>
      </c>
      <c r="C521" s="1">
        <v>909427</v>
      </c>
      <c r="D521" s="1">
        <v>64274</v>
      </c>
      <c r="E521" s="1">
        <v>42886</v>
      </c>
      <c r="G521" s="1">
        <v>557756</v>
      </c>
      <c r="H521" s="1">
        <v>404450</v>
      </c>
      <c r="I521" s="1">
        <v>108785</v>
      </c>
      <c r="J521" s="1">
        <v>244601</v>
      </c>
      <c r="K521" s="1">
        <v>211743</v>
      </c>
      <c r="L521" s="1">
        <f>35355+969</f>
        <v>36324</v>
      </c>
      <c r="M521" s="1">
        <v>256</v>
      </c>
      <c r="N521" s="1">
        <v>313155</v>
      </c>
      <c r="O521" s="1">
        <v>313155</v>
      </c>
      <c r="P521" s="1">
        <v>216189</v>
      </c>
      <c r="Q521" s="1">
        <v>-18056</v>
      </c>
      <c r="R521" s="1">
        <v>88</v>
      </c>
      <c r="T521">
        <f>E521/G521</f>
        <v>7.6890253085578647E-2</v>
      </c>
      <c r="U521">
        <f>D521/C521</f>
        <v>7.0675271352181102E-2</v>
      </c>
      <c r="V521">
        <f>(E521-F521)/O521</f>
        <v>0.13694815666363302</v>
      </c>
      <c r="W521">
        <f>H521/K521</f>
        <v>1.910098562880473</v>
      </c>
      <c r="X521">
        <f>(H521-I521)/K521</f>
        <v>1.3963389580765362</v>
      </c>
      <c r="Y521">
        <f>(H521-K521)/G521</f>
        <v>0.34550412725277718</v>
      </c>
      <c r="Z521">
        <f>J521/N521</f>
        <v>0.78108604365250434</v>
      </c>
      <c r="AA521">
        <f>J521/G521</f>
        <v>0.43854481170977988</v>
      </c>
      <c r="AB521">
        <f>C521/G521</f>
        <v>1.6305104741141287</v>
      </c>
      <c r="AC521">
        <f>C521/(G521-K521)</f>
        <v>2.6283029828359048</v>
      </c>
      <c r="AD521">
        <f>Q521/E521</f>
        <v>-0.42102317772699716</v>
      </c>
      <c r="AE521">
        <f>Q521/J521</f>
        <v>-7.3818177358228293E-2</v>
      </c>
      <c r="AF521">
        <f>Q521/G521</f>
        <v>-3.2372578690323367E-2</v>
      </c>
      <c r="AG521">
        <f>Q521/K521</f>
        <v>-8.5273184945901401E-2</v>
      </c>
      <c r="AH521">
        <f>Q521/L521</f>
        <v>-0.49708181918290939</v>
      </c>
      <c r="AI521" s="1">
        <f>R521</f>
        <v>88</v>
      </c>
      <c r="AJ521" s="1">
        <f>P521</f>
        <v>216189</v>
      </c>
    </row>
    <row r="522" spans="1:36" x14ac:dyDescent="0.25">
      <c r="A522" t="s">
        <v>90</v>
      </c>
      <c r="B522">
        <v>2020</v>
      </c>
      <c r="C522" s="1">
        <v>1034982</v>
      </c>
      <c r="D522" s="1">
        <v>15018</v>
      </c>
      <c r="E522" s="1">
        <v>-4653</v>
      </c>
      <c r="G522" s="1">
        <v>739777</v>
      </c>
      <c r="H522" s="1">
        <v>435367</v>
      </c>
      <c r="I522" s="1">
        <v>192756</v>
      </c>
      <c r="J522" s="1">
        <v>429253</v>
      </c>
      <c r="K522" s="1">
        <v>375643</v>
      </c>
      <c r="L522" s="1">
        <v>31998</v>
      </c>
      <c r="M522" s="1">
        <v>0</v>
      </c>
      <c r="N522" s="1">
        <v>310524</v>
      </c>
      <c r="O522" s="1">
        <v>310524</v>
      </c>
      <c r="P522" s="1">
        <v>213558</v>
      </c>
      <c r="Q522" s="1">
        <v>27094</v>
      </c>
      <c r="R522" s="1">
        <v>91</v>
      </c>
      <c r="T522">
        <f>E522/G522</f>
        <v>-6.2897332574546111E-3</v>
      </c>
      <c r="U522">
        <f>D522/C522</f>
        <v>1.4510397282271575E-2</v>
      </c>
      <c r="V522">
        <f>(E522-F522)/O522</f>
        <v>-1.4984349035823318E-2</v>
      </c>
      <c r="W522">
        <f>H522/K522</f>
        <v>1.1589913827756673</v>
      </c>
      <c r="X522">
        <f>(H522-I522)/K522</f>
        <v>0.64585524021477836</v>
      </c>
      <c r="Y522">
        <f>(H522-K522)/G522</f>
        <v>8.073243693707699E-2</v>
      </c>
      <c r="Z522">
        <f>J522/N522</f>
        <v>1.3823504785459417</v>
      </c>
      <c r="AA522">
        <f>J522/G522</f>
        <v>0.58024647968239074</v>
      </c>
      <c r="AB522">
        <f>C522/G522</f>
        <v>1.3990459287055423</v>
      </c>
      <c r="AC522">
        <f>C522/(G522-K522)</f>
        <v>2.8423107976733841</v>
      </c>
      <c r="AD522">
        <f>Q522/E522</f>
        <v>-5.8229099505695254</v>
      </c>
      <c r="AE522">
        <f>Q522/J522</f>
        <v>6.3118953158160809E-2</v>
      </c>
      <c r="AF522">
        <f>Q522/G522</f>
        <v>3.6624550371260528E-2</v>
      </c>
      <c r="AG522">
        <f>Q522/K522</f>
        <v>7.2126992916146451E-2</v>
      </c>
      <c r="AH522">
        <f>Q522/L522</f>
        <v>0.84674042127632976</v>
      </c>
      <c r="AI522" s="1">
        <f>R522</f>
        <v>91</v>
      </c>
      <c r="AJ522" s="1">
        <f>P522</f>
        <v>213558</v>
      </c>
    </row>
    <row r="523" spans="1:36" x14ac:dyDescent="0.25">
      <c r="A523" t="s">
        <v>90</v>
      </c>
      <c r="B523">
        <v>2021</v>
      </c>
      <c r="C523" s="1">
        <v>832531</v>
      </c>
      <c r="D523" s="1">
        <v>39030</v>
      </c>
      <c r="E523" s="1">
        <v>13192</v>
      </c>
      <c r="G523" s="1">
        <v>676404</v>
      </c>
      <c r="H523" s="1">
        <v>391706</v>
      </c>
      <c r="I523" s="1">
        <v>136944</v>
      </c>
      <c r="J523" s="1">
        <v>351388</v>
      </c>
      <c r="K523" s="1">
        <v>303901</v>
      </c>
      <c r="L523" s="1">
        <v>99946</v>
      </c>
      <c r="M523" s="1">
        <v>0</v>
      </c>
      <c r="N523" s="1">
        <v>325017</v>
      </c>
      <c r="O523" s="1">
        <v>325017</v>
      </c>
      <c r="P523" s="1">
        <v>228050</v>
      </c>
      <c r="Q523" s="1">
        <v>200072</v>
      </c>
      <c r="R523" s="1">
        <v>85</v>
      </c>
      <c r="T523">
        <f>E523/G523</f>
        <v>1.9503137178372688E-2</v>
      </c>
      <c r="U523">
        <f>D523/C523</f>
        <v>4.6881137158856549E-2</v>
      </c>
      <c r="V523">
        <f>(E523-F523)/O523</f>
        <v>4.0588646132356153E-2</v>
      </c>
      <c r="W523">
        <f>H523/K523</f>
        <v>1.2889263279818099</v>
      </c>
      <c r="X523">
        <f>(H523-I523)/K523</f>
        <v>0.83830589566997149</v>
      </c>
      <c r="Y523">
        <f>(H523-K523)/G523</f>
        <v>0.12981147361635945</v>
      </c>
      <c r="Z523">
        <f>J523/N523</f>
        <v>1.0811372943569106</v>
      </c>
      <c r="AA523">
        <f>J523/G523</f>
        <v>0.51949426673999566</v>
      </c>
      <c r="AB523">
        <f>C523/G523</f>
        <v>1.230819155415994</v>
      </c>
      <c r="AC523">
        <f>C523/(G523-K523)</f>
        <v>2.2349645506210689</v>
      </c>
      <c r="AD523">
        <f>Q523/E523</f>
        <v>15.166161309884778</v>
      </c>
      <c r="AE523">
        <f>Q523/J523</f>
        <v>0.56937630197957811</v>
      </c>
      <c r="AF523">
        <f>Q523/G523</f>
        <v>0.29578772449601126</v>
      </c>
      <c r="AG523">
        <f>Q523/K523</f>
        <v>0.65834597451143628</v>
      </c>
      <c r="AH523">
        <f>Q523/L523</f>
        <v>2.0018009725251638</v>
      </c>
      <c r="AI523" s="1">
        <f>R523</f>
        <v>85</v>
      </c>
      <c r="AJ523" s="1">
        <f>P523</f>
        <v>228050</v>
      </c>
    </row>
    <row r="524" spans="1:36" x14ac:dyDescent="0.25">
      <c r="A524" t="s">
        <v>90</v>
      </c>
      <c r="B524">
        <v>2022</v>
      </c>
      <c r="C524" s="1">
        <v>1054284</v>
      </c>
      <c r="D524" s="1">
        <v>56215</v>
      </c>
      <c r="E524" s="1">
        <v>-9542</v>
      </c>
      <c r="G524" s="1">
        <v>895028</v>
      </c>
      <c r="H524" s="1">
        <v>627098</v>
      </c>
      <c r="I524" s="1">
        <v>207627</v>
      </c>
      <c r="J524" s="1">
        <v>578252</v>
      </c>
      <c r="K524" s="1">
        <v>538351</v>
      </c>
      <c r="L524" s="1">
        <v>144348</v>
      </c>
      <c r="M524" s="1">
        <v>0</v>
      </c>
      <c r="N524" s="1">
        <v>316776</v>
      </c>
      <c r="O524" s="1">
        <v>316776</v>
      </c>
      <c r="P524" s="1">
        <v>219810</v>
      </c>
      <c r="Q524" s="1">
        <v>28294</v>
      </c>
      <c r="R524" s="1">
        <v>66.099999999999994</v>
      </c>
      <c r="T524">
        <f>E524/G524</f>
        <v>-1.0661118981752525E-2</v>
      </c>
      <c r="U524">
        <f>D524/C524</f>
        <v>5.3320547404684129E-2</v>
      </c>
      <c r="V524">
        <f>(E524-F524)/O524</f>
        <v>-3.0122231482182994E-2</v>
      </c>
      <c r="W524">
        <f>H524/K524</f>
        <v>1.1648496984309493</v>
      </c>
      <c r="X524">
        <f>(H524-I524)/K524</f>
        <v>0.77917752544343744</v>
      </c>
      <c r="Y524">
        <f>(H524-K524)/G524</f>
        <v>9.915555714458095E-2</v>
      </c>
      <c r="Z524">
        <f>J524/N524</f>
        <v>1.8254286940929869</v>
      </c>
      <c r="AA524">
        <f>J524/G524</f>
        <v>0.64607140782187822</v>
      </c>
      <c r="AB524">
        <f>C524/G524</f>
        <v>1.1779340981511193</v>
      </c>
      <c r="AC524">
        <f>C524/(G524-K524)</f>
        <v>2.9558508117989106</v>
      </c>
      <c r="AD524">
        <f>Q524/E524</f>
        <v>-2.9652064556696711</v>
      </c>
      <c r="AE524">
        <f>Q524/J524</f>
        <v>4.893022419291243E-2</v>
      </c>
      <c r="AF524">
        <f>Q524/G524</f>
        <v>3.161241882935506E-2</v>
      </c>
      <c r="AG524">
        <f>Q524/K524</f>
        <v>5.2556789158002867E-2</v>
      </c>
      <c r="AH524">
        <f>Q524/L524</f>
        <v>0.19601241444287418</v>
      </c>
      <c r="AI524" s="1">
        <f>R524</f>
        <v>66.099999999999994</v>
      </c>
      <c r="AJ524" s="1">
        <f>P524</f>
        <v>219810</v>
      </c>
    </row>
    <row r="525" spans="1:36" x14ac:dyDescent="0.25">
      <c r="A525" t="s">
        <v>90</v>
      </c>
      <c r="B525">
        <v>2023</v>
      </c>
      <c r="C525" s="1">
        <v>1407179</v>
      </c>
      <c r="D525" s="1">
        <v>179187</v>
      </c>
      <c r="E525" s="1">
        <v>84141</v>
      </c>
      <c r="G525" s="1">
        <v>629014</v>
      </c>
      <c r="H525" s="1">
        <v>385706</v>
      </c>
      <c r="I525" s="1">
        <v>127578</v>
      </c>
      <c r="J525" s="1">
        <v>231665</v>
      </c>
      <c r="K525" s="1">
        <v>193998</v>
      </c>
      <c r="L525" s="1">
        <v>19794</v>
      </c>
      <c r="M525" s="1">
        <v>0</v>
      </c>
      <c r="N525" s="1">
        <v>397349</v>
      </c>
      <c r="O525" s="1">
        <v>397349</v>
      </c>
      <c r="P525" s="1">
        <v>300383</v>
      </c>
      <c r="Q525" s="1">
        <v>45921</v>
      </c>
      <c r="R525" s="1">
        <v>67.099999999999994</v>
      </c>
      <c r="T525">
        <f>E525/G525</f>
        <v>0.13376649804296883</v>
      </c>
      <c r="U525">
        <f>D525/C525</f>
        <v>0.12733774452290716</v>
      </c>
      <c r="V525">
        <f>(E525-F525)/O525</f>
        <v>0.21175591230882676</v>
      </c>
      <c r="W525">
        <f>H525/K525</f>
        <v>1.9881957545954081</v>
      </c>
      <c r="X525">
        <f>(H525-I525)/K525</f>
        <v>1.3305704182517346</v>
      </c>
      <c r="Y525">
        <f>(H525-K525)/G525</f>
        <v>0.30477541040421996</v>
      </c>
      <c r="Z525">
        <f>J525/N525</f>
        <v>0.58302650818298274</v>
      </c>
      <c r="AA525">
        <f>J525/G525</f>
        <v>0.3682986388220294</v>
      </c>
      <c r="AB525">
        <f>C525/G525</f>
        <v>2.2371187286769452</v>
      </c>
      <c r="AC525">
        <f>C525/(G525-K525)</f>
        <v>3.2347752726336503</v>
      </c>
      <c r="AD525">
        <f>Q525/E525</f>
        <v>0.54576247013940882</v>
      </c>
      <c r="AE525">
        <f>Q525/J525</f>
        <v>0.19822156993935208</v>
      </c>
      <c r="AF525">
        <f>Q525/G525</f>
        <v>7.3004734393829068E-2</v>
      </c>
      <c r="AG525">
        <f>Q525/K525</f>
        <v>0.2367086258621223</v>
      </c>
      <c r="AH525">
        <f>Q525/L525</f>
        <v>2.3199454380115188</v>
      </c>
      <c r="AI525" s="1">
        <f>R525</f>
        <v>67.099999999999994</v>
      </c>
      <c r="AJ525" s="1">
        <f>P525</f>
        <v>300383</v>
      </c>
    </row>
    <row r="526" spans="1:36" s="8" customFormat="1" x14ac:dyDescent="0.25">
      <c r="A526" s="8" t="s">
        <v>90</v>
      </c>
      <c r="B526" s="8">
        <v>2024</v>
      </c>
      <c r="C526" s="9">
        <v>1401538</v>
      </c>
      <c r="D526" s="9">
        <v>155202</v>
      </c>
      <c r="E526" s="9">
        <v>90058</v>
      </c>
      <c r="F526" s="9"/>
      <c r="G526" s="9">
        <v>802478</v>
      </c>
      <c r="H526" s="9">
        <v>474482</v>
      </c>
      <c r="I526" s="9">
        <v>123768</v>
      </c>
      <c r="J526" s="9">
        <v>341186</v>
      </c>
      <c r="K526" s="9">
        <v>290512</v>
      </c>
      <c r="L526" s="9">
        <v>45000</v>
      </c>
      <c r="M526" s="9">
        <v>0</v>
      </c>
      <c r="N526" s="9">
        <v>461292</v>
      </c>
      <c r="O526" s="9">
        <v>461292</v>
      </c>
      <c r="P526" s="9">
        <v>364326</v>
      </c>
      <c r="Q526" s="9">
        <v>138583</v>
      </c>
      <c r="R526" s="9">
        <v>117.25</v>
      </c>
      <c r="T526" s="8">
        <f>E526/G526</f>
        <v>0.11222488342359542</v>
      </c>
      <c r="U526" s="8">
        <f>D526/C526</f>
        <v>0.11073691901325544</v>
      </c>
      <c r="V526" s="8">
        <f>(E526-F526)/O526</f>
        <v>0.19522991944364956</v>
      </c>
      <c r="W526" s="8">
        <f>H526/K526</f>
        <v>1.6332612766426171</v>
      </c>
      <c r="X526" s="8">
        <f>(H526-I526)/K526</f>
        <v>1.2072272401828497</v>
      </c>
      <c r="Y526" s="8">
        <f>(H526-K526)/G526</f>
        <v>0.2292523907197456</v>
      </c>
      <c r="Z526" s="8">
        <f>J526/N526</f>
        <v>0.7396312964456353</v>
      </c>
      <c r="AA526" s="8">
        <f>J526/G526</f>
        <v>0.42516554970977399</v>
      </c>
      <c r="AB526" s="8">
        <f>C526/G526</f>
        <v>1.746512676983045</v>
      </c>
      <c r="AC526" s="8">
        <f>C526/(G526-K526)</f>
        <v>2.737560697390061</v>
      </c>
      <c r="AD526" s="8">
        <f>Q526/E526</f>
        <v>1.5388194274800684</v>
      </c>
      <c r="AE526" s="8">
        <f>Q526/J526</f>
        <v>0.40618020669077864</v>
      </c>
      <c r="AF526" s="8">
        <f>Q526/G526</f>
        <v>0.17269383085891452</v>
      </c>
      <c r="AG526" s="8">
        <f>Q526/K526</f>
        <v>0.47703020873492319</v>
      </c>
      <c r="AH526" s="8">
        <f>Q526/L526</f>
        <v>3.079622222222222</v>
      </c>
      <c r="AI526" s="9">
        <f>R526</f>
        <v>117.25</v>
      </c>
      <c r="AJ526" s="9">
        <f>P526</f>
        <v>364326</v>
      </c>
    </row>
    <row r="527" spans="1:36" x14ac:dyDescent="0.25">
      <c r="A527" s="15" t="s">
        <v>88</v>
      </c>
      <c r="B527" s="15">
        <v>2018</v>
      </c>
      <c r="C527" s="6">
        <v>1560071</v>
      </c>
      <c r="D527" s="6">
        <v>30692</v>
      </c>
      <c r="E527" s="6">
        <v>217316</v>
      </c>
      <c r="F527" s="6"/>
      <c r="G527" s="6">
        <v>11619541</v>
      </c>
      <c r="H527" s="6">
        <v>2917301</v>
      </c>
      <c r="I527" s="6">
        <v>54235</v>
      </c>
      <c r="J527" s="6">
        <v>1039820</v>
      </c>
      <c r="K527" s="6">
        <v>576580</v>
      </c>
      <c r="L527" s="6">
        <v>0</v>
      </c>
      <c r="M527" s="6">
        <v>0</v>
      </c>
      <c r="N527" s="6">
        <v>10579721</v>
      </c>
      <c r="O527" s="6">
        <v>10579721</v>
      </c>
      <c r="P527" s="6">
        <v>-8303950</v>
      </c>
      <c r="Q527" s="6">
        <v>320074</v>
      </c>
      <c r="R527" s="6">
        <v>6.9</v>
      </c>
      <c r="S527" s="15"/>
      <c r="T527" s="15">
        <f>E527/G527</f>
        <v>1.8702632057496935E-2</v>
      </c>
      <c r="U527" s="15">
        <f>D527/C527</f>
        <v>1.9673463579542212E-2</v>
      </c>
      <c r="V527" s="15">
        <f>(E527-F527)/O527</f>
        <v>2.0540806321830227E-2</v>
      </c>
      <c r="W527" s="15">
        <f>H527/K527</f>
        <v>5.0596638801207119</v>
      </c>
      <c r="X527" s="15">
        <f>(H527-I527)/K527</f>
        <v>4.9656006104963755</v>
      </c>
      <c r="Y527" s="15">
        <f>(H527-K527)/G527</f>
        <v>0.20144694183703127</v>
      </c>
      <c r="Z527" s="15">
        <f>J527/N527</f>
        <v>9.8284255322044878E-2</v>
      </c>
      <c r="AA527" s="15">
        <f>J527/G527</f>
        <v>8.9488904940393091E-2</v>
      </c>
      <c r="AB527" s="15">
        <f>C527/G527</f>
        <v>0.13426270452507547</v>
      </c>
      <c r="AC527" s="15">
        <f>C527/(G527-K527)</f>
        <v>0.14127288867541957</v>
      </c>
      <c r="AD527" s="15">
        <f>Q527/E527</f>
        <v>1.4728505954462625</v>
      </c>
      <c r="AE527" s="15">
        <f>Q527/J527</f>
        <v>0.30781673751226174</v>
      </c>
      <c r="AF527" s="15">
        <f>Q527/G527</f>
        <v>2.7546182762296721E-2</v>
      </c>
      <c r="AG527" s="15">
        <f>Q527/K527</f>
        <v>0.55512504769502935</v>
      </c>
      <c r="AH527" s="15" t="e">
        <f>Q527/L527</f>
        <v>#DIV/0!</v>
      </c>
      <c r="AI527" s="6">
        <f>R527</f>
        <v>6.9</v>
      </c>
      <c r="AJ527" s="6">
        <f>P527</f>
        <v>-8303950</v>
      </c>
    </row>
    <row r="528" spans="1:36" x14ac:dyDescent="0.25">
      <c r="A528" t="s">
        <v>88</v>
      </c>
      <c r="B528">
        <v>2019</v>
      </c>
      <c r="C528" s="1">
        <v>1336913</v>
      </c>
      <c r="D528" s="1">
        <v>-182163</v>
      </c>
      <c r="E528" s="1">
        <v>84430</v>
      </c>
      <c r="G528" s="1">
        <v>11710573</v>
      </c>
      <c r="H528" s="1">
        <v>3207936</v>
      </c>
      <c r="I528" s="1">
        <v>59072</v>
      </c>
      <c r="J528" s="1">
        <v>1054653</v>
      </c>
      <c r="K528" s="1">
        <v>566398</v>
      </c>
      <c r="L528" s="1">
        <v>0</v>
      </c>
      <c r="M528" s="1">
        <v>0</v>
      </c>
      <c r="N528" s="1">
        <v>10655919</v>
      </c>
      <c r="O528" s="1">
        <v>10655919</v>
      </c>
      <c r="P528" s="1">
        <v>-8297856</v>
      </c>
      <c r="Q528" s="1">
        <v>46614</v>
      </c>
      <c r="R528" s="1">
        <v>9.1</v>
      </c>
      <c r="T528">
        <f>E528/G528</f>
        <v>7.2097240673022573E-3</v>
      </c>
      <c r="U528">
        <f>D528/C528</f>
        <v>-0.13625643553469821</v>
      </c>
      <c r="V528">
        <f>(E528-F528)/O528</f>
        <v>7.9232959634922152E-3</v>
      </c>
      <c r="W528">
        <f>H528/K528</f>
        <v>5.6637488126723614</v>
      </c>
      <c r="X528">
        <f>(H528-I528)/K528</f>
        <v>5.5594546590913101</v>
      </c>
      <c r="Y528">
        <f>(H528-K528)/G528</f>
        <v>0.22556863784547521</v>
      </c>
      <c r="Z528">
        <f>J528/N528</f>
        <v>9.8973443773362021E-2</v>
      </c>
      <c r="AA528">
        <f>J528/G528</f>
        <v>9.0059897154477417E-2</v>
      </c>
      <c r="AB528">
        <f>C528/G528</f>
        <v>0.11416290219103711</v>
      </c>
      <c r="AC528">
        <f>C528/(G528-K528)</f>
        <v>0.11996518360488775</v>
      </c>
      <c r="AD528">
        <f>Q528/E528</f>
        <v>0.55210233329385294</v>
      </c>
      <c r="AE528">
        <f>Q528/J528</f>
        <v>4.4198423557321696E-2</v>
      </c>
      <c r="AF528">
        <f>Q528/G528</f>
        <v>3.9805054799624236E-3</v>
      </c>
      <c r="AG528">
        <f>Q528/K528</f>
        <v>8.2299019417441444E-2</v>
      </c>
      <c r="AH528" t="e">
        <f>Q528/L528</f>
        <v>#DIV/0!</v>
      </c>
      <c r="AI528" s="1">
        <f>R528</f>
        <v>9.1</v>
      </c>
      <c r="AJ528" s="1">
        <f>P528</f>
        <v>-8297856</v>
      </c>
    </row>
    <row r="529" spans="1:36" x14ac:dyDescent="0.25">
      <c r="A529" t="s">
        <v>88</v>
      </c>
      <c r="B529">
        <v>2020</v>
      </c>
      <c r="C529" s="1">
        <v>569905</v>
      </c>
      <c r="D529" s="1">
        <v>-449922</v>
      </c>
      <c r="E529" s="1">
        <v>-576844</v>
      </c>
      <c r="G529" s="1">
        <v>10285985</v>
      </c>
      <c r="H529" s="1">
        <v>3115743</v>
      </c>
      <c r="I529" s="1">
        <v>39359</v>
      </c>
      <c r="J529" s="1">
        <v>1198310</v>
      </c>
      <c r="K529" s="1">
        <v>578955</v>
      </c>
      <c r="L529" s="1">
        <v>0</v>
      </c>
      <c r="M529" s="1">
        <v>0</v>
      </c>
      <c r="N529" s="1">
        <v>9087675</v>
      </c>
      <c r="O529" s="1">
        <v>9087675</v>
      </c>
      <c r="P529" s="1">
        <v>-8909838</v>
      </c>
      <c r="Q529" s="1">
        <v>-143302</v>
      </c>
      <c r="R529" s="1">
        <v>9.5</v>
      </c>
      <c r="T529">
        <f>E529/G529</f>
        <v>-5.6080579545857788E-2</v>
      </c>
      <c r="U529">
        <f>D529/C529</f>
        <v>-0.7894684201752924</v>
      </c>
      <c r="V529">
        <f>(E529-F529)/O529</f>
        <v>-6.3475421381156347E-2</v>
      </c>
      <c r="W529">
        <f>H529/K529</f>
        <v>5.3816669689354093</v>
      </c>
      <c r="X529">
        <f>(H529-I529)/K529</f>
        <v>5.3136841378000019</v>
      </c>
      <c r="Y529">
        <f>(H529-K529)/G529</f>
        <v>0.24662567561589871</v>
      </c>
      <c r="Z529">
        <f>J529/N529</f>
        <v>0.13186100955414889</v>
      </c>
      <c r="AA529">
        <f>J529/G529</f>
        <v>0.11649929491439079</v>
      </c>
      <c r="AB529">
        <f>C529/G529</f>
        <v>5.5405972301145683E-2</v>
      </c>
      <c r="AC529">
        <f>C529/(G529-K529)</f>
        <v>5.8710542771578951E-2</v>
      </c>
      <c r="AD529">
        <f>Q529/E529</f>
        <v>0.24842418400815472</v>
      </c>
      <c r="AE529">
        <f>Q529/J529</f>
        <v>-0.11958675134147258</v>
      </c>
      <c r="AF529">
        <f>Q529/G529</f>
        <v>-1.3931772212384133E-2</v>
      </c>
      <c r="AG529">
        <f>Q529/K529</f>
        <v>-0.24751837362143864</v>
      </c>
      <c r="AH529" t="e">
        <f>Q529/L529</f>
        <v>#DIV/0!</v>
      </c>
      <c r="AI529" s="1">
        <f>R529</f>
        <v>9.5</v>
      </c>
      <c r="AJ529" s="1">
        <f>P529</f>
        <v>-8909838</v>
      </c>
    </row>
    <row r="530" spans="1:36" x14ac:dyDescent="0.25">
      <c r="A530" t="s">
        <v>88</v>
      </c>
      <c r="B530">
        <v>2021</v>
      </c>
      <c r="C530" s="1">
        <v>554025</v>
      </c>
      <c r="D530" s="1">
        <v>-416529</v>
      </c>
      <c r="E530" s="1">
        <v>-342431</v>
      </c>
      <c r="G530" s="1">
        <v>9642424</v>
      </c>
      <c r="H530" s="1">
        <v>3112745</v>
      </c>
      <c r="I530" s="1">
        <v>41811</v>
      </c>
      <c r="J530" s="1">
        <v>1258907</v>
      </c>
      <c r="K530" s="1">
        <v>717293</v>
      </c>
      <c r="L530" s="1">
        <v>0</v>
      </c>
      <c r="M530" s="1">
        <v>0</v>
      </c>
      <c r="N530" s="1">
        <v>8383518</v>
      </c>
      <c r="O530" s="1">
        <v>8383518</v>
      </c>
      <c r="P530" s="1">
        <v>-9274078</v>
      </c>
      <c r="Q530" s="1">
        <v>-146625</v>
      </c>
      <c r="R530" s="1">
        <v>22.2</v>
      </c>
      <c r="T530">
        <f>E530/G530</f>
        <v>-3.5512958152431377E-2</v>
      </c>
      <c r="U530">
        <f>D530/C530</f>
        <v>-0.75182347366996072</v>
      </c>
      <c r="V530">
        <f>(E530-F530)/O530</f>
        <v>-4.0845740415897003E-2</v>
      </c>
      <c r="W530">
        <f>H530/K530</f>
        <v>4.3395725317269234</v>
      </c>
      <c r="X530">
        <f>(H530-I530)/K530</f>
        <v>4.2812825442322735</v>
      </c>
      <c r="Y530">
        <f>(H530-K530)/G530</f>
        <v>0.24842840348028669</v>
      </c>
      <c r="Z530">
        <f>J530/N530</f>
        <v>0.15016452520290408</v>
      </c>
      <c r="AA530">
        <f>J530/G530</f>
        <v>0.13055918304359981</v>
      </c>
      <c r="AB530">
        <f>C530/G530</f>
        <v>5.74570253289007E-2</v>
      </c>
      <c r="AC530">
        <f>C530/(G530-K530)</f>
        <v>6.2074719127371912E-2</v>
      </c>
      <c r="AD530">
        <f>Q530/E530</f>
        <v>0.42818845256416621</v>
      </c>
      <c r="AE530">
        <f>Q530/J530</f>
        <v>-0.11647008079230634</v>
      </c>
      <c r="AF530">
        <f>Q530/G530</f>
        <v>-1.5206238597265585E-2</v>
      </c>
      <c r="AG530">
        <f>Q530/K530</f>
        <v>-0.20441437460005885</v>
      </c>
      <c r="AH530" t="e">
        <f>Q530/L530</f>
        <v>#DIV/0!</v>
      </c>
      <c r="AI530" s="1">
        <f>R530</f>
        <v>22.2</v>
      </c>
      <c r="AJ530" s="1">
        <f>P530</f>
        <v>-9274078</v>
      </c>
    </row>
    <row r="531" spans="1:36" x14ac:dyDescent="0.25">
      <c r="A531" t="s">
        <v>88</v>
      </c>
      <c r="B531">
        <v>2022</v>
      </c>
      <c r="C531" s="1">
        <v>1183220</v>
      </c>
      <c r="D531" s="1">
        <v>-264757</v>
      </c>
      <c r="E531" s="1">
        <v>-117892</v>
      </c>
      <c r="G531" s="1">
        <v>10535309</v>
      </c>
      <c r="H531" s="1">
        <v>3287434</v>
      </c>
      <c r="I531" s="1">
        <v>74472</v>
      </c>
      <c r="J531" s="1">
        <v>2432044</v>
      </c>
      <c r="K531" s="1">
        <v>944976</v>
      </c>
      <c r="L531" s="1">
        <v>0</v>
      </c>
      <c r="M531" s="1">
        <v>0</v>
      </c>
      <c r="N531" s="1">
        <v>8103264</v>
      </c>
      <c r="O531" s="1">
        <v>8103264</v>
      </c>
      <c r="P531" s="1">
        <v>-9470358</v>
      </c>
      <c r="Q531" s="1">
        <v>76870</v>
      </c>
      <c r="R531" s="1">
        <v>12.5</v>
      </c>
      <c r="T531">
        <f>E531/G531</f>
        <v>-1.11901796140958E-2</v>
      </c>
      <c r="U531">
        <f>D531/C531</f>
        <v>-0.22375974036950017</v>
      </c>
      <c r="V531">
        <f>(E531-F531)/O531</f>
        <v>-1.4548705311834836E-2</v>
      </c>
      <c r="W531">
        <f>H531/K531</f>
        <v>3.4788544894261864</v>
      </c>
      <c r="X531">
        <f>(H531-I531)/K531</f>
        <v>3.4000461387379151</v>
      </c>
      <c r="Y531">
        <f>(H531-K531)/G531</f>
        <v>0.22234354967661604</v>
      </c>
      <c r="Z531">
        <f>J531/N531</f>
        <v>0.30013140383924303</v>
      </c>
      <c r="AA531">
        <f>J531/G531</f>
        <v>0.23084695474997458</v>
      </c>
      <c r="AB531">
        <f>C531/G531</f>
        <v>0.11230994743485929</v>
      </c>
      <c r="AC531">
        <f>C531/(G531-K531)</f>
        <v>0.1233763207179563</v>
      </c>
      <c r="AD531">
        <f>Q531/E531</f>
        <v>-0.65203745801241819</v>
      </c>
      <c r="AE531">
        <f>Q531/J531</f>
        <v>3.1607158423120632E-2</v>
      </c>
      <c r="AF531">
        <f>Q531/G531</f>
        <v>7.2964162702774072E-3</v>
      </c>
      <c r="AG531">
        <f>Q531/K531</f>
        <v>8.1345981273598489E-2</v>
      </c>
      <c r="AH531" t="e">
        <f>Q531/L531</f>
        <v>#DIV/0!</v>
      </c>
      <c r="AI531" s="1">
        <f>R531</f>
        <v>12.5</v>
      </c>
      <c r="AJ531" s="1">
        <f>P531</f>
        <v>-9470358</v>
      </c>
    </row>
    <row r="532" spans="1:36" x14ac:dyDescent="0.25">
      <c r="A532" t="s">
        <v>88</v>
      </c>
      <c r="B532">
        <v>2023</v>
      </c>
      <c r="C532" s="1">
        <v>1606029</v>
      </c>
      <c r="D532" s="1">
        <v>-261172</v>
      </c>
      <c r="E532" s="1">
        <v>153688</v>
      </c>
      <c r="G532" s="1">
        <v>11465274</v>
      </c>
      <c r="H532" s="1">
        <v>3407865</v>
      </c>
      <c r="I532" s="1">
        <v>82830</v>
      </c>
      <c r="J532" s="1">
        <v>2804131</v>
      </c>
      <c r="K532" s="1">
        <v>1053435</v>
      </c>
      <c r="L532" s="1">
        <v>0</v>
      </c>
      <c r="M532" s="1">
        <v>0</v>
      </c>
      <c r="N532" s="1">
        <v>8661143</v>
      </c>
      <c r="O532" s="1">
        <v>8661143</v>
      </c>
      <c r="P532" s="1">
        <v>-9426747</v>
      </c>
      <c r="Q532" s="1">
        <v>-35348</v>
      </c>
      <c r="R532" s="1">
        <v>16.100000000000001</v>
      </c>
      <c r="T532">
        <f>E532/G532</f>
        <v>1.3404651297474443E-2</v>
      </c>
      <c r="U532">
        <f>D532/C532</f>
        <v>-0.16261972853541251</v>
      </c>
      <c r="V532">
        <f>(E532-F532)/O532</f>
        <v>1.7744540183668597E-2</v>
      </c>
      <c r="W532">
        <f>H532/K532</f>
        <v>3.2350026342394167</v>
      </c>
      <c r="X532">
        <f>(H532-I532)/K532</f>
        <v>3.1563741474319724</v>
      </c>
      <c r="Y532">
        <f>(H532-K532)/G532</f>
        <v>0.20535313852944118</v>
      </c>
      <c r="Z532">
        <f>J532/N532</f>
        <v>0.32375992406544957</v>
      </c>
      <c r="AA532">
        <f>J532/G532</f>
        <v>0.24457601274945545</v>
      </c>
      <c r="AB532">
        <f>C532/G532</f>
        <v>0.14007768152771577</v>
      </c>
      <c r="AC532">
        <f>C532/(G532-K532)</f>
        <v>0.1542502722141593</v>
      </c>
      <c r="AD532">
        <f>Q532/E532</f>
        <v>-0.22999843839466971</v>
      </c>
      <c r="AE532">
        <f>Q532/J532</f>
        <v>-1.2605687822715842E-2</v>
      </c>
      <c r="AF532">
        <f>Q532/G532</f>
        <v>-3.0830488656442053E-3</v>
      </c>
      <c r="AG532">
        <f>Q532/K532</f>
        <v>-3.3554989154527808E-2</v>
      </c>
      <c r="AH532" t="e">
        <f>Q532/L532</f>
        <v>#DIV/0!</v>
      </c>
      <c r="AI532" s="1">
        <f>R532</f>
        <v>16.100000000000001</v>
      </c>
      <c r="AJ532" s="1">
        <f>P532</f>
        <v>-9426747</v>
      </c>
    </row>
    <row r="533" spans="1:36" s="8" customFormat="1" x14ac:dyDescent="0.25">
      <c r="A533" s="8" t="s">
        <v>88</v>
      </c>
      <c r="B533" s="8">
        <v>2024</v>
      </c>
      <c r="C533" s="9">
        <v>1060709</v>
      </c>
      <c r="D533" s="9">
        <v>-489055</v>
      </c>
      <c r="E533" s="9">
        <v>-126759</v>
      </c>
      <c r="F533" s="9"/>
      <c r="G533" s="9">
        <v>14396056</v>
      </c>
      <c r="H533" s="9">
        <v>4847339</v>
      </c>
      <c r="I533" s="9">
        <v>50749</v>
      </c>
      <c r="J533" s="9">
        <v>7144914</v>
      </c>
      <c r="K533" s="9">
        <v>3870635</v>
      </c>
      <c r="L533" s="9">
        <f>11524+M533</f>
        <v>2174911</v>
      </c>
      <c r="M533" s="9">
        <v>2163387</v>
      </c>
      <c r="N533" s="9">
        <v>7251142</v>
      </c>
      <c r="O533" s="9">
        <v>7251142</v>
      </c>
      <c r="P533" s="9">
        <v>-9636594</v>
      </c>
      <c r="Q533" s="9">
        <v>1208831</v>
      </c>
      <c r="R533" s="9">
        <v>18.7</v>
      </c>
      <c r="T533" s="8">
        <f>E533/G533</f>
        <v>-8.8051199578551235E-3</v>
      </c>
      <c r="U533" s="8">
        <f>D533/C533</f>
        <v>-0.46106425042118054</v>
      </c>
      <c r="V533" s="8">
        <f>(E533-F533)/O533</f>
        <v>-1.7481246402290838E-2</v>
      </c>
      <c r="W533" s="8">
        <f>H533/K533</f>
        <v>1.2523368904585424</v>
      </c>
      <c r="X533" s="8">
        <f>(H533-I533)/K533</f>
        <v>1.2392256051009718</v>
      </c>
      <c r="Y533" s="8">
        <f>(H533-K533)/G533</f>
        <v>6.7845248726456753E-2</v>
      </c>
      <c r="Z533" s="8">
        <f>J533/N533</f>
        <v>0.9853501696698258</v>
      </c>
      <c r="AA533" s="8">
        <f>J533/G533</f>
        <v>0.49631051726945213</v>
      </c>
      <c r="AB533" s="8">
        <f>C533/G533</f>
        <v>7.3680527500031956E-2</v>
      </c>
      <c r="AC533" s="8">
        <f>C533/(G533-K533)</f>
        <v>0.10077592145720347</v>
      </c>
      <c r="AD533" s="8">
        <f>Q533/E533</f>
        <v>-9.5364510606741923</v>
      </c>
      <c r="AE533" s="8">
        <f>Q533/J533</f>
        <v>0.1691876207327338</v>
      </c>
      <c r="AF533" s="8">
        <f>Q533/G533</f>
        <v>8.3969595561450991E-2</v>
      </c>
      <c r="AG533" s="8">
        <f>Q533/K533</f>
        <v>0.31230818715792114</v>
      </c>
      <c r="AH533" s="8">
        <f>Q533/L533</f>
        <v>0.55580711118753823</v>
      </c>
      <c r="AI533" s="9">
        <f>R533</f>
        <v>18.7</v>
      </c>
      <c r="AJ533" s="9">
        <f>P533</f>
        <v>-9636594</v>
      </c>
    </row>
    <row r="534" spans="1:36" x14ac:dyDescent="0.25">
      <c r="A534" t="s">
        <v>163</v>
      </c>
      <c r="B534">
        <v>2018</v>
      </c>
      <c r="C534" s="1">
        <v>6815727.2860000003</v>
      </c>
      <c r="D534" s="1">
        <v>868914.49100000004</v>
      </c>
      <c r="E534" s="1">
        <v>343881.69</v>
      </c>
      <c r="F534" s="1">
        <v>0</v>
      </c>
      <c r="G534" s="1">
        <v>9448593.7190000005</v>
      </c>
      <c r="H534" s="1">
        <v>3398158.3990000002</v>
      </c>
      <c r="I534" s="1">
        <v>1686376.7409999999</v>
      </c>
      <c r="J534" s="1">
        <v>5184321.6840000004</v>
      </c>
      <c r="K534" s="1">
        <v>2522949.9369999999</v>
      </c>
      <c r="L534" s="1">
        <v>3628684.5630000001</v>
      </c>
      <c r="M534" s="1">
        <v>1990750</v>
      </c>
      <c r="N534" s="1">
        <v>4264272.0360000003</v>
      </c>
      <c r="O534" s="1">
        <v>4264272.0360000003</v>
      </c>
      <c r="P534" s="1">
        <v>2632841.074</v>
      </c>
      <c r="Q534" s="1">
        <v>552424.27800000005</v>
      </c>
      <c r="R534" s="1">
        <v>5.8</v>
      </c>
      <c r="T534">
        <f>E534/G534</f>
        <v>3.6395012869321994E-2</v>
      </c>
      <c r="U534">
        <f>D534/C534</f>
        <v>0.12748668697246934</v>
      </c>
      <c r="V534">
        <f>(E534-F534)/O534</f>
        <v>8.0642531033871395E-2</v>
      </c>
      <c r="W534">
        <f>H534/K534</f>
        <v>1.3468988619887943</v>
      </c>
      <c r="X534">
        <f>(H534-I534)/K534</f>
        <v>0.67848419538417515</v>
      </c>
      <c r="Y534">
        <f>(H534-K534)/G534</f>
        <v>9.2628436360858643E-2</v>
      </c>
      <c r="Z534">
        <f>J534/N534</f>
        <v>1.2157577284546393</v>
      </c>
      <c r="AA534">
        <f>J534/G534</f>
        <v>0.54868712087545313</v>
      </c>
      <c r="AB534">
        <f>C534/G534</f>
        <v>0.72134832851309727</v>
      </c>
      <c r="AC534">
        <f>C534/(G534-K534)</f>
        <v>0.9841290572458149</v>
      </c>
      <c r="AD534">
        <f>Q534/E534</f>
        <v>1.60643702198858</v>
      </c>
      <c r="AE534">
        <f>Q534/J534</f>
        <v>0.10655671304211455</v>
      </c>
      <c r="AF534">
        <f>Q534/G534</f>
        <v>5.8466296089029673E-2</v>
      </c>
      <c r="AG534">
        <f>Q534/K534</f>
        <v>0.21895966697495356</v>
      </c>
      <c r="AH534">
        <f>Q534/L534</f>
        <v>0.15223816465967094</v>
      </c>
      <c r="AI534" s="1">
        <f>R534</f>
        <v>5.8</v>
      </c>
      <c r="AJ534" s="1">
        <f>P534</f>
        <v>2632841.074</v>
      </c>
    </row>
    <row r="535" spans="1:36" x14ac:dyDescent="0.25">
      <c r="A535" t="s">
        <v>163</v>
      </c>
      <c r="B535">
        <v>2019</v>
      </c>
      <c r="C535" s="1">
        <v>7398270.4419999998</v>
      </c>
      <c r="D535" s="1">
        <v>845758.06700000004</v>
      </c>
      <c r="E535" s="1">
        <v>346369.58</v>
      </c>
      <c r="F535" s="1">
        <v>0</v>
      </c>
      <c r="G535" s="1">
        <v>10169992.054</v>
      </c>
      <c r="H535" s="1">
        <v>4152326.4240000001</v>
      </c>
      <c r="I535" s="1">
        <v>2261390.2489999998</v>
      </c>
      <c r="J535" s="1">
        <v>5724463.1370000001</v>
      </c>
      <c r="K535" s="1">
        <v>2946013.9840000002</v>
      </c>
      <c r="L535" s="1">
        <v>3594156.09</v>
      </c>
      <c r="M535" s="1">
        <v>1938729.5830000001</v>
      </c>
      <c r="N535" s="1">
        <v>4445528.9170000004</v>
      </c>
      <c r="O535" s="1">
        <v>4445528.9170000004</v>
      </c>
      <c r="P535" s="1">
        <v>2816985.7480000001</v>
      </c>
      <c r="Q535" s="1">
        <v>926576.16799999995</v>
      </c>
      <c r="R535" s="1">
        <v>3.5</v>
      </c>
      <c r="T535">
        <f>E535/G535</f>
        <v>3.4057999078157396E-2</v>
      </c>
      <c r="U535">
        <f>D535/C535</f>
        <v>0.11431834962380252</v>
      </c>
      <c r="V535">
        <f>(E535-F535)/O535</f>
        <v>7.7914143956067758E-2</v>
      </c>
      <c r="W535">
        <f>H535/K535</f>
        <v>1.4094727474314663</v>
      </c>
      <c r="X535">
        <f>(H535-I535)/K535</f>
        <v>0.64186259307314952</v>
      </c>
      <c r="Y535">
        <f>(H535-K535)/G535</f>
        <v>0.11861488520293784</v>
      </c>
      <c r="Z535">
        <f>J535/N535</f>
        <v>1.2876900013200385</v>
      </c>
      <c r="AA535">
        <f>J535/G535</f>
        <v>0.56287783772146494</v>
      </c>
      <c r="AB535">
        <f>C535/G535</f>
        <v>0.72746078883022891</v>
      </c>
      <c r="AC535">
        <f>C535/(G535-K535)</f>
        <v>1.0241269242944975</v>
      </c>
      <c r="AD535">
        <f>Q535/E535</f>
        <v>2.6751083856728988</v>
      </c>
      <c r="AE535">
        <f>Q535/J535</f>
        <v>0.16186254428141666</v>
      </c>
      <c r="AF535">
        <f>Q535/G535</f>
        <v>9.1108838933218694E-2</v>
      </c>
      <c r="AG535">
        <f>Q535/K535</f>
        <v>0.31451859123286491</v>
      </c>
      <c r="AH535">
        <f>Q535/L535</f>
        <v>0.25780075900932836</v>
      </c>
      <c r="AI535" s="1">
        <f>R535</f>
        <v>3.5</v>
      </c>
      <c r="AJ535" s="1">
        <f>P535</f>
        <v>2816985.7480000001</v>
      </c>
    </row>
    <row r="536" spans="1:36" x14ac:dyDescent="0.25">
      <c r="A536" t="s">
        <v>163</v>
      </c>
      <c r="B536">
        <v>2020</v>
      </c>
      <c r="C536" s="1">
        <v>7531179.0300000003</v>
      </c>
      <c r="D536" s="1">
        <v>865970.11300000001</v>
      </c>
      <c r="E536" s="1">
        <v>388988.37800000003</v>
      </c>
      <c r="F536" s="1">
        <v>0</v>
      </c>
      <c r="G536" s="1">
        <v>10156574.363</v>
      </c>
      <c r="H536" s="1">
        <v>3559847.94</v>
      </c>
      <c r="I536" s="1">
        <v>2085562.6270000001</v>
      </c>
      <c r="J536" s="1">
        <v>5486372.1979999999</v>
      </c>
      <c r="K536" s="1">
        <v>2864877.9810000001</v>
      </c>
      <c r="L536" s="1">
        <v>3467999.548</v>
      </c>
      <c r="M536" s="1">
        <v>1638916.669</v>
      </c>
      <c r="N536" s="1">
        <v>4670202.165</v>
      </c>
      <c r="O536" s="1">
        <v>4670202.165</v>
      </c>
      <c r="P536" s="1">
        <v>3041997.9980000001</v>
      </c>
      <c r="Q536" s="1">
        <v>1249908.7169999999</v>
      </c>
      <c r="R536" s="1">
        <v>3.3</v>
      </c>
      <c r="T536">
        <f>E536/G536</f>
        <v>3.8299170970191421E-2</v>
      </c>
      <c r="U536">
        <f>D536/C536</f>
        <v>0.11498466701567708</v>
      </c>
      <c r="V536">
        <f>(E536-F536)/O536</f>
        <v>8.3291550184958651E-2</v>
      </c>
      <c r="W536">
        <f>H536/K536</f>
        <v>1.2425827430030429</v>
      </c>
      <c r="X536">
        <f>(H536-I536)/K536</f>
        <v>0.5146066683389402</v>
      </c>
      <c r="Y536">
        <f>(H536-K536)/G536</f>
        <v>6.8425626019314928E-2</v>
      </c>
      <c r="Z536">
        <f>J536/N536</f>
        <v>1.1747611782454817</v>
      </c>
      <c r="AA536">
        <f>J536/G536</f>
        <v>0.54017939532709347</v>
      </c>
      <c r="AB536">
        <f>C536/G536</f>
        <v>0.74150779198110228</v>
      </c>
      <c r="AC536">
        <f>C536/(G536-K536)</f>
        <v>1.0328432007387442</v>
      </c>
      <c r="AD536">
        <f>Q536/E536</f>
        <v>3.2132289489636112</v>
      </c>
      <c r="AE536">
        <f>Q536/J536</f>
        <v>0.22782062023711064</v>
      </c>
      <c r="AF536">
        <f>Q536/G536</f>
        <v>0.12306400488272583</v>
      </c>
      <c r="AG536">
        <f>Q536/K536</f>
        <v>0.43628689434225504</v>
      </c>
      <c r="AH536">
        <f>Q536/L536</f>
        <v>0.36041201842740261</v>
      </c>
      <c r="AI536" s="1">
        <f>R536</f>
        <v>3.3</v>
      </c>
      <c r="AJ536" s="1">
        <f>P536</f>
        <v>3041997.9980000001</v>
      </c>
    </row>
    <row r="537" spans="1:36" x14ac:dyDescent="0.25">
      <c r="A537" t="s">
        <v>163</v>
      </c>
      <c r="B537">
        <v>2021</v>
      </c>
      <c r="C537" s="1">
        <v>8531801.6960000005</v>
      </c>
      <c r="D537" s="1">
        <v>1459573.6029999999</v>
      </c>
      <c r="E537" s="1">
        <v>1095781.267</v>
      </c>
      <c r="F537" s="1">
        <v>0</v>
      </c>
      <c r="G537" s="1">
        <v>9868684.9499999993</v>
      </c>
      <c r="H537" s="1">
        <v>3685701.0789999999</v>
      </c>
      <c r="I537" s="1">
        <v>1860154.496</v>
      </c>
      <c r="J537" s="1">
        <v>4300061.4790000003</v>
      </c>
      <c r="K537" s="1">
        <v>2506565.233</v>
      </c>
      <c r="L537" s="1">
        <v>2287706.378</v>
      </c>
      <c r="M537" s="1">
        <v>923166.71</v>
      </c>
      <c r="N537" s="1">
        <v>5568623.4709999999</v>
      </c>
      <c r="O537" s="1">
        <v>5568623.4709999999</v>
      </c>
      <c r="P537" s="1">
        <v>3940466.8480000002</v>
      </c>
      <c r="Q537" s="1">
        <v>1576242.797</v>
      </c>
      <c r="R537" s="1">
        <v>11.1</v>
      </c>
      <c r="T537">
        <f>E537/G537</f>
        <v>0.11103619910371139</v>
      </c>
      <c r="U537">
        <f>D537/C537</f>
        <v>0.17107448754748927</v>
      </c>
      <c r="V537">
        <f>(E537-F537)/O537</f>
        <v>0.19677776253082205</v>
      </c>
      <c r="W537">
        <f>H537/K537</f>
        <v>1.47041897433036</v>
      </c>
      <c r="X537">
        <f>(H537-I537)/K537</f>
        <v>0.72830603367744062</v>
      </c>
      <c r="Y537">
        <f>(H537-K537)/G537</f>
        <v>0.11948257057289077</v>
      </c>
      <c r="Z537">
        <f>J537/N537</f>
        <v>0.77219469073347236</v>
      </c>
      <c r="AA537">
        <f>J537/G537</f>
        <v>0.43572791114382475</v>
      </c>
      <c r="AB537">
        <f>C537/G537</f>
        <v>0.86453278620471119</v>
      </c>
      <c r="AC537">
        <f>C537/(G537-K537)</f>
        <v>1.1588784241444849</v>
      </c>
      <c r="AD537">
        <f>Q537/E537</f>
        <v>1.4384648145294494</v>
      </c>
      <c r="AE537">
        <f>Q537/J537</f>
        <v>0.36656285141452505</v>
      </c>
      <c r="AF537">
        <f>Q537/G537</f>
        <v>0.15972166554977521</v>
      </c>
      <c r="AG537">
        <f>Q537/K537</f>
        <v>0.62884571135356526</v>
      </c>
      <c r="AH537">
        <f>Q537/L537</f>
        <v>0.68900572737748433</v>
      </c>
      <c r="AI537" s="1">
        <f>R537</f>
        <v>11.1</v>
      </c>
      <c r="AJ537" s="1">
        <f>P537</f>
        <v>3940466.8480000002</v>
      </c>
    </row>
    <row r="538" spans="1:36" x14ac:dyDescent="0.25">
      <c r="A538" t="s">
        <v>163</v>
      </c>
      <c r="B538">
        <v>2022</v>
      </c>
      <c r="C538" s="1">
        <v>10229011.494000001</v>
      </c>
      <c r="D538" s="1">
        <v>2494742.2590000001</v>
      </c>
      <c r="E538" s="1">
        <v>1914544.148</v>
      </c>
      <c r="F538" s="1">
        <v>0</v>
      </c>
      <c r="G538" s="1">
        <v>11040613.948000001</v>
      </c>
      <c r="H538" s="1">
        <v>5309270.2889999999</v>
      </c>
      <c r="I538" s="1">
        <v>2355546.6469999999</v>
      </c>
      <c r="J538" s="1">
        <v>4510395.4529999997</v>
      </c>
      <c r="K538" s="1">
        <v>3511750.2</v>
      </c>
      <c r="L538" s="1">
        <v>1426369.0959999999</v>
      </c>
      <c r="M538" s="1">
        <v>165166.75</v>
      </c>
      <c r="N538" s="1">
        <v>6530218.4950000001</v>
      </c>
      <c r="O538" s="1">
        <v>6530218.4950000001</v>
      </c>
      <c r="P538" s="1">
        <v>4897536.9289999995</v>
      </c>
      <c r="Q538" s="1">
        <v>2192571.7629999998</v>
      </c>
      <c r="R538" s="1">
        <v>11.4</v>
      </c>
      <c r="T538">
        <f>E538/G538</f>
        <v>0.17340921048569208</v>
      </c>
      <c r="U538">
        <f>D538/C538</f>
        <v>0.24388888999326408</v>
      </c>
      <c r="V538">
        <f>(E538-F538)/O538</f>
        <v>0.29318224948612537</v>
      </c>
      <c r="W538">
        <f>H538/K538</f>
        <v>1.5118587560698364</v>
      </c>
      <c r="X538">
        <f>(H538-I538)/K538</f>
        <v>0.84109730868670551</v>
      </c>
      <c r="Y538">
        <f>(H538-K538)/G538</f>
        <v>0.16280979458806447</v>
      </c>
      <c r="Z538">
        <f>J538/N538</f>
        <v>0.69069594783903165</v>
      </c>
      <c r="AA538">
        <f>J538/G538</f>
        <v>0.40852759404897537</v>
      </c>
      <c r="AB538">
        <f>C538/G538</f>
        <v>0.92648937298029321</v>
      </c>
      <c r="AC538">
        <f>C538/(G538-K538)</f>
        <v>1.3586394755406856</v>
      </c>
      <c r="AD538">
        <f>Q538/E538</f>
        <v>1.1452187014284507</v>
      </c>
      <c r="AE538">
        <f>Q538/J538</f>
        <v>0.48611519452061669</v>
      </c>
      <c r="AF538">
        <f>Q538/G538</f>
        <v>0.19859147084815718</v>
      </c>
      <c r="AG538">
        <f>Q538/K538</f>
        <v>0.62435299726045423</v>
      </c>
      <c r="AH538">
        <f>Q538/L538</f>
        <v>1.5371699857692374</v>
      </c>
      <c r="AI538" s="1">
        <f>R538</f>
        <v>11.4</v>
      </c>
      <c r="AJ538" s="1">
        <f>P538</f>
        <v>4897536.9289999995</v>
      </c>
    </row>
    <row r="539" spans="1:36" x14ac:dyDescent="0.25">
      <c r="A539" t="s">
        <v>163</v>
      </c>
      <c r="B539">
        <v>2023</v>
      </c>
      <c r="C539" s="1">
        <v>20067308.285999998</v>
      </c>
      <c r="D539" s="1">
        <v>4289802.4009999996</v>
      </c>
      <c r="E539" s="1">
        <v>3180300.145</v>
      </c>
      <c r="F539" s="1">
        <v>0</v>
      </c>
      <c r="G539" s="1">
        <v>12975269.545</v>
      </c>
      <c r="H539" s="1">
        <v>7653802.4119999995</v>
      </c>
      <c r="I539" s="1">
        <v>4289898.3930000002</v>
      </c>
      <c r="J539" s="1">
        <v>3266148.7030000002</v>
      </c>
      <c r="K539" s="1">
        <v>2463875.1669999999</v>
      </c>
      <c r="L539" s="1">
        <v>623015.53399999999</v>
      </c>
      <c r="M539" s="1">
        <v>0</v>
      </c>
      <c r="N539" s="1">
        <v>9709120.8420000002</v>
      </c>
      <c r="O539" s="1">
        <v>9709120.8420000002</v>
      </c>
      <c r="P539" s="1">
        <v>8080038.4529999997</v>
      </c>
      <c r="Q539" s="1">
        <v>1256698.352</v>
      </c>
      <c r="R539" s="1">
        <v>19.2</v>
      </c>
      <c r="T539">
        <f>E539/G539</f>
        <v>0.24510474591454817</v>
      </c>
      <c r="U539">
        <f>D539/C539</f>
        <v>0.2137706931025119</v>
      </c>
      <c r="V539">
        <f>(E539-F539)/O539</f>
        <v>0.32755799384456769</v>
      </c>
      <c r="W539">
        <f>H539/K539</f>
        <v>3.1064083580659752</v>
      </c>
      <c r="X539">
        <f>(H539-I539)/K539</f>
        <v>1.3652899562666843</v>
      </c>
      <c r="Y539">
        <f>(H539-K539)/G539</f>
        <v>0.39998608329488844</v>
      </c>
      <c r="Z539">
        <f>J539/N539</f>
        <v>0.33640004652853822</v>
      </c>
      <c r="AA539">
        <f>J539/G539</f>
        <v>0.25172106765663343</v>
      </c>
      <c r="AB539">
        <f>C539/G539</f>
        <v>1.5465812264172119</v>
      </c>
      <c r="AC539">
        <f>C539/(G539-K539)</f>
        <v>1.9091005022131229</v>
      </c>
      <c r="AD539">
        <f>Q539/E539</f>
        <v>0.39515086460495064</v>
      </c>
      <c r="AE539">
        <f>Q539/J539</f>
        <v>0.38476458553332432</v>
      </c>
      <c r="AF539">
        <f>Q539/G539</f>
        <v>9.6853352266910456E-2</v>
      </c>
      <c r="AG539">
        <f>Q539/K539</f>
        <v>0.51004952232630707</v>
      </c>
      <c r="AH539">
        <f>Q539/L539</f>
        <v>2.0171220193042569</v>
      </c>
      <c r="AI539" s="1">
        <f>R539</f>
        <v>19.2</v>
      </c>
      <c r="AJ539" s="1">
        <f>P539</f>
        <v>8080038.4529999997</v>
      </c>
    </row>
    <row r="540" spans="1:36" s="8" customFormat="1" x14ac:dyDescent="0.25">
      <c r="A540" s="8" t="s">
        <v>163</v>
      </c>
      <c r="B540" s="8">
        <v>2024</v>
      </c>
      <c r="C540" s="9">
        <v>17823509.673999999</v>
      </c>
      <c r="D540" s="9">
        <v>3934950.736</v>
      </c>
      <c r="E540" s="9">
        <v>2938829.5460000001</v>
      </c>
      <c r="F540" s="9">
        <v>0</v>
      </c>
      <c r="G540" s="9">
        <v>14255155.127</v>
      </c>
      <c r="H540" s="9">
        <v>9133629.2949999999</v>
      </c>
      <c r="I540" s="9">
        <v>4807414.7920000004</v>
      </c>
      <c r="J540" s="9">
        <v>3186763.3870000001</v>
      </c>
      <c r="K540" s="9">
        <v>2302239.7239999999</v>
      </c>
      <c r="L540" s="9">
        <v>0</v>
      </c>
      <c r="M540" s="9">
        <v>0</v>
      </c>
      <c r="N540" s="9">
        <v>11068391.74</v>
      </c>
      <c r="O540" s="9">
        <v>11068391.74</v>
      </c>
      <c r="P540" s="9">
        <v>9437966.0620000008</v>
      </c>
      <c r="Q540" s="9">
        <v>2573005.91</v>
      </c>
      <c r="R540" s="9">
        <v>29.5</v>
      </c>
      <c r="T540" s="8">
        <f>E540/G540</f>
        <v>0.20615907156518451</v>
      </c>
      <c r="U540" s="8">
        <f>D540/C540</f>
        <v>0.22077305805489589</v>
      </c>
      <c r="V540" s="8">
        <f>(E540-F540)/O540</f>
        <v>0.2655154980989135</v>
      </c>
      <c r="W540" s="8">
        <f>H540/K540</f>
        <v>3.9672798622077812</v>
      </c>
      <c r="X540" s="8">
        <f>(H540-I540)/K540</f>
        <v>1.8791329408057766</v>
      </c>
      <c r="Y540" s="8">
        <f>(H540-K540)/G540</f>
        <v>0.47922239429446795</v>
      </c>
      <c r="Z540" s="8">
        <f>J540/N540</f>
        <v>0.28791566668926016</v>
      </c>
      <c r="AA540" s="8">
        <f>J540/G540</f>
        <v>0.22355164560532251</v>
      </c>
      <c r="AB540" s="8">
        <f>C540/G540</f>
        <v>1.2503202887102471</v>
      </c>
      <c r="AC540" s="8">
        <f>C540/(G540-K540)</f>
        <v>1.4911432962644886</v>
      </c>
      <c r="AD540" s="8">
        <f>Q540/E540</f>
        <v>0.87552063490789478</v>
      </c>
      <c r="AE540" s="8">
        <f>Q540/J540</f>
        <v>0.80740412686309049</v>
      </c>
      <c r="AF540" s="8">
        <f>Q540/G540</f>
        <v>0.18049652122877247</v>
      </c>
      <c r="AG540" s="8">
        <f>Q540/K540</f>
        <v>1.1176099009922218</v>
      </c>
      <c r="AH540" s="8" t="e">
        <f>Q540/L540</f>
        <v>#DIV/0!</v>
      </c>
      <c r="AI540" s="9">
        <f>R540</f>
        <v>29.5</v>
      </c>
      <c r="AJ540" s="9">
        <f>P540</f>
        <v>9437966.0620000008</v>
      </c>
    </row>
    <row r="541" spans="1:36" x14ac:dyDescent="0.25">
      <c r="A541" t="s">
        <v>57</v>
      </c>
      <c r="B541">
        <v>2018</v>
      </c>
      <c r="C541" s="1">
        <v>17085577</v>
      </c>
      <c r="D541" s="1">
        <v>1325734</v>
      </c>
      <c r="E541" s="1">
        <v>1210910</v>
      </c>
      <c r="G541" s="1">
        <v>11571169</v>
      </c>
      <c r="H541" s="1">
        <v>8145822</v>
      </c>
      <c r="I541" s="1">
        <v>4245805</v>
      </c>
      <c r="J541" s="1">
        <v>3535142</v>
      </c>
      <c r="K541" s="1">
        <v>3054895</v>
      </c>
      <c r="L541" s="1">
        <v>0</v>
      </c>
      <c r="M541" s="1">
        <v>0</v>
      </c>
      <c r="N541" s="1">
        <v>6479396</v>
      </c>
      <c r="O541" s="1">
        <v>8036027</v>
      </c>
      <c r="P541" s="1">
        <v>5461400</v>
      </c>
      <c r="Q541" s="1">
        <v>1152316</v>
      </c>
      <c r="R541" s="1">
        <v>59.5</v>
      </c>
      <c r="T541">
        <f>E541/G541</f>
        <v>0.10464889070412851</v>
      </c>
      <c r="U541">
        <f>D541/C541</f>
        <v>7.7593750565169678E-2</v>
      </c>
      <c r="V541">
        <f>(E541-F541)/O541</f>
        <v>0.1506851582255759</v>
      </c>
      <c r="W541">
        <f>H541/K541</f>
        <v>2.6664818267076282</v>
      </c>
      <c r="X541">
        <f>(H541-I541)/K541</f>
        <v>1.276645187477802</v>
      </c>
      <c r="Y541">
        <f>(H541-K541)/G541</f>
        <v>0.43996652369350064</v>
      </c>
      <c r="Z541">
        <f>J541/N541</f>
        <v>0.54559746001016141</v>
      </c>
      <c r="AA541">
        <f>J541/G541</f>
        <v>0.3055129520621469</v>
      </c>
      <c r="AB541">
        <f>C541/G541</f>
        <v>1.4765644681189947</v>
      </c>
      <c r="AC541">
        <f>C541/(G541-K541)</f>
        <v>2.0062267841546668</v>
      </c>
      <c r="AD541">
        <f>Q541/E541</f>
        <v>0.95161159788919081</v>
      </c>
      <c r="AE541">
        <f>Q541/J541</f>
        <v>0.32596031503119255</v>
      </c>
      <c r="AF541">
        <f>Q541/G541</f>
        <v>9.9585098100287012E-2</v>
      </c>
      <c r="AG541">
        <f>Q541/K541</f>
        <v>0.37720314446159359</v>
      </c>
      <c r="AH541" t="e">
        <f>Q541/L541</f>
        <v>#DIV/0!</v>
      </c>
      <c r="AI541" s="1">
        <f>R541</f>
        <v>59.5</v>
      </c>
      <c r="AJ541" s="1">
        <f>P541</f>
        <v>5461400</v>
      </c>
    </row>
    <row r="542" spans="1:36" x14ac:dyDescent="0.25">
      <c r="A542" t="s">
        <v>57</v>
      </c>
      <c r="B542">
        <v>2019</v>
      </c>
      <c r="C542" s="1">
        <v>17713305</v>
      </c>
      <c r="D542" s="1">
        <v>1225766</v>
      </c>
      <c r="E542" s="1">
        <v>1229853</v>
      </c>
      <c r="G542" s="1">
        <v>12631520</v>
      </c>
      <c r="H542" s="1">
        <v>8307857</v>
      </c>
      <c r="I542" s="1">
        <v>3169067</v>
      </c>
      <c r="J542" s="1">
        <v>3592088</v>
      </c>
      <c r="K542" s="1">
        <v>2648383</v>
      </c>
      <c r="L542" s="1">
        <v>0</v>
      </c>
      <c r="M542" s="1">
        <v>0</v>
      </c>
      <c r="N542" s="1">
        <v>7196631</v>
      </c>
      <c r="O542" s="1">
        <v>9039432</v>
      </c>
      <c r="P542" s="1">
        <v>6178635</v>
      </c>
      <c r="Q542" s="1">
        <v>2597296</v>
      </c>
      <c r="R542" s="1">
        <v>68.5</v>
      </c>
      <c r="T542">
        <f>E542/G542</f>
        <v>9.7363816864478703E-2</v>
      </c>
      <c r="U542">
        <f>D542/C542</f>
        <v>6.9200298871385096E-2</v>
      </c>
      <c r="V542">
        <f>(E542-F542)/O542</f>
        <v>0.13605423438109829</v>
      </c>
      <c r="W542">
        <f>H542/K542</f>
        <v>3.1369545114887085</v>
      </c>
      <c r="X542">
        <f>(H542-I542)/K542</f>
        <v>1.9403500173502095</v>
      </c>
      <c r="Y542">
        <f>(H542-K542)/G542</f>
        <v>0.44804378253765187</v>
      </c>
      <c r="Z542">
        <f>J542/N542</f>
        <v>0.49913466453956024</v>
      </c>
      <c r="AA542">
        <f>J542/G542</f>
        <v>0.28437496041648197</v>
      </c>
      <c r="AB542">
        <f>C542/G542</f>
        <v>1.4023098566126642</v>
      </c>
      <c r="AC542">
        <f>C542/(G542-K542)</f>
        <v>1.7743225400993696</v>
      </c>
      <c r="AD542">
        <f>Q542/E542</f>
        <v>2.1118751590637257</v>
      </c>
      <c r="AE542">
        <f>Q542/J542</f>
        <v>0.72306023683161436</v>
      </c>
      <c r="AF542">
        <f>Q542/G542</f>
        <v>0.20562022622772239</v>
      </c>
      <c r="AG542">
        <f>Q542/K542</f>
        <v>0.98071011632380967</v>
      </c>
      <c r="AH542" t="e">
        <f>Q542/L542</f>
        <v>#DIV/0!</v>
      </c>
      <c r="AI542" s="1">
        <f>R542</f>
        <v>68.5</v>
      </c>
      <c r="AJ542" s="1">
        <f>P542</f>
        <v>6178635</v>
      </c>
    </row>
    <row r="543" spans="1:36" x14ac:dyDescent="0.25">
      <c r="A543" t="s">
        <v>57</v>
      </c>
      <c r="B543">
        <v>2020</v>
      </c>
      <c r="C543" s="1">
        <v>18462998</v>
      </c>
      <c r="D543" s="1">
        <v>1515776</v>
      </c>
      <c r="E543" s="1">
        <v>1270874</v>
      </c>
      <c r="G543" s="1">
        <v>14020666</v>
      </c>
      <c r="H543" s="1">
        <v>9870192</v>
      </c>
      <c r="I543" s="1">
        <v>3624211</v>
      </c>
      <c r="J543" s="1">
        <v>4391157</v>
      </c>
      <c r="K543" s="1">
        <v>3423602</v>
      </c>
      <c r="L543" s="1">
        <v>0</v>
      </c>
      <c r="M543" s="1">
        <v>0</v>
      </c>
      <c r="N543" s="1">
        <v>7573870</v>
      </c>
      <c r="O543" s="1">
        <v>9629509</v>
      </c>
      <c r="P543" s="1">
        <v>6555874</v>
      </c>
      <c r="Q543" s="1">
        <v>2576260</v>
      </c>
      <c r="R543" s="1">
        <v>111</v>
      </c>
      <c r="T543">
        <f>E543/G543</f>
        <v>9.0642912398027312E-2</v>
      </c>
      <c r="U543">
        <f>D543/C543</f>
        <v>8.209804279889972E-2</v>
      </c>
      <c r="V543">
        <f>(E543-F543)/O543</f>
        <v>0.13197703018918203</v>
      </c>
      <c r="W543">
        <f>H543/K543</f>
        <v>2.8829846459956503</v>
      </c>
      <c r="X543">
        <f>(H543-I543)/K543</f>
        <v>1.8243887578053757</v>
      </c>
      <c r="Y543">
        <f>(H543-K543)/G543</f>
        <v>0.45979199561561485</v>
      </c>
      <c r="Z543">
        <f>J543/N543</f>
        <v>0.57977718128248834</v>
      </c>
      <c r="AA543">
        <f>J543/G543</f>
        <v>0.31319175565554447</v>
      </c>
      <c r="AB543">
        <f>C543/G543</f>
        <v>1.3168417249223396</v>
      </c>
      <c r="AC543">
        <f>C543/(G543-K543)</f>
        <v>1.7422748414089035</v>
      </c>
      <c r="AD543">
        <f>Q543/E543</f>
        <v>2.0271561146108898</v>
      </c>
      <c r="AE543">
        <f>Q543/J543</f>
        <v>0.58669275546285404</v>
      </c>
      <c r="AF543">
        <f>Q543/G543</f>
        <v>0.18374733411380029</v>
      </c>
      <c r="AG543">
        <f>Q543/K543</f>
        <v>0.75249985249453644</v>
      </c>
      <c r="AH543" t="e">
        <f>Q543/L543</f>
        <v>#DIV/0!</v>
      </c>
      <c r="AI543" s="1">
        <f>R543</f>
        <v>111</v>
      </c>
      <c r="AJ543" s="1">
        <f>P543</f>
        <v>6555874</v>
      </c>
    </row>
    <row r="544" spans="1:36" x14ac:dyDescent="0.25">
      <c r="A544" t="s">
        <v>57</v>
      </c>
      <c r="B544">
        <v>2021</v>
      </c>
      <c r="C544" s="1">
        <v>24055488</v>
      </c>
      <c r="D544" s="1">
        <v>1461114</v>
      </c>
      <c r="E544" s="1">
        <v>1707690</v>
      </c>
      <c r="G544" s="1">
        <v>19343111</v>
      </c>
      <c r="H544" s="1">
        <v>15338206</v>
      </c>
      <c r="I544" s="1">
        <v>5080753</v>
      </c>
      <c r="J544" s="1">
        <v>8952164</v>
      </c>
      <c r="K544" s="1">
        <v>7898147</v>
      </c>
      <c r="L544" s="1">
        <v>0</v>
      </c>
      <c r="M544" s="1">
        <v>0</v>
      </c>
      <c r="N544" s="1">
        <v>8088542</v>
      </c>
      <c r="O544" s="1">
        <v>10390947</v>
      </c>
      <c r="P544" s="1">
        <v>7070546</v>
      </c>
      <c r="Q544" s="1">
        <v>5784726</v>
      </c>
      <c r="R544" s="1">
        <v>121.75</v>
      </c>
      <c r="T544">
        <f>E544/G544</f>
        <v>8.8284144158610273E-2</v>
      </c>
      <c r="U544">
        <f>D544/C544</f>
        <v>6.0739320690563418E-2</v>
      </c>
      <c r="V544">
        <f>(E544-F544)/O544</f>
        <v>0.16434401984727667</v>
      </c>
      <c r="W544">
        <f>H544/K544</f>
        <v>1.9420005730458043</v>
      </c>
      <c r="X544">
        <f>(H544-I544)/K544</f>
        <v>1.2987163951240714</v>
      </c>
      <c r="Y544">
        <f>(H544-K544)/G544</f>
        <v>0.38463611153345501</v>
      </c>
      <c r="Z544">
        <f>J544/N544</f>
        <v>1.106771034878721</v>
      </c>
      <c r="AA544">
        <f>J544/G544</f>
        <v>0.46280890390382395</v>
      </c>
      <c r="AB544">
        <f>C544/G544</f>
        <v>1.2436204289992443</v>
      </c>
      <c r="AC544">
        <f>C544/(G544-K544)</f>
        <v>2.1018404251861345</v>
      </c>
      <c r="AD544">
        <f>Q544/E544</f>
        <v>3.3874567398064053</v>
      </c>
      <c r="AE544">
        <f>Q544/J544</f>
        <v>0.6461818617263938</v>
      </c>
      <c r="AF544">
        <f>Q544/G544</f>
        <v>0.2990587191481246</v>
      </c>
      <c r="AG544">
        <f>Q544/K544</f>
        <v>0.73241559064423589</v>
      </c>
      <c r="AH544" t="e">
        <f>Q544/L544</f>
        <v>#DIV/0!</v>
      </c>
      <c r="AI544" s="1">
        <f>R544</f>
        <v>121.75</v>
      </c>
      <c r="AJ544" s="1">
        <f>P544</f>
        <v>7070546</v>
      </c>
    </row>
    <row r="545" spans="1:36" x14ac:dyDescent="0.25">
      <c r="A545" t="s">
        <v>57</v>
      </c>
      <c r="B545">
        <v>2022</v>
      </c>
      <c r="C545" s="1">
        <v>17888014</v>
      </c>
      <c r="D545" s="1">
        <v>5258022</v>
      </c>
      <c r="E545" s="1">
        <v>1017015</v>
      </c>
      <c r="G545" s="1">
        <v>15344447</v>
      </c>
      <c r="H545" s="1">
        <v>11108731</v>
      </c>
      <c r="I545" s="1">
        <v>8340928</v>
      </c>
      <c r="J545" s="1">
        <v>4375568</v>
      </c>
      <c r="K545" s="1">
        <v>3027807</v>
      </c>
      <c r="L545" s="1">
        <v>536474</v>
      </c>
      <c r="M545" s="1">
        <v>0</v>
      </c>
      <c r="N545" s="1">
        <v>8483107</v>
      </c>
      <c r="O545" s="1">
        <v>10968879</v>
      </c>
      <c r="P545" s="1">
        <v>7465111</v>
      </c>
      <c r="Q545" s="1">
        <v>-6649003</v>
      </c>
      <c r="R545" s="1">
        <v>80.5</v>
      </c>
      <c r="T545">
        <f>E545/G545</f>
        <v>6.6279025891255644E-2</v>
      </c>
      <c r="U545">
        <f>D545/C545</f>
        <v>0.29394107137885739</v>
      </c>
      <c r="V545">
        <f>(E545-F545)/O545</f>
        <v>9.2718225809583638E-2</v>
      </c>
      <c r="W545">
        <f>H545/K545</f>
        <v>3.6689032689335881</v>
      </c>
      <c r="X545">
        <f>(H545-I545)/K545</f>
        <v>0.9141279480495289</v>
      </c>
      <c r="Y545">
        <f>(H545-K545)/G545</f>
        <v>0.52663507521646102</v>
      </c>
      <c r="Z545">
        <f>J545/N545</f>
        <v>0.51579780851520562</v>
      </c>
      <c r="AA545">
        <f>J545/G545</f>
        <v>0.28515644780160537</v>
      </c>
      <c r="AB545">
        <f>C545/G545</f>
        <v>1.1657646574034242</v>
      </c>
      <c r="AC545">
        <f>C545/(G545-K545)</f>
        <v>1.4523452824796372</v>
      </c>
      <c r="AD545">
        <f>Q545/E545</f>
        <v>-6.5377629631814678</v>
      </c>
      <c r="AE545">
        <f>Q545/J545</f>
        <v>-1.5195748300563492</v>
      </c>
      <c r="AF545">
        <f>Q545/G545</f>
        <v>-0.43331656070759672</v>
      </c>
      <c r="AG545">
        <f>Q545/K545</f>
        <v>-2.1959797965986603</v>
      </c>
      <c r="AH545">
        <f>Q545/L545</f>
        <v>-12.393896069520611</v>
      </c>
      <c r="AI545" s="1">
        <f>R545</f>
        <v>80.5</v>
      </c>
      <c r="AJ545" s="1">
        <f>P545</f>
        <v>7465111</v>
      </c>
    </row>
    <row r="546" spans="1:36" x14ac:dyDescent="0.25">
      <c r="A546" t="s">
        <v>57</v>
      </c>
      <c r="B546">
        <v>2023</v>
      </c>
      <c r="C546" s="1">
        <v>19594897</v>
      </c>
      <c r="D546" s="1">
        <v>4131207</v>
      </c>
      <c r="E546" s="1">
        <v>4047872</v>
      </c>
      <c r="G546" s="1">
        <v>18908040</v>
      </c>
      <c r="H546" s="1">
        <v>14875832</v>
      </c>
      <c r="I546" s="1">
        <v>5634136</v>
      </c>
      <c r="J546" s="1">
        <v>4394373</v>
      </c>
      <c r="K546" s="1">
        <v>3095421</v>
      </c>
      <c r="L546" s="1">
        <v>0</v>
      </c>
      <c r="M546" s="1">
        <v>0</v>
      </c>
      <c r="N546" s="1">
        <v>11079980</v>
      </c>
      <c r="O546" s="1">
        <v>14513667</v>
      </c>
      <c r="P546" s="1">
        <v>10061984</v>
      </c>
      <c r="Q546" s="1">
        <v>8557330</v>
      </c>
      <c r="R546" s="1">
        <v>158.5</v>
      </c>
      <c r="T546">
        <f>E546/G546</f>
        <v>0.21408205186788265</v>
      </c>
      <c r="U546">
        <f>D546/C546</f>
        <v>0.21083075864088491</v>
      </c>
      <c r="V546">
        <f>(E546-F546)/O546</f>
        <v>0.27890070786383619</v>
      </c>
      <c r="W546">
        <f>H546/K546</f>
        <v>4.8057540476723526</v>
      </c>
      <c r="X546">
        <f>(H546-I546)/K546</f>
        <v>2.9856022815636387</v>
      </c>
      <c r="Y546">
        <f>(H546-K546)/G546</f>
        <v>0.62303713129441229</v>
      </c>
      <c r="Z546">
        <f>J546/N546</f>
        <v>0.39660477726494092</v>
      </c>
      <c r="AA546">
        <f>J546/G546</f>
        <v>0.23240764246320614</v>
      </c>
      <c r="AB546">
        <f>C546/G546</f>
        <v>1.0363261871669407</v>
      </c>
      <c r="AC546">
        <f>C546/(G546-K546)</f>
        <v>1.2391936465426758</v>
      </c>
      <c r="AD546">
        <f>Q546/E546</f>
        <v>2.1140317678029343</v>
      </c>
      <c r="AE546">
        <f>Q546/J546</f>
        <v>1.9473381071656866</v>
      </c>
      <c r="AF546">
        <f>Q546/G546</f>
        <v>0.4525762585651395</v>
      </c>
      <c r="AG546">
        <f>Q546/K546</f>
        <v>2.7645124847314793</v>
      </c>
      <c r="AH546" t="e">
        <f>Q546/L546</f>
        <v>#DIV/0!</v>
      </c>
      <c r="AI546" s="1">
        <f>R546</f>
        <v>158.5</v>
      </c>
      <c r="AJ546" s="1">
        <f>P546</f>
        <v>10061984</v>
      </c>
    </row>
    <row r="547" spans="1:36" s="8" customFormat="1" x14ac:dyDescent="0.25">
      <c r="A547" s="8" t="s">
        <v>57</v>
      </c>
      <c r="B547" s="8">
        <v>2024</v>
      </c>
      <c r="C547" s="9">
        <v>23993294</v>
      </c>
      <c r="D547" s="9">
        <v>3387353</v>
      </c>
      <c r="E547" s="9">
        <v>3144932</v>
      </c>
      <c r="F547" s="9"/>
      <c r="G547" s="9">
        <v>23105284</v>
      </c>
      <c r="H547" s="9">
        <v>18884318</v>
      </c>
      <c r="I547" s="9">
        <v>5504514</v>
      </c>
      <c r="J547" s="9">
        <v>7521894</v>
      </c>
      <c r="K547" s="9">
        <v>6124865</v>
      </c>
      <c r="L547" s="9">
        <v>0</v>
      </c>
      <c r="M547" s="9">
        <v>0</v>
      </c>
      <c r="N547" s="9">
        <v>11838511</v>
      </c>
      <c r="O547" s="9">
        <v>15583390</v>
      </c>
      <c r="P547" s="9">
        <v>10820515</v>
      </c>
      <c r="Q547" s="9">
        <v>7111799</v>
      </c>
      <c r="R547" s="9">
        <v>189.5</v>
      </c>
      <c r="T547" s="8">
        <f>E547/G547</f>
        <v>0.13611310728749321</v>
      </c>
      <c r="U547" s="8">
        <f>D547/C547</f>
        <v>0.1411791561425455</v>
      </c>
      <c r="V547" s="8">
        <f>(E547-F547)/O547</f>
        <v>0.20181308431605705</v>
      </c>
      <c r="W547" s="8">
        <f>H547/K547</f>
        <v>3.0832219159116159</v>
      </c>
      <c r="X547" s="8">
        <f>(H547-I547)/K547</f>
        <v>2.1845059442126478</v>
      </c>
      <c r="Y547" s="8">
        <f>(H547-K547)/G547</f>
        <v>0.55223095288506296</v>
      </c>
      <c r="Z547" s="8">
        <f>J547/N547</f>
        <v>0.63537500619799225</v>
      </c>
      <c r="AA547" s="8">
        <f>J547/G547</f>
        <v>0.32554864939119554</v>
      </c>
      <c r="AB547" s="8">
        <f>C547/G547</f>
        <v>1.0384331999554735</v>
      </c>
      <c r="AC547" s="8">
        <f>C547/(G547-K547)</f>
        <v>1.4129977593603551</v>
      </c>
      <c r="AD547" s="8">
        <f>Q547/E547</f>
        <v>2.2613522327350797</v>
      </c>
      <c r="AE547" s="8">
        <f>Q547/J547</f>
        <v>0.94547982197037073</v>
      </c>
      <c r="AF547" s="8">
        <f>Q547/G547</f>
        <v>0.30779967906908223</v>
      </c>
      <c r="AG547" s="8">
        <f>Q547/K547</f>
        <v>1.1611356331935478</v>
      </c>
      <c r="AH547" s="8" t="e">
        <f>Q547/L547</f>
        <v>#DIV/0!</v>
      </c>
      <c r="AI547" s="9">
        <f>R547</f>
        <v>189.5</v>
      </c>
      <c r="AJ547" s="9">
        <f>P547</f>
        <v>10820515</v>
      </c>
    </row>
    <row r="548" spans="1:36" x14ac:dyDescent="0.25">
      <c r="A548" t="s">
        <v>28</v>
      </c>
      <c r="B548">
        <v>2018</v>
      </c>
      <c r="C548" s="1">
        <v>12272998</v>
      </c>
      <c r="D548" s="1">
        <v>684942</v>
      </c>
      <c r="E548" s="1">
        <v>680818</v>
      </c>
      <c r="G548" s="5">
        <v>20186504</v>
      </c>
      <c r="H548" s="1">
        <v>11781223</v>
      </c>
      <c r="I548" s="1">
        <v>3758051</v>
      </c>
      <c r="J548" s="1">
        <v>11293134</v>
      </c>
      <c r="K548" s="1">
        <v>8762542</v>
      </c>
      <c r="L548" s="1">
        <f>4241502+M548</f>
        <v>5803523</v>
      </c>
      <c r="M548" s="1">
        <v>1562021</v>
      </c>
      <c r="N548" s="5">
        <v>7838214</v>
      </c>
      <c r="O548" s="5">
        <v>8893370</v>
      </c>
      <c r="P548" s="1">
        <v>-963749</v>
      </c>
      <c r="Q548" s="1">
        <v>-735137</v>
      </c>
      <c r="R548" s="1">
        <v>10.9</v>
      </c>
      <c r="S548" s="11"/>
      <c r="T548">
        <f>E548/G548</f>
        <v>3.3726394624844398E-2</v>
      </c>
      <c r="U548">
        <f>D548/C548</f>
        <v>5.5808857786826004E-2</v>
      </c>
      <c r="V548">
        <f>(E548-F548)/O548</f>
        <v>7.6553432500840513E-2</v>
      </c>
      <c r="W548">
        <f>H548/K548</f>
        <v>1.3444983202362968</v>
      </c>
      <c r="X548">
        <f>(H548-I548)/K548</f>
        <v>0.91562151713509621</v>
      </c>
      <c r="Y548">
        <f>(H548-K548)/G548</f>
        <v>0.14953956366094892</v>
      </c>
      <c r="Z548">
        <f>J548/N548</f>
        <v>1.4407789835796778</v>
      </c>
      <c r="AA548">
        <f>J548/G548</f>
        <v>0.55943981186638359</v>
      </c>
      <c r="AB548">
        <f>C548/G548</f>
        <v>0.6079803615326359</v>
      </c>
      <c r="AC548">
        <f>C548/(G548-K548)</f>
        <v>1.0743206253662259</v>
      </c>
      <c r="AD548">
        <f>Q548/E548</f>
        <v>-1.0797849058044882</v>
      </c>
      <c r="AE548">
        <f>Q548/J548</f>
        <v>-6.5095924656521392E-2</v>
      </c>
      <c r="AF548">
        <f>Q548/G548</f>
        <v>-3.6417251843112605E-2</v>
      </c>
      <c r="AG548">
        <f>Q548/K548</f>
        <v>-8.3895403867964347E-2</v>
      </c>
      <c r="AH548">
        <f>Q548/L548</f>
        <v>-0.12667081701924848</v>
      </c>
      <c r="AI548" s="1">
        <f>R548</f>
        <v>10.9</v>
      </c>
      <c r="AJ548" s="1">
        <f>P548</f>
        <v>-963749</v>
      </c>
    </row>
    <row r="549" spans="1:36" x14ac:dyDescent="0.25">
      <c r="A549" t="s">
        <v>28</v>
      </c>
      <c r="B549">
        <v>2019</v>
      </c>
      <c r="C549" s="1">
        <v>17231736</v>
      </c>
      <c r="D549" s="1">
        <v>1153950</v>
      </c>
      <c r="E549" s="1">
        <v>864468</v>
      </c>
      <c r="G549" s="5">
        <v>22586749</v>
      </c>
      <c r="H549" s="1">
        <v>12075674</v>
      </c>
      <c r="I549" s="1">
        <v>4240916</v>
      </c>
      <c r="J549" s="1">
        <v>13233471</v>
      </c>
      <c r="K549" s="1">
        <v>11197002</v>
      </c>
      <c r="L549" s="1">
        <f>5403827+M549</f>
        <v>6233816</v>
      </c>
      <c r="M549" s="1">
        <v>829989</v>
      </c>
      <c r="N549" s="5">
        <v>7743221</v>
      </c>
      <c r="O549" s="5">
        <v>9353278</v>
      </c>
      <c r="P549" s="1">
        <v>1650091</v>
      </c>
      <c r="Q549" s="1">
        <v>-569219</v>
      </c>
      <c r="R549" s="1">
        <v>9.1999999999999993</v>
      </c>
      <c r="S549" s="11"/>
      <c r="T549">
        <f>E549/G549</f>
        <v>3.8273237109067798E-2</v>
      </c>
      <c r="U549">
        <f>D549/C549</f>
        <v>6.6966555197920857E-2</v>
      </c>
      <c r="V549">
        <f>(E549-F549)/O549</f>
        <v>9.24240677974075E-2</v>
      </c>
      <c r="W549">
        <f>H549/K549</f>
        <v>1.0784738629143766</v>
      </c>
      <c r="X549">
        <f>(H549-I549)/K549</f>
        <v>0.69971926413873997</v>
      </c>
      <c r="Y549">
        <f>(H549-K549)/G549</f>
        <v>3.8902101404677585E-2</v>
      </c>
      <c r="Z549">
        <f>J549/N549</f>
        <v>1.7090395586022922</v>
      </c>
      <c r="AA549">
        <f>J549/G549</f>
        <v>0.58589534067076232</v>
      </c>
      <c r="AB549">
        <f>C549/G549</f>
        <v>0.7629135118117264</v>
      </c>
      <c r="AC549">
        <f>C549/(G549-K549)</f>
        <v>1.5129164853266714</v>
      </c>
      <c r="AD549">
        <f>Q549/E549</f>
        <v>-0.65846162032602706</v>
      </c>
      <c r="AE549">
        <f>Q549/J549</f>
        <v>-4.3013582755423725E-2</v>
      </c>
      <c r="AF549">
        <f>Q549/G549</f>
        <v>-2.5201457721959013E-2</v>
      </c>
      <c r="AG549">
        <f>Q549/K549</f>
        <v>-5.0836732904039852E-2</v>
      </c>
      <c r="AH549">
        <f>Q549/L549</f>
        <v>-9.1311485613306514E-2</v>
      </c>
      <c r="AI549" s="1">
        <f>R549</f>
        <v>9.1999999999999993</v>
      </c>
      <c r="AJ549" s="1">
        <f>P549</f>
        <v>1650091</v>
      </c>
    </row>
    <row r="550" spans="1:36" x14ac:dyDescent="0.25">
      <c r="A550" t="s">
        <v>28</v>
      </c>
      <c r="B550">
        <v>2020</v>
      </c>
      <c r="C550" s="1">
        <v>19693287</v>
      </c>
      <c r="D550" s="1">
        <v>554144</v>
      </c>
      <c r="E550" s="1">
        <v>409020</v>
      </c>
      <c r="G550" s="5">
        <v>24461948</v>
      </c>
      <c r="H550" s="1">
        <v>12202483</v>
      </c>
      <c r="I550" s="1">
        <v>4094933</v>
      </c>
      <c r="J550" s="1">
        <v>14687108</v>
      </c>
      <c r="K550" s="1">
        <v>11661629</v>
      </c>
      <c r="L550" s="1">
        <f>6607070+M550</f>
        <v>8406469</v>
      </c>
      <c r="M550" s="1">
        <v>1799399</v>
      </c>
      <c r="N550" s="5">
        <v>8164537</v>
      </c>
      <c r="O550" s="5">
        <v>9774840</v>
      </c>
      <c r="P550" s="1">
        <v>2154042</v>
      </c>
      <c r="Q550" s="1">
        <v>-480432</v>
      </c>
      <c r="R550" s="1">
        <v>8.1</v>
      </c>
      <c r="S550" s="11"/>
      <c r="T550">
        <f>E550/G550</f>
        <v>1.6720663456565275E-2</v>
      </c>
      <c r="U550">
        <f>D550/C550</f>
        <v>2.8138725647983497E-2</v>
      </c>
      <c r="V550">
        <f>(E550-F550)/O550</f>
        <v>4.1844163178118517E-2</v>
      </c>
      <c r="W550">
        <f>H550/K550</f>
        <v>1.0463789407123139</v>
      </c>
      <c r="X550">
        <f>(H550-I550)/K550</f>
        <v>0.6952330587776373</v>
      </c>
      <c r="Y550">
        <f>(H550-K550)/G550</f>
        <v>2.2110013478893832E-2</v>
      </c>
      <c r="Z550">
        <f>J550/N550</f>
        <v>1.7988904943415653</v>
      </c>
      <c r="AA550">
        <f>J550/G550</f>
        <v>0.60040631269431199</v>
      </c>
      <c r="AB550">
        <f>C550/G550</f>
        <v>0.80505800273960193</v>
      </c>
      <c r="AC550">
        <f>C550/(G550-K550)</f>
        <v>1.5384997045776749</v>
      </c>
      <c r="AD550">
        <f>Q550/E550</f>
        <v>-1.1745929294411031</v>
      </c>
      <c r="AE550">
        <f>Q550/J550</f>
        <v>-3.2711136869150823E-2</v>
      </c>
      <c r="AF550">
        <f>Q550/G550</f>
        <v>-1.9639973071645805E-2</v>
      </c>
      <c r="AG550">
        <f>Q550/K550</f>
        <v>-4.1197674870294708E-2</v>
      </c>
      <c r="AH550">
        <f>Q550/L550</f>
        <v>-5.7150273200317514E-2</v>
      </c>
      <c r="AI550" s="1">
        <f>R550</f>
        <v>8.1</v>
      </c>
      <c r="AJ550" s="1">
        <f>P550</f>
        <v>2154042</v>
      </c>
    </row>
    <row r="551" spans="1:36" x14ac:dyDescent="0.25">
      <c r="A551" t="s">
        <v>28</v>
      </c>
      <c r="B551">
        <v>2021</v>
      </c>
      <c r="C551" s="1">
        <v>9595761</v>
      </c>
      <c r="D551" s="1">
        <v>-123020</v>
      </c>
      <c r="E551" s="1">
        <v>-1858739</v>
      </c>
      <c r="G551" s="5">
        <v>21822842</v>
      </c>
      <c r="H551" s="1">
        <v>11720579</v>
      </c>
      <c r="I551" s="1">
        <v>3997481</v>
      </c>
      <c r="J551" s="1">
        <v>13914083</v>
      </c>
      <c r="K551" s="1">
        <v>11595996</v>
      </c>
      <c r="L551" s="1">
        <f>4171021+M551</f>
        <v>5327875</v>
      </c>
      <c r="M551" s="1">
        <v>1156854</v>
      </c>
      <c r="N551" s="5">
        <v>6307161</v>
      </c>
      <c r="O551" s="5">
        <v>7908759</v>
      </c>
      <c r="P551" s="1">
        <v>-46358</v>
      </c>
      <c r="Q551" s="1">
        <v>3308350</v>
      </c>
      <c r="R551" s="1">
        <v>17</v>
      </c>
      <c r="S551" s="11"/>
      <c r="T551">
        <f>E551/G551</f>
        <v>-8.517401170754936E-2</v>
      </c>
      <c r="U551">
        <f>D551/C551</f>
        <v>-1.2820244272444884E-2</v>
      </c>
      <c r="V551">
        <f>(E551-F551)/O551</f>
        <v>-0.2350228398665328</v>
      </c>
      <c r="W551">
        <f>H551/K551</f>
        <v>1.0107436221951094</v>
      </c>
      <c r="X551">
        <f>(H551-I551)/K551</f>
        <v>0.66601420007388756</v>
      </c>
      <c r="Y551">
        <f>(H551-K551)/G551</f>
        <v>5.7088348071254883E-3</v>
      </c>
      <c r="Z551">
        <f>J551/N551</f>
        <v>2.2060770289516949</v>
      </c>
      <c r="AA551">
        <f>J551/G551</f>
        <v>0.63759261969637138</v>
      </c>
      <c r="AB551">
        <f>C551/G551</f>
        <v>0.43971179372512526</v>
      </c>
      <c r="AC551">
        <f>C551/(G551-K551)</f>
        <v>0.93829133635140294</v>
      </c>
      <c r="AD551">
        <f>Q551/E551</f>
        <v>-1.7798894842148361</v>
      </c>
      <c r="AE551">
        <f>Q551/J551</f>
        <v>0.23776989112397848</v>
      </c>
      <c r="AF551">
        <f>Q551/G551</f>
        <v>0.15160032776665844</v>
      </c>
      <c r="AG551">
        <f>Q551/K551</f>
        <v>0.28530106426390628</v>
      </c>
      <c r="AH551">
        <f>Q551/L551</f>
        <v>0.62095112967177346</v>
      </c>
      <c r="AI551" s="1">
        <f>R551</f>
        <v>17</v>
      </c>
      <c r="AJ551" s="1">
        <f>P551</f>
        <v>-46358</v>
      </c>
    </row>
    <row r="552" spans="1:36" x14ac:dyDescent="0.25">
      <c r="A552" t="s">
        <v>28</v>
      </c>
      <c r="B552">
        <v>2022</v>
      </c>
      <c r="C552" s="1">
        <v>14155890</v>
      </c>
      <c r="D552" s="1">
        <v>1376016</v>
      </c>
      <c r="E552" s="1">
        <v>935517</v>
      </c>
      <c r="G552" s="5">
        <v>22892406</v>
      </c>
      <c r="H552" s="1">
        <v>15737556</v>
      </c>
      <c r="I552" s="1">
        <v>2904384</v>
      </c>
      <c r="J552" s="1">
        <v>12269050</v>
      </c>
      <c r="K552" s="1">
        <v>10218982</v>
      </c>
      <c r="L552" s="1">
        <f>3074319+M552</f>
        <v>4103238</v>
      </c>
      <c r="M552" s="1">
        <v>1028919</v>
      </c>
      <c r="N552" s="5">
        <v>8919207</v>
      </c>
      <c r="O552" s="5">
        <v>10623356</v>
      </c>
      <c r="P552" s="1">
        <v>2502523</v>
      </c>
      <c r="Q552" s="1">
        <v>505625</v>
      </c>
      <c r="R552" s="1">
        <v>38.799999999999997</v>
      </c>
      <c r="S552" s="11"/>
      <c r="T552">
        <f>E552/G552</f>
        <v>4.0865822491528411E-2</v>
      </c>
      <c r="U552">
        <f>D552/C552</f>
        <v>9.7204485200153429E-2</v>
      </c>
      <c r="V552">
        <f>(E552-F552)/O552</f>
        <v>8.8062284649031819E-2</v>
      </c>
      <c r="W552">
        <f>H552/K552</f>
        <v>1.5400316783022028</v>
      </c>
      <c r="X552">
        <f>(H552-I552)/K552</f>
        <v>1.2558170667097759</v>
      </c>
      <c r="Y552">
        <f>(H552-K552)/G552</f>
        <v>0.24106570536971955</v>
      </c>
      <c r="Z552">
        <f>J552/N552</f>
        <v>1.3755763264604128</v>
      </c>
      <c r="AA552">
        <f>J552/G552</f>
        <v>0.53594410303574036</v>
      </c>
      <c r="AB552">
        <f>C552/G552</f>
        <v>0.61836619532258863</v>
      </c>
      <c r="AC552">
        <f>C552/(G552-K552)</f>
        <v>1.1169743867166442</v>
      </c>
      <c r="AD552">
        <f>Q552/E552</f>
        <v>0.54047654933047717</v>
      </c>
      <c r="AE552">
        <f>Q552/J552</f>
        <v>4.1211422237255532E-2</v>
      </c>
      <c r="AF552">
        <f>Q552/G552</f>
        <v>2.208701872577308E-2</v>
      </c>
      <c r="AG552">
        <f>Q552/K552</f>
        <v>4.9478998984438957E-2</v>
      </c>
      <c r="AH552">
        <f>Q552/L552</f>
        <v>0.12322585236342615</v>
      </c>
      <c r="AI552" s="1">
        <f>R552</f>
        <v>38.799999999999997</v>
      </c>
      <c r="AJ552" s="1">
        <f>P552</f>
        <v>2502523</v>
      </c>
    </row>
    <row r="553" spans="1:36" x14ac:dyDescent="0.25">
      <c r="A553" t="s">
        <v>28</v>
      </c>
      <c r="B553">
        <v>2023</v>
      </c>
      <c r="C553" s="1">
        <v>20697863</v>
      </c>
      <c r="D553" s="1">
        <v>2828444</v>
      </c>
      <c r="E553" s="1">
        <v>1645170</v>
      </c>
      <c r="G553" s="5">
        <v>26406250</v>
      </c>
      <c r="H553" s="1">
        <v>17998515</v>
      </c>
      <c r="I553" s="1">
        <v>3222232</v>
      </c>
      <c r="J553" s="1">
        <v>15022226</v>
      </c>
      <c r="K553" s="1">
        <v>12296351</v>
      </c>
      <c r="L553" s="1">
        <f>4524455+M553</f>
        <v>5519223</v>
      </c>
      <c r="M553" s="1">
        <v>994768</v>
      </c>
      <c r="N553" s="5">
        <v>8895646</v>
      </c>
      <c r="O553" s="5">
        <v>11384023</v>
      </c>
      <c r="P553" s="1">
        <v>2458838</v>
      </c>
      <c r="Q553" s="1">
        <v>48012</v>
      </c>
      <c r="R553" s="1">
        <v>35</v>
      </c>
      <c r="S553" s="11"/>
      <c r="T553">
        <f>E553/G553</f>
        <v>6.2302295857988167E-2</v>
      </c>
      <c r="U553">
        <f>D553/C553</f>
        <v>0.13665391446450292</v>
      </c>
      <c r="V553">
        <f>(E553-F553)/O553</f>
        <v>0.14451569537412215</v>
      </c>
      <c r="W553">
        <f>H553/K553</f>
        <v>1.4637281417877548</v>
      </c>
      <c r="X553">
        <f>(H553-I553)/K553</f>
        <v>1.2016803196330359</v>
      </c>
      <c r="Y553">
        <f>(H553-K553)/G553</f>
        <v>0.21593993846153847</v>
      </c>
      <c r="Z553">
        <f>J553/N553</f>
        <v>1.6887167047789446</v>
      </c>
      <c r="AA553">
        <f>J553/G553</f>
        <v>0.56888903195266272</v>
      </c>
      <c r="AB553">
        <f>C553/G553</f>
        <v>0.78382439763313605</v>
      </c>
      <c r="AC553">
        <f>C553/(G553-K553)</f>
        <v>1.4669036964757862</v>
      </c>
      <c r="AD553">
        <f>Q553/E553</f>
        <v>2.9183610204416566E-2</v>
      </c>
      <c r="AE553">
        <f>Q553/J553</f>
        <v>3.1960642850134193E-3</v>
      </c>
      <c r="AF553">
        <f>Q553/G553</f>
        <v>1.8182059171597633E-3</v>
      </c>
      <c r="AG553">
        <f>Q553/K553</f>
        <v>3.9045729908002789E-3</v>
      </c>
      <c r="AH553">
        <f>Q553/L553</f>
        <v>8.6990505728795527E-3</v>
      </c>
      <c r="AI553" s="1">
        <f>R553</f>
        <v>35</v>
      </c>
      <c r="AJ553" s="1">
        <f>P553</f>
        <v>2458838</v>
      </c>
    </row>
    <row r="554" spans="1:36" s="8" customFormat="1" x14ac:dyDescent="0.25">
      <c r="A554" s="8" t="s">
        <v>28</v>
      </c>
      <c r="B554" s="8">
        <v>2024</v>
      </c>
      <c r="C554" s="9">
        <v>17154487</v>
      </c>
      <c r="D554" s="9">
        <v>3099647</v>
      </c>
      <c r="E554" s="9">
        <v>2857032</v>
      </c>
      <c r="F554" s="9"/>
      <c r="G554" s="10">
        <v>23545193</v>
      </c>
      <c r="H554" s="9">
        <v>17217636</v>
      </c>
      <c r="I554" s="9">
        <v>1415692</v>
      </c>
      <c r="J554" s="9">
        <v>10754259</v>
      </c>
      <c r="K554" s="9">
        <v>9606137</v>
      </c>
      <c r="L554" s="9">
        <f>3896192+M554</f>
        <v>4366006</v>
      </c>
      <c r="M554" s="9">
        <v>469814</v>
      </c>
      <c r="N554" s="10">
        <v>10838918</v>
      </c>
      <c r="O554" s="10">
        <v>12790934</v>
      </c>
      <c r="P554" s="9">
        <v>5394409</v>
      </c>
      <c r="Q554" s="9">
        <v>222293</v>
      </c>
      <c r="R554" s="9">
        <v>37.4</v>
      </c>
      <c r="T554" s="8">
        <f>E554/G554</f>
        <v>0.12134247529846114</v>
      </c>
      <c r="U554" s="8">
        <f>D554/C554</f>
        <v>0.18069015995640092</v>
      </c>
      <c r="V554" s="8">
        <f>(E554-F554)/O554</f>
        <v>0.22336382941230093</v>
      </c>
      <c r="W554" s="8">
        <f>H554/K554</f>
        <v>1.7923579478410521</v>
      </c>
      <c r="X554" s="8">
        <f>(H554-I554)/K554</f>
        <v>1.6449842428855637</v>
      </c>
      <c r="Y554" s="8">
        <f>(H554-K554)/G554</f>
        <v>0.32327188823638014</v>
      </c>
      <c r="Z554" s="8">
        <f>J554/N554</f>
        <v>0.99218934952732363</v>
      </c>
      <c r="AA554" s="8">
        <f>J554/G554</f>
        <v>0.45674966435824077</v>
      </c>
      <c r="AB554" s="8">
        <f>C554/G554</f>
        <v>0.72857703905846094</v>
      </c>
      <c r="AC554" s="8">
        <f>C554/(G554-K554)</f>
        <v>1.2306778163456693</v>
      </c>
      <c r="AD554" s="8">
        <f>Q554/E554</f>
        <v>7.7805568856071622E-2</v>
      </c>
      <c r="AE554" s="8">
        <f>Q554/J554</f>
        <v>2.0670229348205209E-2</v>
      </c>
      <c r="AF554" s="8">
        <f>Q554/G554</f>
        <v>9.4411203170005863E-3</v>
      </c>
      <c r="AG554" s="8">
        <f>Q554/K554</f>
        <v>2.3140727641090274E-2</v>
      </c>
      <c r="AH554" s="8">
        <f>Q554/L554</f>
        <v>5.0914497139948958E-2</v>
      </c>
      <c r="AI554" s="9">
        <f>R554</f>
        <v>37.4</v>
      </c>
      <c r="AJ554" s="9">
        <f>P554</f>
        <v>5394409</v>
      </c>
    </row>
    <row r="555" spans="1:36" x14ac:dyDescent="0.25">
      <c r="A555" t="s">
        <v>58</v>
      </c>
      <c r="B555">
        <v>2018</v>
      </c>
      <c r="C555" s="1">
        <v>1066200</v>
      </c>
      <c r="D555" s="1">
        <v>835687</v>
      </c>
      <c r="E555" s="1">
        <v>796319</v>
      </c>
      <c r="G555" s="1">
        <v>18512320</v>
      </c>
      <c r="H555" s="1">
        <v>4292327</v>
      </c>
      <c r="I555" s="1">
        <v>0</v>
      </c>
      <c r="J555" s="1">
        <v>245363</v>
      </c>
      <c r="K555" s="1">
        <v>237937</v>
      </c>
      <c r="L555" s="1">
        <v>0</v>
      </c>
      <c r="M555" s="1">
        <v>0</v>
      </c>
      <c r="N555" s="1">
        <v>15069670</v>
      </c>
      <c r="O555" s="1">
        <v>18266957</v>
      </c>
      <c r="P555" s="1">
        <v>13616223</v>
      </c>
      <c r="Q555" s="1">
        <v>-220092</v>
      </c>
      <c r="R555" s="1">
        <v>82</v>
      </c>
      <c r="T555">
        <f>E555/G555</f>
        <v>4.3015624189728784E-2</v>
      </c>
      <c r="U555">
        <f>D555/C555</f>
        <v>0.78379947477021195</v>
      </c>
      <c r="V555">
        <f>(E555-F555)/O555</f>
        <v>4.3593412958710089E-2</v>
      </c>
      <c r="W555">
        <f>H555/K555</f>
        <v>18.039762626241401</v>
      </c>
      <c r="X555">
        <f>(H555-I555)/K555</f>
        <v>18.039762626241401</v>
      </c>
      <c r="Y555">
        <f>(H555-K555)/G555</f>
        <v>0.21901036715009248</v>
      </c>
      <c r="Z555">
        <f>J555/N555</f>
        <v>1.6281909291975205E-2</v>
      </c>
      <c r="AA555">
        <f>J555/G555</f>
        <v>1.3254038391730481E-2</v>
      </c>
      <c r="AB555">
        <f>C555/G555</f>
        <v>5.7594077889751259E-2</v>
      </c>
      <c r="AC555">
        <f>C555/(G555-K555)</f>
        <v>5.8343967071282241E-2</v>
      </c>
      <c r="AD555">
        <f>Q555/E555</f>
        <v>-0.27638672441571782</v>
      </c>
      <c r="AE555">
        <f>Q555/J555</f>
        <v>-0.89700566100023227</v>
      </c>
      <c r="AF555">
        <f>Q555/G555</f>
        <v>-1.1888947468496655E-2</v>
      </c>
      <c r="AG555">
        <f>Q555/K555</f>
        <v>-0.92500115576812347</v>
      </c>
      <c r="AH555" t="e">
        <f>Q555/L555</f>
        <v>#DIV/0!</v>
      </c>
      <c r="AI555" s="1">
        <f>R555</f>
        <v>82</v>
      </c>
      <c r="AJ555" s="1">
        <f>P555</f>
        <v>13616223</v>
      </c>
    </row>
    <row r="556" spans="1:36" x14ac:dyDescent="0.25">
      <c r="A556" t="s">
        <v>58</v>
      </c>
      <c r="B556">
        <v>2019</v>
      </c>
      <c r="C556" s="1">
        <v>-2021366</v>
      </c>
      <c r="D556" s="1">
        <v>-2277344</v>
      </c>
      <c r="E556" s="1">
        <v>-2343669</v>
      </c>
      <c r="G556" s="1">
        <v>16059487</v>
      </c>
      <c r="H556" s="1">
        <v>11413584</v>
      </c>
      <c r="I556" s="1">
        <v>0</v>
      </c>
      <c r="J556" s="1">
        <v>342082</v>
      </c>
      <c r="K556" s="1">
        <v>334324</v>
      </c>
      <c r="L556" s="1">
        <v>162430</v>
      </c>
      <c r="M556" s="1">
        <v>0</v>
      </c>
      <c r="N556" s="1">
        <v>13087942</v>
      </c>
      <c r="O556" s="1">
        <v>15717405</v>
      </c>
      <c r="P556" s="1">
        <v>11634465</v>
      </c>
      <c r="Q556" s="1">
        <v>-416756</v>
      </c>
      <c r="R556" s="1">
        <v>61.8</v>
      </c>
      <c r="T556">
        <f>E556/G556</f>
        <v>-0.14593672886313241</v>
      </c>
      <c r="U556">
        <f>D556/C556</f>
        <v>1.1266361460517293</v>
      </c>
      <c r="V556">
        <f>(E556-F556)/O556</f>
        <v>-0.14911297380197303</v>
      </c>
      <c r="W556">
        <f>H556/K556</f>
        <v>34.13929003003075</v>
      </c>
      <c r="X556">
        <f>(H556-I556)/K556</f>
        <v>34.13929003003075</v>
      </c>
      <c r="Y556">
        <f>(H556-K556)/G556</f>
        <v>0.68988878660943531</v>
      </c>
      <c r="Z556">
        <f>J556/N556</f>
        <v>2.6137187955142221E-2</v>
      </c>
      <c r="AA556">
        <f>J556/G556</f>
        <v>2.1300929475518114E-2</v>
      </c>
      <c r="AB556">
        <f>C556/G556</f>
        <v>-0.12586740784434772</v>
      </c>
      <c r="AC556">
        <f>C556/(G556-K556)</f>
        <v>-0.12854340524164995</v>
      </c>
      <c r="AD556">
        <f>Q556/E556</f>
        <v>0.17782203886299644</v>
      </c>
      <c r="AE556">
        <f>Q556/J556</f>
        <v>-1.2182926900567701</v>
      </c>
      <c r="AF556">
        <f>Q556/G556</f>
        <v>-2.5950766671438509E-2</v>
      </c>
      <c r="AG556">
        <f>Q556/K556</f>
        <v>-1.2465632141276128</v>
      </c>
      <c r="AH556">
        <f>Q556/L556</f>
        <v>-2.5657575571015205</v>
      </c>
      <c r="AI556" s="1">
        <f>R556</f>
        <v>61.8</v>
      </c>
      <c r="AJ556" s="1">
        <f>P556</f>
        <v>11634465</v>
      </c>
    </row>
    <row r="557" spans="1:36" x14ac:dyDescent="0.25">
      <c r="A557" t="s">
        <v>58</v>
      </c>
      <c r="B557">
        <v>2020</v>
      </c>
      <c r="C557" s="1">
        <v>-1144577</v>
      </c>
      <c r="D557" s="1">
        <v>-1375346</v>
      </c>
      <c r="E557" s="1">
        <v>-1472613</v>
      </c>
      <c r="G557" s="1">
        <v>15030426</v>
      </c>
      <c r="H557" s="1">
        <v>10923979</v>
      </c>
      <c r="I557" s="1">
        <v>0</v>
      </c>
      <c r="J557" s="1">
        <v>1162840</v>
      </c>
      <c r="K557" s="1">
        <v>1146964</v>
      </c>
      <c r="L557" s="1">
        <v>1054316</v>
      </c>
      <c r="M557" s="1">
        <v>0</v>
      </c>
      <c r="N557" s="1">
        <v>11535478</v>
      </c>
      <c r="O557" s="1">
        <v>13867586</v>
      </c>
      <c r="P557" s="1">
        <v>10082011</v>
      </c>
      <c r="Q557" s="1">
        <v>1372857</v>
      </c>
      <c r="R557" s="1">
        <v>71.8</v>
      </c>
      <c r="T557">
        <f>E557/G557</f>
        <v>-9.7975466563622354E-2</v>
      </c>
      <c r="U557">
        <f>D557/C557</f>
        <v>1.2016194629107522</v>
      </c>
      <c r="V557">
        <f>(E557-F557)/O557</f>
        <v>-0.10619101262469186</v>
      </c>
      <c r="W557">
        <f>H557/K557</f>
        <v>9.5242562103082573</v>
      </c>
      <c r="X557">
        <f>(H557-I557)/K557</f>
        <v>9.5242562103082573</v>
      </c>
      <c r="Y557">
        <f>(H557-K557)/G557</f>
        <v>0.65048156319721073</v>
      </c>
      <c r="Z557">
        <f>J557/N557</f>
        <v>0.10080553228916912</v>
      </c>
      <c r="AA557">
        <f>J557/G557</f>
        <v>7.736573800369996E-2</v>
      </c>
      <c r="AB557">
        <f>C557/G557</f>
        <v>-7.6150669315693378E-2</v>
      </c>
      <c r="AC557">
        <f>C557/(G557-K557)</f>
        <v>-8.2441756962348442E-2</v>
      </c>
      <c r="AD557">
        <f>Q557/E557</f>
        <v>-0.93225918825923715</v>
      </c>
      <c r="AE557">
        <f>Q557/J557</f>
        <v>1.1806069622647999</v>
      </c>
      <c r="AF557">
        <f>Q557/G557</f>
        <v>9.1338528927922602E-2</v>
      </c>
      <c r="AG557">
        <f>Q557/K557</f>
        <v>1.1969486400619374</v>
      </c>
      <c r="AH557">
        <f>Q557/L557</f>
        <v>1.3021304808046164</v>
      </c>
      <c r="AI557" s="1">
        <f>R557</f>
        <v>71.8</v>
      </c>
      <c r="AJ557" s="1">
        <f>P557</f>
        <v>10082011</v>
      </c>
    </row>
    <row r="558" spans="1:36" x14ac:dyDescent="0.25">
      <c r="A558" t="s">
        <v>58</v>
      </c>
      <c r="B558">
        <v>2021</v>
      </c>
      <c r="C558" s="1">
        <v>3473930</v>
      </c>
      <c r="D558" s="1">
        <v>3265929</v>
      </c>
      <c r="E558" s="1">
        <v>3243951</v>
      </c>
      <c r="G558" s="1">
        <v>20401160</v>
      </c>
      <c r="H558" s="1">
        <v>12610690</v>
      </c>
      <c r="I558" s="1">
        <v>0</v>
      </c>
      <c r="J558" s="1">
        <v>339467</v>
      </c>
      <c r="K558" s="1">
        <v>316679</v>
      </c>
      <c r="L558" s="1">
        <v>212040</v>
      </c>
      <c r="M558" s="1">
        <v>0</v>
      </c>
      <c r="N558" s="1">
        <v>16742130</v>
      </c>
      <c r="O558" s="1">
        <v>20061693</v>
      </c>
      <c r="P558" s="1">
        <v>15288695</v>
      </c>
      <c r="Q558" s="1">
        <v>1025567</v>
      </c>
      <c r="R558" s="1">
        <v>120</v>
      </c>
      <c r="T558">
        <f>E558/G558</f>
        <v>0.15900816424164116</v>
      </c>
      <c r="U558">
        <f>D558/C558</f>
        <v>0.94012516084089204</v>
      </c>
      <c r="V558">
        <f>(E558-F558)/O558</f>
        <v>0.16169876590176113</v>
      </c>
      <c r="W558">
        <f>H558/K558</f>
        <v>39.821680629280756</v>
      </c>
      <c r="X558">
        <f>(H558-I558)/K558</f>
        <v>39.821680629280756</v>
      </c>
      <c r="Y558">
        <f>(H558-K558)/G558</f>
        <v>0.60261333179093735</v>
      </c>
      <c r="Z558">
        <f>J558/N558</f>
        <v>2.0276213361143415E-2</v>
      </c>
      <c r="AA558">
        <f>J558/G558</f>
        <v>1.6639593042748549E-2</v>
      </c>
      <c r="AB558">
        <f>C558/G558</f>
        <v>0.1702810036292054</v>
      </c>
      <c r="AC558">
        <f>C558/(G558-K558)</f>
        <v>0.17296588345997091</v>
      </c>
      <c r="AD558">
        <f>Q558/E558</f>
        <v>0.31614750037839662</v>
      </c>
      <c r="AE558">
        <f>Q558/J558</f>
        <v>3.0211095629324793</v>
      </c>
      <c r="AF558">
        <f>Q558/G558</f>
        <v>5.0270033664752398E-2</v>
      </c>
      <c r="AG558">
        <f>Q558/K558</f>
        <v>3.2385065002731475</v>
      </c>
      <c r="AH558">
        <f>Q558/L558</f>
        <v>4.8366676098849277</v>
      </c>
      <c r="AI558" s="1">
        <f>R558</f>
        <v>120</v>
      </c>
      <c r="AJ558" s="1">
        <f>P558</f>
        <v>15288695</v>
      </c>
    </row>
    <row r="559" spans="1:36" x14ac:dyDescent="0.25">
      <c r="A559" t="s">
        <v>58</v>
      </c>
      <c r="B559">
        <v>2022</v>
      </c>
      <c r="C559" s="1">
        <v>-611013</v>
      </c>
      <c r="D559" s="1">
        <v>-828659</v>
      </c>
      <c r="E559" s="1">
        <v>-1065632</v>
      </c>
      <c r="G559" s="1">
        <v>19944920</v>
      </c>
      <c r="H559" s="1">
        <v>12486944</v>
      </c>
      <c r="I559" s="1">
        <v>0</v>
      </c>
      <c r="J559" s="1">
        <v>294853</v>
      </c>
      <c r="K559" s="1">
        <v>286471</v>
      </c>
      <c r="L559" s="1">
        <v>58529</v>
      </c>
      <c r="M559" s="1">
        <v>0</v>
      </c>
      <c r="N559" s="1">
        <v>16501330</v>
      </c>
      <c r="O559" s="1">
        <v>19650067</v>
      </c>
      <c r="P559" s="1">
        <v>15047768</v>
      </c>
      <c r="Q559" s="1">
        <v>518706</v>
      </c>
      <c r="R559" s="1">
        <v>78.5</v>
      </c>
      <c r="T559">
        <f>E559/G559</f>
        <v>-5.3428742757554305E-2</v>
      </c>
      <c r="U559">
        <f>D559/C559</f>
        <v>1.3562051871236782</v>
      </c>
      <c r="V559">
        <f>(E559-F559)/O559</f>
        <v>-5.4230451224415673E-2</v>
      </c>
      <c r="W559">
        <f>H559/K559</f>
        <v>43.588858907184324</v>
      </c>
      <c r="X559">
        <f>(H559-I559)/K559</f>
        <v>43.588858907184324</v>
      </c>
      <c r="Y559">
        <f>(H559-K559)/G559</f>
        <v>0.611708294643448</v>
      </c>
      <c r="Z559">
        <f>J559/N559</f>
        <v>1.7868438483443456E-2</v>
      </c>
      <c r="AA559">
        <f>J559/G559</f>
        <v>1.4783363382756111E-2</v>
      </c>
      <c r="AB559">
        <f>C559/G559</f>
        <v>-3.0635018841890568E-2</v>
      </c>
      <c r="AC559">
        <f>C559/(G559-K559)</f>
        <v>-3.1081444929861965E-2</v>
      </c>
      <c r="AD559">
        <f>Q559/E559</f>
        <v>-0.48675903126032249</v>
      </c>
      <c r="AE559">
        <f>Q559/J559</f>
        <v>1.7592020430519615</v>
      </c>
      <c r="AF559">
        <f>Q559/G559</f>
        <v>2.6006923066124107E-2</v>
      </c>
      <c r="AG559">
        <f>Q559/K559</f>
        <v>1.8106754261338844</v>
      </c>
      <c r="AH559">
        <f>Q559/L559</f>
        <v>8.8623759162124767</v>
      </c>
      <c r="AI559" s="1">
        <f>R559</f>
        <v>78.5</v>
      </c>
      <c r="AJ559" s="1">
        <f>P559</f>
        <v>15047768</v>
      </c>
    </row>
    <row r="560" spans="1:36" x14ac:dyDescent="0.25">
      <c r="A560" t="s">
        <v>58</v>
      </c>
      <c r="B560">
        <v>2023</v>
      </c>
      <c r="C560" s="1">
        <v>2010969</v>
      </c>
      <c r="D560" s="1">
        <v>1709903</v>
      </c>
      <c r="E560" s="1">
        <v>1429199</v>
      </c>
      <c r="G560" s="1">
        <v>23053549</v>
      </c>
      <c r="H560" s="1">
        <v>10499004</v>
      </c>
      <c r="I560" s="1">
        <v>0</v>
      </c>
      <c r="J560" s="1">
        <v>729063</v>
      </c>
      <c r="K560" s="1">
        <v>715698</v>
      </c>
      <c r="L560" s="1">
        <v>512960</v>
      </c>
      <c r="M560" s="1">
        <v>0</v>
      </c>
      <c r="N560" s="1">
        <v>18734602</v>
      </c>
      <c r="O560" s="1">
        <v>22324486</v>
      </c>
      <c r="P560" s="1">
        <v>17281330</v>
      </c>
      <c r="Q560" s="1">
        <v>-2658616</v>
      </c>
      <c r="R560" s="1">
        <v>68</v>
      </c>
      <c r="T560">
        <f>E560/G560</f>
        <v>6.1994749702095758E-2</v>
      </c>
      <c r="U560">
        <f>D560/C560</f>
        <v>0.85028809494328361</v>
      </c>
      <c r="V560">
        <f>(E560-F560)/O560</f>
        <v>6.4019346290884363E-2</v>
      </c>
      <c r="W560">
        <f>H560/K560</f>
        <v>14.669600865169388</v>
      </c>
      <c r="X560">
        <f>(H560-I560)/K560</f>
        <v>14.669600865169388</v>
      </c>
      <c r="Y560">
        <f>(H560-K560)/G560</f>
        <v>0.42437309760852876</v>
      </c>
      <c r="Z560">
        <f>J560/N560</f>
        <v>3.8915318297127424E-2</v>
      </c>
      <c r="AA560">
        <f>J560/G560</f>
        <v>3.1624761983501976E-2</v>
      </c>
      <c r="AB560">
        <f>C560/G560</f>
        <v>8.7230343579637132E-2</v>
      </c>
      <c r="AC560">
        <f>C560/(G560-K560)</f>
        <v>9.0025177444329807E-2</v>
      </c>
      <c r="AD560">
        <f>Q560/E560</f>
        <v>-1.8602140079862917</v>
      </c>
      <c r="AE560">
        <f>Q560/J560</f>
        <v>-3.6466203880871748</v>
      </c>
      <c r="AF560">
        <f>Q560/G560</f>
        <v>-0.11532350181744251</v>
      </c>
      <c r="AG560">
        <f>Q560/K560</f>
        <v>-3.7147176602421692</v>
      </c>
      <c r="AH560">
        <f>Q560/L560</f>
        <v>-5.1828914535246415</v>
      </c>
      <c r="AI560" s="1">
        <f>R560</f>
        <v>68</v>
      </c>
      <c r="AJ560" s="1">
        <f>P560</f>
        <v>17281330</v>
      </c>
    </row>
    <row r="561" spans="1:36" s="8" customFormat="1" x14ac:dyDescent="0.25">
      <c r="A561" s="8" t="s">
        <v>58</v>
      </c>
      <c r="B561" s="8">
        <v>2024</v>
      </c>
      <c r="C561" s="9">
        <v>4155878</v>
      </c>
      <c r="D561" s="9">
        <v>3747634</v>
      </c>
      <c r="E561" s="9">
        <v>3392371</v>
      </c>
      <c r="F561" s="9"/>
      <c r="G561" s="9">
        <v>26276316</v>
      </c>
      <c r="H561" s="9">
        <v>13330743</v>
      </c>
      <c r="I561" s="9">
        <v>0</v>
      </c>
      <c r="J561" s="9">
        <v>1474818</v>
      </c>
      <c r="K561" s="9">
        <v>1458574</v>
      </c>
      <c r="L561" s="9">
        <v>1287503</v>
      </c>
      <c r="M561" s="9">
        <v>0</v>
      </c>
      <c r="N561" s="9">
        <v>20814675</v>
      </c>
      <c r="O561" s="9">
        <v>24801498</v>
      </c>
      <c r="P561" s="9">
        <v>19361403</v>
      </c>
      <c r="Q561" s="9">
        <v>1576729</v>
      </c>
      <c r="R561" s="9">
        <v>89.1</v>
      </c>
      <c r="T561" s="8">
        <f>E561/G561</f>
        <v>0.12910375259606408</v>
      </c>
      <c r="U561" s="8">
        <f>D561/C561</f>
        <v>0.90176708748428125</v>
      </c>
      <c r="V561" s="8">
        <f>(E561-F561)/O561</f>
        <v>0.13678089121874815</v>
      </c>
      <c r="W561" s="8">
        <f>H561/K561</f>
        <v>9.1395726236721622</v>
      </c>
      <c r="X561" s="8">
        <f>(H561-I561)/K561</f>
        <v>9.1395726236721622</v>
      </c>
      <c r="Y561" s="8">
        <f>(H561-K561)/G561</f>
        <v>0.45182014860835135</v>
      </c>
      <c r="Z561" s="8">
        <f>J561/N561</f>
        <v>7.0854721488565156E-2</v>
      </c>
      <c r="AA561" s="8">
        <f>J561/G561</f>
        <v>5.6127274462675819E-2</v>
      </c>
      <c r="AB561" s="8">
        <f>C561/G561</f>
        <v>0.15816060364017542</v>
      </c>
      <c r="AC561" s="8">
        <f>C561/(G561-K561)</f>
        <v>0.16745592729588374</v>
      </c>
      <c r="AD561" s="8">
        <f>Q561/E561</f>
        <v>0.46478672291444539</v>
      </c>
      <c r="AE561" s="8">
        <f>Q561/J561</f>
        <v>1.0691007297171584</v>
      </c>
      <c r="AF561" s="8">
        <f>Q561/G561</f>
        <v>6.0005710085081945E-2</v>
      </c>
      <c r="AG561" s="8">
        <f>Q561/K561</f>
        <v>1.0810072029255973</v>
      </c>
      <c r="AH561" s="8">
        <f>Q561/L561</f>
        <v>1.2246410299626487</v>
      </c>
      <c r="AI561" s="9">
        <f>R561</f>
        <v>89.1</v>
      </c>
      <c r="AJ561" s="9">
        <f>P561</f>
        <v>19361403</v>
      </c>
    </row>
    <row r="562" spans="1:36" x14ac:dyDescent="0.25">
      <c r="A562" s="15" t="s">
        <v>92</v>
      </c>
      <c r="B562" s="15">
        <v>2018</v>
      </c>
      <c r="C562" s="6">
        <v>3351806</v>
      </c>
      <c r="D562" s="6">
        <v>-205785</v>
      </c>
      <c r="E562" s="6">
        <v>-348671</v>
      </c>
      <c r="F562" s="6"/>
      <c r="G562" s="6">
        <v>4709488</v>
      </c>
      <c r="H562" s="6">
        <v>605523</v>
      </c>
      <c r="I562" s="6">
        <v>361853</v>
      </c>
      <c r="J562" s="6">
        <v>3221976</v>
      </c>
      <c r="K562" s="6">
        <v>1802315</v>
      </c>
      <c r="L562" s="6">
        <f>165720+M562</f>
        <v>342418</v>
      </c>
      <c r="M562" s="6">
        <v>176698</v>
      </c>
      <c r="N562" s="6">
        <v>1432272</v>
      </c>
      <c r="O562" s="6">
        <v>1487511</v>
      </c>
      <c r="P562" s="6">
        <v>418379</v>
      </c>
      <c r="Q562" s="6">
        <v>-53003</v>
      </c>
      <c r="R562" s="6">
        <v>16.3</v>
      </c>
      <c r="S562" s="15"/>
      <c r="T562" s="15">
        <f>E562/G562</f>
        <v>-7.4035861223130842E-2</v>
      </c>
      <c r="U562" s="15">
        <f>D562/C562</f>
        <v>-6.1395259749520106E-2</v>
      </c>
      <c r="V562" s="15">
        <f>(E562-F562)/O562</f>
        <v>-0.23439893889860311</v>
      </c>
      <c r="W562" s="15">
        <f>H562/K562</f>
        <v>0.3359695724665222</v>
      </c>
      <c r="X562" s="15">
        <f>(H562-I562)/K562</f>
        <v>0.13519834213220219</v>
      </c>
      <c r="Y562" s="15">
        <f>(H562-K562)/G562</f>
        <v>-0.25412359050495509</v>
      </c>
      <c r="Z562" s="15">
        <f>J562/N562</f>
        <v>2.24955595026643</v>
      </c>
      <c r="AA562" s="15">
        <f>J562/G562</f>
        <v>0.68414570755886839</v>
      </c>
      <c r="AB562" s="15">
        <f>C562/G562</f>
        <v>0.71171346014683545</v>
      </c>
      <c r="AC562" s="15">
        <f>C562/(G562-K562)</f>
        <v>1.1529434264833913</v>
      </c>
      <c r="AD562" s="15">
        <f>Q562/E562</f>
        <v>0.15201436311020991</v>
      </c>
      <c r="AE562" s="15">
        <f>Q562/J562</f>
        <v>-1.6450463938899606E-2</v>
      </c>
      <c r="AF562" s="15">
        <f>Q562/G562</f>
        <v>-1.1254514291150122E-2</v>
      </c>
      <c r="AG562" s="15">
        <f>Q562/K562</f>
        <v>-2.9408288784147054E-2</v>
      </c>
      <c r="AH562" s="15">
        <f>Q562/L562</f>
        <v>-0.15479034396556257</v>
      </c>
      <c r="AI562" s="6">
        <f>R562</f>
        <v>16.3</v>
      </c>
      <c r="AJ562" s="6">
        <f>P562</f>
        <v>418379</v>
      </c>
    </row>
    <row r="563" spans="1:36" x14ac:dyDescent="0.25">
      <c r="A563" t="s">
        <v>92</v>
      </c>
      <c r="B563">
        <v>2019</v>
      </c>
      <c r="C563" s="1">
        <v>3170346</v>
      </c>
      <c r="D563" s="1">
        <v>-272897</v>
      </c>
      <c r="E563" s="1">
        <v>-642098</v>
      </c>
      <c r="G563" s="1">
        <v>4759696</v>
      </c>
      <c r="H563" s="1">
        <v>533207</v>
      </c>
      <c r="I563" s="1">
        <v>269212</v>
      </c>
      <c r="J563" s="1">
        <v>4085053</v>
      </c>
      <c r="K563" s="1">
        <v>2320354</v>
      </c>
      <c r="L563" s="1">
        <f>144530+M563</f>
        <v>223687</v>
      </c>
      <c r="M563" s="1">
        <v>79157</v>
      </c>
      <c r="N563" s="1">
        <v>619307</v>
      </c>
      <c r="O563" s="1">
        <v>674643</v>
      </c>
      <c r="P563" s="1">
        <v>69307</v>
      </c>
      <c r="Q563" s="1">
        <v>-271955</v>
      </c>
      <c r="R563" s="1">
        <v>15.5</v>
      </c>
      <c r="T563">
        <f>E563/G563</f>
        <v>-0.13490315347870957</v>
      </c>
      <c r="U563">
        <f>D563/C563</f>
        <v>-8.6077986440596707E-2</v>
      </c>
      <c r="V563">
        <f>(E563-F563)/O563</f>
        <v>-0.95175967141139828</v>
      </c>
      <c r="W563">
        <f>H563/K563</f>
        <v>0.22979553981849321</v>
      </c>
      <c r="X563">
        <f>(H563-I563)/K563</f>
        <v>0.1137735879956248</v>
      </c>
      <c r="Y563">
        <f>(H563-K563)/G563</f>
        <v>-0.375475030338072</v>
      </c>
      <c r="Z563">
        <f>J563/N563</f>
        <v>6.5961679748493074</v>
      </c>
      <c r="AA563">
        <f>J563/G563</f>
        <v>0.85825922495890494</v>
      </c>
      <c r="AB563">
        <f>C563/G563</f>
        <v>0.66608161529643906</v>
      </c>
      <c r="AC563">
        <f>C563/(G563-K563)</f>
        <v>1.2996726166318622</v>
      </c>
      <c r="AD563">
        <f>Q563/E563</f>
        <v>0.42354126628645472</v>
      </c>
      <c r="AE563">
        <f>Q563/J563</f>
        <v>-6.6573187667332584E-2</v>
      </c>
      <c r="AF563">
        <f>Q563/G563</f>
        <v>-5.71370524504086E-2</v>
      </c>
      <c r="AG563">
        <f>Q563/K563</f>
        <v>-0.11720409902971701</v>
      </c>
      <c r="AH563">
        <f>Q563/L563</f>
        <v>-1.21578366199198</v>
      </c>
      <c r="AI563" s="1">
        <f>R563</f>
        <v>15.5</v>
      </c>
      <c r="AJ563" s="1">
        <f>P563</f>
        <v>69307</v>
      </c>
    </row>
    <row r="564" spans="1:36" x14ac:dyDescent="0.25">
      <c r="A564" t="s">
        <v>92</v>
      </c>
      <c r="B564">
        <v>2020</v>
      </c>
      <c r="C564" s="1">
        <v>3235690</v>
      </c>
      <c r="D564" s="1">
        <v>215600</v>
      </c>
      <c r="E564" s="1">
        <v>-127870</v>
      </c>
      <c r="G564" s="1">
        <v>4964807</v>
      </c>
      <c r="H564" s="1">
        <v>644344</v>
      </c>
      <c r="I564" s="1">
        <v>365698</v>
      </c>
      <c r="J564" s="1">
        <v>4345842</v>
      </c>
      <c r="K564" s="1">
        <v>2423453</v>
      </c>
      <c r="L564" s="1">
        <f>185842+M564</f>
        <v>352501</v>
      </c>
      <c r="M564" s="1">
        <v>166659</v>
      </c>
      <c r="N564" s="1">
        <v>571886</v>
      </c>
      <c r="O564" s="1">
        <v>618965</v>
      </c>
      <c r="P564" s="1">
        <v>21886</v>
      </c>
      <c r="Q564" s="1">
        <v>331645</v>
      </c>
      <c r="R564" s="1">
        <v>18.3</v>
      </c>
      <c r="T564">
        <f>E564/G564</f>
        <v>-2.5755281121703222E-2</v>
      </c>
      <c r="U564">
        <f>D564/C564</f>
        <v>6.6631846684942E-2</v>
      </c>
      <c r="V564">
        <f>(E564-F564)/O564</f>
        <v>-0.20658680216167311</v>
      </c>
      <c r="W564">
        <f>H564/K564</f>
        <v>0.26587848000353215</v>
      </c>
      <c r="X564">
        <f>(H564-I564)/K564</f>
        <v>0.11497891644690447</v>
      </c>
      <c r="Y564">
        <f>(H564-K564)/G564</f>
        <v>-0.35834404036249545</v>
      </c>
      <c r="Z564">
        <f>J564/N564</f>
        <v>7.5991403881193103</v>
      </c>
      <c r="AA564">
        <f>J564/G564</f>
        <v>0.87532949417771932</v>
      </c>
      <c r="AB564">
        <f>C564/G564</f>
        <v>0.65172523322658871</v>
      </c>
      <c r="AC564">
        <f>C564/(G564-K564)</f>
        <v>1.2732149869715121</v>
      </c>
      <c r="AD564">
        <f>Q564/E564</f>
        <v>-2.5936106983655276</v>
      </c>
      <c r="AE564">
        <f>Q564/J564</f>
        <v>7.6313174754167323E-2</v>
      </c>
      <c r="AF564">
        <f>Q564/G564</f>
        <v>6.6799172656661174E-2</v>
      </c>
      <c r="AG564">
        <f>Q564/K564</f>
        <v>0.1368481253814289</v>
      </c>
      <c r="AH564">
        <f>Q564/L564</f>
        <v>0.94083421039940307</v>
      </c>
      <c r="AI564" s="1">
        <f>R564</f>
        <v>18.3</v>
      </c>
      <c r="AJ564" s="1">
        <f>P564</f>
        <v>21886</v>
      </c>
    </row>
    <row r="565" spans="1:36" x14ac:dyDescent="0.25">
      <c r="A565" t="s">
        <v>92</v>
      </c>
      <c r="B565">
        <v>2021</v>
      </c>
      <c r="C565" s="1">
        <v>3710664</v>
      </c>
      <c r="D565" s="1">
        <v>198454</v>
      </c>
      <c r="E565" s="1">
        <v>156669</v>
      </c>
      <c r="G565" s="1">
        <v>4671051</v>
      </c>
      <c r="H565" s="1">
        <v>616149</v>
      </c>
      <c r="I565" s="1">
        <v>329683</v>
      </c>
      <c r="J565" s="1">
        <v>3928185</v>
      </c>
      <c r="K565" s="1">
        <v>2210681</v>
      </c>
      <c r="L565" s="1">
        <f>190627+M565</f>
        <v>249289</v>
      </c>
      <c r="M565" s="1">
        <v>58662</v>
      </c>
      <c r="N565" s="1">
        <v>699267</v>
      </c>
      <c r="O565" s="1">
        <v>742866</v>
      </c>
      <c r="P565" s="1">
        <v>149267</v>
      </c>
      <c r="Q565" s="1">
        <v>287935</v>
      </c>
      <c r="R565" s="1">
        <v>44.9</v>
      </c>
      <c r="T565">
        <f>E565/G565</f>
        <v>3.3540417349328874E-2</v>
      </c>
      <c r="U565">
        <f>D565/C565</f>
        <v>5.3482072211334684E-2</v>
      </c>
      <c r="V565">
        <f>(E565-F565)/O565</f>
        <v>0.21089806236925637</v>
      </c>
      <c r="W565">
        <f>H565/K565</f>
        <v>0.27871456804486944</v>
      </c>
      <c r="X565">
        <f>(H565-I565)/K565</f>
        <v>0.12958269420147003</v>
      </c>
      <c r="Y565">
        <f>(H565-K565)/G565</f>
        <v>-0.34136471642035165</v>
      </c>
      <c r="Z565">
        <f>J565/N565</f>
        <v>5.617575260951825</v>
      </c>
      <c r="AA565">
        <f>J565/G565</f>
        <v>0.84096384304089167</v>
      </c>
      <c r="AB565">
        <f>C565/G565</f>
        <v>0.7943959507185856</v>
      </c>
      <c r="AC565">
        <f>C565/(G565-K565)</f>
        <v>1.5081731609473372</v>
      </c>
      <c r="AD565">
        <f>Q565/E565</f>
        <v>1.837855606405862</v>
      </c>
      <c r="AE565">
        <f>Q565/J565</f>
        <v>7.3299755485039531E-2</v>
      </c>
      <c r="AF565">
        <f>Q565/G565</f>
        <v>6.1642444066656518E-2</v>
      </c>
      <c r="AG565">
        <f>Q565/K565</f>
        <v>0.13024719532126072</v>
      </c>
      <c r="AH565">
        <f>Q565/L565</f>
        <v>1.1550248907894052</v>
      </c>
      <c r="AI565" s="1">
        <f>R565</f>
        <v>44.9</v>
      </c>
      <c r="AJ565" s="1">
        <f>P565</f>
        <v>149267</v>
      </c>
    </row>
    <row r="566" spans="1:36" x14ac:dyDescent="0.25">
      <c r="A566" t="s">
        <v>92</v>
      </c>
      <c r="B566">
        <v>2022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/>
      <c r="T566" t="e">
        <f>E566/G566</f>
        <v>#DIV/0!</v>
      </c>
      <c r="U566" t="e">
        <f>D566/C566</f>
        <v>#DIV/0!</v>
      </c>
      <c r="V566" t="e">
        <f>(E566-F566)/O566</f>
        <v>#DIV/0!</v>
      </c>
      <c r="W566" t="e">
        <f>H566/K566</f>
        <v>#DIV/0!</v>
      </c>
      <c r="X566" t="e">
        <f>(H566-I566)/K566</f>
        <v>#DIV/0!</v>
      </c>
      <c r="Y566" t="e">
        <f>(H566-K566)/G566</f>
        <v>#DIV/0!</v>
      </c>
      <c r="Z566" t="e">
        <f>J566/N566</f>
        <v>#DIV/0!</v>
      </c>
      <c r="AA566" t="e">
        <f>J566/G566</f>
        <v>#DIV/0!</v>
      </c>
      <c r="AB566" t="e">
        <f>C566/G566</f>
        <v>#DIV/0!</v>
      </c>
      <c r="AC566" t="e">
        <f>C566/(G566-K566)</f>
        <v>#DIV/0!</v>
      </c>
      <c r="AD566" t="e">
        <f>Q566/E566</f>
        <v>#DIV/0!</v>
      </c>
      <c r="AE566" t="e">
        <f>Q566/J566</f>
        <v>#DIV/0!</v>
      </c>
      <c r="AF566" t="e">
        <f>Q566/G566</f>
        <v>#DIV/0!</v>
      </c>
      <c r="AG566" t="e">
        <f>Q566/K566</f>
        <v>#DIV/0!</v>
      </c>
      <c r="AH566" t="e">
        <f>Q566/L566</f>
        <v>#DIV/0!</v>
      </c>
      <c r="AI566" s="1">
        <f>R566</f>
        <v>0</v>
      </c>
      <c r="AJ566" s="1">
        <f>P566</f>
        <v>0</v>
      </c>
    </row>
    <row r="567" spans="1:36" x14ac:dyDescent="0.25">
      <c r="A567" t="s">
        <v>92</v>
      </c>
      <c r="B567">
        <v>2023</v>
      </c>
      <c r="C567" s="1">
        <v>6460982</v>
      </c>
      <c r="D567" s="1">
        <v>1110779</v>
      </c>
      <c r="E567" s="1">
        <v>668179</v>
      </c>
      <c r="G567" s="1">
        <v>8044036</v>
      </c>
      <c r="H567" s="1">
        <v>900482</v>
      </c>
      <c r="I567" s="1">
        <v>630398</v>
      </c>
      <c r="J567" s="1">
        <v>4584029</v>
      </c>
      <c r="K567" s="1">
        <v>2031326</v>
      </c>
      <c r="L567" s="1">
        <f>593556+M567</f>
        <v>614402</v>
      </c>
      <c r="M567" s="1">
        <v>20846</v>
      </c>
      <c r="N567" s="1">
        <v>3417954</v>
      </c>
      <c r="O567" s="1">
        <v>3460007</v>
      </c>
      <c r="P567" s="1">
        <v>725356</v>
      </c>
      <c r="Q567" s="1">
        <v>547138</v>
      </c>
      <c r="R567" s="1">
        <v>44</v>
      </c>
      <c r="T567">
        <f>E567/G567</f>
        <v>8.3065142920792492E-2</v>
      </c>
      <c r="U567">
        <f>D567/C567</f>
        <v>0.17192107948915505</v>
      </c>
      <c r="V567">
        <f>(E567-F567)/O567</f>
        <v>0.19311492722413567</v>
      </c>
      <c r="W567">
        <f>H567/K567</f>
        <v>0.44329762923331856</v>
      </c>
      <c r="X567">
        <f>(H567-I567)/K567</f>
        <v>0.13295945604004478</v>
      </c>
      <c r="Y567">
        <f>(H567-K567)/G567</f>
        <v>-0.14058166820735263</v>
      </c>
      <c r="Z567">
        <f>J567/N567</f>
        <v>1.3411617008303798</v>
      </c>
      <c r="AA567">
        <f>J567/G567</f>
        <v>0.56986679323662892</v>
      </c>
      <c r="AB567">
        <f>C567/G567</f>
        <v>0.80320152719356308</v>
      </c>
      <c r="AC567">
        <f>C567/(G567-K567)</f>
        <v>1.0745540696291689</v>
      </c>
      <c r="AD567">
        <f>Q567/E567</f>
        <v>0.81884944004525728</v>
      </c>
      <c r="AE567">
        <f>Q567/J567</f>
        <v>0.11935744734599192</v>
      </c>
      <c r="AF567">
        <f>Q567/G567</f>
        <v>6.8017845767970209E-2</v>
      </c>
      <c r="AG567">
        <f>Q567/K567</f>
        <v>0.26935016831370245</v>
      </c>
      <c r="AH567">
        <f>Q567/L567</f>
        <v>0.89052118970966887</v>
      </c>
      <c r="AI567" s="1">
        <f>R567</f>
        <v>44</v>
      </c>
      <c r="AJ567" s="1">
        <f>P567</f>
        <v>725356</v>
      </c>
    </row>
    <row r="568" spans="1:36" s="8" customFormat="1" x14ac:dyDescent="0.25">
      <c r="A568" s="8" t="s">
        <v>92</v>
      </c>
      <c r="B568" s="8">
        <v>2024</v>
      </c>
      <c r="C568" s="9">
        <v>4905298</v>
      </c>
      <c r="D568" s="9">
        <v>907883</v>
      </c>
      <c r="E568" s="9">
        <v>72104</v>
      </c>
      <c r="F568" s="9"/>
      <c r="G568" s="9">
        <v>8882016</v>
      </c>
      <c r="H568" s="9">
        <v>1067145</v>
      </c>
      <c r="I568" s="9">
        <v>582222</v>
      </c>
      <c r="J568" s="9">
        <v>5418289</v>
      </c>
      <c r="K568" s="9">
        <v>2225873</v>
      </c>
      <c r="L568" s="9">
        <v>20846</v>
      </c>
      <c r="M568" s="9">
        <v>0</v>
      </c>
      <c r="N568" s="9">
        <v>3429163</v>
      </c>
      <c r="O568" s="9">
        <v>3463727</v>
      </c>
      <c r="P568" s="9">
        <v>736565</v>
      </c>
      <c r="Q568" s="9">
        <v>567109</v>
      </c>
      <c r="R568" s="9">
        <v>32.9</v>
      </c>
      <c r="T568" s="8">
        <f>E568/G568</f>
        <v>8.1179768196769746E-3</v>
      </c>
      <c r="U568" s="8">
        <f>D568/C568</f>
        <v>0.18508212956684791</v>
      </c>
      <c r="V568" s="8">
        <f>(E568-F568)/O568</f>
        <v>2.0816883085762822E-2</v>
      </c>
      <c r="W568" s="8">
        <f>H568/K568</f>
        <v>0.47942762233065406</v>
      </c>
      <c r="X568" s="8">
        <f>(H568-I568)/K568</f>
        <v>0.21785744289993184</v>
      </c>
      <c r="Y568" s="8">
        <f>(H568-K568)/G568</f>
        <v>-0.13045776994772357</v>
      </c>
      <c r="Z568" s="8">
        <f>J568/N568</f>
        <v>1.580061665193518</v>
      </c>
      <c r="AA568" s="8">
        <f>J568/G568</f>
        <v>0.61002918706744058</v>
      </c>
      <c r="AB568" s="8">
        <f>C568/G568</f>
        <v>0.55227304251647369</v>
      </c>
      <c r="AC568" s="8">
        <f>C568/(G568-K568)</f>
        <v>0.73695802509050667</v>
      </c>
      <c r="AD568" s="8">
        <f>Q568/E568</f>
        <v>7.8651531121713081</v>
      </c>
      <c r="AE568" s="8">
        <f>Q568/J568</f>
        <v>0.10466569797218273</v>
      </c>
      <c r="AF568" s="8">
        <f>Q568/G568</f>
        <v>6.3849130647816887E-2</v>
      </c>
      <c r="AG568" s="8">
        <f>Q568/K568</f>
        <v>0.25478048388205438</v>
      </c>
      <c r="AH568" s="8">
        <f>Q568/L568</f>
        <v>27.204691547539095</v>
      </c>
      <c r="AI568" s="9">
        <f>R568</f>
        <v>32.9</v>
      </c>
      <c r="AJ568" s="9">
        <f>P568</f>
        <v>736565</v>
      </c>
    </row>
    <row r="569" spans="1:36" x14ac:dyDescent="0.25">
      <c r="A569" s="15" t="s">
        <v>93</v>
      </c>
      <c r="B569" s="15">
        <v>2018</v>
      </c>
      <c r="C569" s="6">
        <v>3131674</v>
      </c>
      <c r="D569" s="6">
        <v>189205</v>
      </c>
      <c r="E569" s="6">
        <v>122843</v>
      </c>
      <c r="F569" s="6"/>
      <c r="G569" s="6">
        <v>1698572</v>
      </c>
      <c r="H569" s="6">
        <v>869128</v>
      </c>
      <c r="I569" s="6">
        <v>190453</v>
      </c>
      <c r="J569" s="6">
        <v>431311</v>
      </c>
      <c r="K569" s="6">
        <v>292908</v>
      </c>
      <c r="L569" s="6">
        <v>0</v>
      </c>
      <c r="M569" s="6">
        <v>0</v>
      </c>
      <c r="N569" s="6">
        <v>1267260</v>
      </c>
      <c r="O569" s="6">
        <v>1267260</v>
      </c>
      <c r="P569" s="6">
        <v>1122009</v>
      </c>
      <c r="Q569" s="6">
        <v>224296</v>
      </c>
      <c r="R569" s="6">
        <v>1351.1</v>
      </c>
      <c r="S569" s="15"/>
      <c r="T569" s="15">
        <f>E569/G569</f>
        <v>7.2321338159347964E-2</v>
      </c>
      <c r="U569" s="15">
        <f>D569/C569</f>
        <v>6.0416569540763181E-2</v>
      </c>
      <c r="V569" s="15">
        <f>(E569-F569)/O569</f>
        <v>9.6935908968956652E-2</v>
      </c>
      <c r="W569" s="15">
        <f>H569/K569</f>
        <v>2.9672388599833397</v>
      </c>
      <c r="X569" s="15">
        <f>(H569-I569)/K569</f>
        <v>2.3170244581916508</v>
      </c>
      <c r="Y569" s="15">
        <f>(H569-K569)/G569</f>
        <v>0.3392379010133218</v>
      </c>
      <c r="Z569" s="15">
        <f>J569/N569</f>
        <v>0.34034925745308775</v>
      </c>
      <c r="AA569" s="15">
        <f>J569/G569</f>
        <v>0.25392565048758603</v>
      </c>
      <c r="AB569" s="15">
        <f>C569/G569</f>
        <v>1.8437098927805238</v>
      </c>
      <c r="AC569" s="15">
        <f>C569/(G569-K569)</f>
        <v>2.2278965670316664</v>
      </c>
      <c r="AD569" s="15">
        <f>Q569/E569</f>
        <v>1.8258753042501403</v>
      </c>
      <c r="AE569" s="15">
        <f>Q569/J569</f>
        <v>0.52003310836032468</v>
      </c>
      <c r="AF569" s="15">
        <f>Q569/G569</f>
        <v>0.13204974531547675</v>
      </c>
      <c r="AG569" s="15">
        <f>Q569/K569</f>
        <v>0.76575580045611591</v>
      </c>
      <c r="AH569" s="15" t="e">
        <f>Q569/L569</f>
        <v>#DIV/0!</v>
      </c>
      <c r="AI569" s="6">
        <f>R569</f>
        <v>1351.1</v>
      </c>
      <c r="AJ569" s="6">
        <f>P569</f>
        <v>1122009</v>
      </c>
    </row>
    <row r="570" spans="1:36" x14ac:dyDescent="0.25">
      <c r="A570" t="s">
        <v>93</v>
      </c>
      <c r="B570">
        <v>2019</v>
      </c>
      <c r="C570" s="1">
        <v>3626418</v>
      </c>
      <c r="D570" s="1">
        <v>219478</v>
      </c>
      <c r="E570" s="1">
        <v>172796</v>
      </c>
      <c r="G570" s="1">
        <v>1725714</v>
      </c>
      <c r="H570" s="1">
        <v>913962</v>
      </c>
      <c r="I570" s="1">
        <v>188847</v>
      </c>
      <c r="J570" s="1">
        <v>369517</v>
      </c>
      <c r="K570" s="1">
        <v>232882</v>
      </c>
      <c r="L570" s="1">
        <v>0</v>
      </c>
      <c r="M570" s="1">
        <v>0</v>
      </c>
      <c r="N570" s="1">
        <v>1356197</v>
      </c>
      <c r="O570" s="1">
        <v>1356197</v>
      </c>
      <c r="P570" s="1">
        <v>1230767</v>
      </c>
      <c r="Q570" s="1">
        <v>167953</v>
      </c>
      <c r="R570" s="1">
        <v>1388.9</v>
      </c>
      <c r="T570">
        <f>E570/G570</f>
        <v>0.10013014902817037</v>
      </c>
      <c r="U570">
        <f>D570/C570</f>
        <v>6.0521980643158071E-2</v>
      </c>
      <c r="V570">
        <f>(E570-F570)/O570</f>
        <v>0.12741216799624244</v>
      </c>
      <c r="W570">
        <f>H570/K570</f>
        <v>3.9245712420882679</v>
      </c>
      <c r="X570">
        <f>(H570-I570)/K570</f>
        <v>3.1136584192853034</v>
      </c>
      <c r="Y570">
        <f>(H570-K570)/G570</f>
        <v>0.39466562825589874</v>
      </c>
      <c r="Z570">
        <f>J570/N570</f>
        <v>0.27246557837836244</v>
      </c>
      <c r="AA570">
        <f>J570/G570</f>
        <v>0.21412412485498755</v>
      </c>
      <c r="AB570">
        <f>C570/G570</f>
        <v>2.101401506854554</v>
      </c>
      <c r="AC570">
        <f>C570/(G570-K570)</f>
        <v>2.4292204347173696</v>
      </c>
      <c r="AD570">
        <f>Q570/E570</f>
        <v>0.97197273085025115</v>
      </c>
      <c r="AE570">
        <f>Q570/J570</f>
        <v>0.4545203603623108</v>
      </c>
      <c r="AF570">
        <f>Q570/G570</f>
        <v>9.7323774391353382E-2</v>
      </c>
      <c r="AG570">
        <f>Q570/K570</f>
        <v>0.72119356584021088</v>
      </c>
      <c r="AH570" t="e">
        <f>Q570/L570</f>
        <v>#DIV/0!</v>
      </c>
      <c r="AI570" s="1">
        <f>R570</f>
        <v>1388.9</v>
      </c>
      <c r="AJ570" s="1">
        <f>P570</f>
        <v>1230767</v>
      </c>
    </row>
    <row r="571" spans="1:36" x14ac:dyDescent="0.25">
      <c r="A571" t="s">
        <v>93</v>
      </c>
      <c r="B571">
        <v>2020</v>
      </c>
      <c r="C571" s="1">
        <v>3652268</v>
      </c>
      <c r="D571" s="1">
        <v>210829</v>
      </c>
      <c r="E571" s="1">
        <v>148293</v>
      </c>
      <c r="G571" s="1">
        <v>1930408</v>
      </c>
      <c r="H571" s="1">
        <v>1001051</v>
      </c>
      <c r="I571" s="1">
        <v>310185</v>
      </c>
      <c r="J571" s="1">
        <v>523580</v>
      </c>
      <c r="K571" s="1">
        <v>372075</v>
      </c>
      <c r="L571" s="1">
        <v>0</v>
      </c>
      <c r="M571" s="1">
        <v>0</v>
      </c>
      <c r="N571" s="1">
        <v>1406828</v>
      </c>
      <c r="O571" s="1">
        <v>1406828</v>
      </c>
      <c r="P571" s="1">
        <v>1281397</v>
      </c>
      <c r="Q571" s="1">
        <v>167642</v>
      </c>
      <c r="R571" s="1">
        <v>1687.2</v>
      </c>
      <c r="T571">
        <f>E571/G571</f>
        <v>7.6819511730162743E-2</v>
      </c>
      <c r="U571">
        <f>D571/C571</f>
        <v>5.7725500976379608E-2</v>
      </c>
      <c r="V571">
        <f>(E571-F571)/O571</f>
        <v>0.10540947436360379</v>
      </c>
      <c r="W571">
        <f>H571/K571</f>
        <v>2.6904548814083182</v>
      </c>
      <c r="X571">
        <f>(H571-I571)/K571</f>
        <v>1.8567923133776791</v>
      </c>
      <c r="Y571">
        <f>(H571-K571)/G571</f>
        <v>0.32582542136170178</v>
      </c>
      <c r="Z571">
        <f>J571/N571</f>
        <v>0.37217058517459134</v>
      </c>
      <c r="AA571">
        <f>J571/G571</f>
        <v>0.27122763685189866</v>
      </c>
      <c r="AB571">
        <f>C571/G571</f>
        <v>1.8919668795404909</v>
      </c>
      <c r="AC571">
        <f>C571/(G571-K571)</f>
        <v>2.3437018917009396</v>
      </c>
      <c r="AD571">
        <f>Q571/E571</f>
        <v>1.1304781749644286</v>
      </c>
      <c r="AE571">
        <f>Q571/J571</f>
        <v>0.32018411704037586</v>
      </c>
      <c r="AF571">
        <f>Q571/G571</f>
        <v>8.6842781422372881E-2</v>
      </c>
      <c r="AG571">
        <f>Q571/K571</f>
        <v>0.45055969898541959</v>
      </c>
      <c r="AH571" t="e">
        <f>Q571/L571</f>
        <v>#DIV/0!</v>
      </c>
      <c r="AI571" s="1">
        <f>R571</f>
        <v>1687.2</v>
      </c>
      <c r="AJ571" s="1">
        <f>P571</f>
        <v>1281397</v>
      </c>
    </row>
    <row r="572" spans="1:36" x14ac:dyDescent="0.25">
      <c r="A572" t="s">
        <v>93</v>
      </c>
      <c r="B572">
        <v>2021</v>
      </c>
      <c r="C572" s="1">
        <v>3531605</v>
      </c>
      <c r="D572" s="1">
        <v>172043</v>
      </c>
      <c r="E572" s="1">
        <v>176867</v>
      </c>
      <c r="G572" s="1">
        <v>2163245</v>
      </c>
      <c r="H572" s="1">
        <v>1164208</v>
      </c>
      <c r="I572" s="1">
        <v>393544</v>
      </c>
      <c r="J572" s="1">
        <v>685232</v>
      </c>
      <c r="K572" s="1">
        <v>478499</v>
      </c>
      <c r="L572" s="1">
        <v>0</v>
      </c>
      <c r="M572" s="1">
        <v>0</v>
      </c>
      <c r="N572" s="1">
        <v>1478013</v>
      </c>
      <c r="O572" s="1">
        <v>1478013</v>
      </c>
      <c r="P572" s="1">
        <v>1352583</v>
      </c>
      <c r="Q572" s="1">
        <v>224645</v>
      </c>
      <c r="R572" s="1">
        <v>4048.25</v>
      </c>
      <c r="T572">
        <f>E572/G572</f>
        <v>8.1760041049441928E-2</v>
      </c>
      <c r="U572">
        <f>D572/C572</f>
        <v>4.8715244201998811E-2</v>
      </c>
      <c r="V572">
        <f>(E572-F572)/O572</f>
        <v>0.11966538859942369</v>
      </c>
      <c r="W572">
        <f>H572/K572</f>
        <v>2.4330416573493361</v>
      </c>
      <c r="X572">
        <f>(H572-I572)/K572</f>
        <v>1.610586438007185</v>
      </c>
      <c r="Y572">
        <f>(H572-K572)/G572</f>
        <v>0.31698166412033774</v>
      </c>
      <c r="Z572">
        <f>J572/N572</f>
        <v>0.46361703178524138</v>
      </c>
      <c r="AA572">
        <f>J572/G572</f>
        <v>0.31676116205053056</v>
      </c>
      <c r="AB572">
        <f>C572/G572</f>
        <v>1.6325497111977607</v>
      </c>
      <c r="AC572">
        <f>C572/(G572-K572)</f>
        <v>2.0962240005318309</v>
      </c>
      <c r="AD572">
        <f>Q572/E572</f>
        <v>1.2701351863264487</v>
      </c>
      <c r="AE572">
        <f>Q572/J572</f>
        <v>0.32783787096924838</v>
      </c>
      <c r="AF572">
        <f>Q572/G572</f>
        <v>0.10384630497239102</v>
      </c>
      <c r="AG572">
        <f>Q572/K572</f>
        <v>0.46947851510661465</v>
      </c>
      <c r="AH572" t="e">
        <f>Q572/L572</f>
        <v>#DIV/0!</v>
      </c>
      <c r="AI572" s="1">
        <f>R572</f>
        <v>4048.25</v>
      </c>
      <c r="AJ572" s="1">
        <f>P572</f>
        <v>1352583</v>
      </c>
    </row>
    <row r="573" spans="1:36" x14ac:dyDescent="0.25">
      <c r="A573" t="s">
        <v>93</v>
      </c>
      <c r="B573">
        <v>2022</v>
      </c>
      <c r="C573" s="1">
        <v>4581110</v>
      </c>
      <c r="D573" s="1">
        <v>261797</v>
      </c>
      <c r="E573" s="1">
        <v>209408</v>
      </c>
      <c r="G573" s="1">
        <v>2290816</v>
      </c>
      <c r="H573" s="1">
        <v>1388722</v>
      </c>
      <c r="I573" s="1">
        <v>445330</v>
      </c>
      <c r="J573" s="1">
        <v>683259</v>
      </c>
      <c r="K573" s="1">
        <v>506232</v>
      </c>
      <c r="L573" s="1">
        <v>0</v>
      </c>
      <c r="M573" s="1">
        <v>0</v>
      </c>
      <c r="N573" s="1">
        <v>1607557</v>
      </c>
      <c r="O573" s="1">
        <v>1607557</v>
      </c>
      <c r="P573" s="1">
        <v>1482127</v>
      </c>
      <c r="Q573" s="1">
        <v>249409</v>
      </c>
      <c r="R573" s="1">
        <v>4500</v>
      </c>
      <c r="T573">
        <f>E573/G573</f>
        <v>9.1411968486338493E-2</v>
      </c>
      <c r="U573">
        <f>D573/C573</f>
        <v>5.714706697721731E-2</v>
      </c>
      <c r="V573">
        <f>(E573-F573)/O573</f>
        <v>0.13026474333413995</v>
      </c>
      <c r="W573">
        <f>H573/K573</f>
        <v>2.7432521057538835</v>
      </c>
      <c r="X573">
        <f>(H573-I573)/K573</f>
        <v>1.8635566301616651</v>
      </c>
      <c r="Y573">
        <f>(H573-K573)/G573</f>
        <v>0.38522954266078113</v>
      </c>
      <c r="Z573">
        <f>J573/N573</f>
        <v>0.42502940797744654</v>
      </c>
      <c r="AA573">
        <f>J573/G573</f>
        <v>0.29826009596580433</v>
      </c>
      <c r="AB573">
        <f>C573/G573</f>
        <v>1.9997721335978096</v>
      </c>
      <c r="AC573">
        <f>C573/(G573-K573)</f>
        <v>2.5670464377132149</v>
      </c>
      <c r="AD573">
        <f>Q573/E573</f>
        <v>1.1910194452933984</v>
      </c>
      <c r="AE573">
        <f>Q573/J573</f>
        <v>0.36502848846484276</v>
      </c>
      <c r="AF573">
        <f>Q573/G573</f>
        <v>0.1088734319997765</v>
      </c>
      <c r="AG573">
        <f>Q573/K573</f>
        <v>0.49267727050048199</v>
      </c>
      <c r="AH573" t="e">
        <f>Q573/L573</f>
        <v>#DIV/0!</v>
      </c>
      <c r="AI573" s="1">
        <f>R573</f>
        <v>4500</v>
      </c>
      <c r="AJ573" s="1">
        <f>P573</f>
        <v>1482127</v>
      </c>
    </row>
    <row r="574" spans="1:36" x14ac:dyDescent="0.25">
      <c r="A574" t="s">
        <v>93</v>
      </c>
      <c r="B574">
        <v>2023</v>
      </c>
      <c r="C574" s="1">
        <v>6464393</v>
      </c>
      <c r="D574" s="1">
        <v>118082</v>
      </c>
      <c r="E574" s="1">
        <v>90195</v>
      </c>
      <c r="G574" s="1">
        <v>2244622</v>
      </c>
      <c r="H574" s="1">
        <v>1405531</v>
      </c>
      <c r="I574" s="1">
        <v>434609</v>
      </c>
      <c r="J574" s="1">
        <v>653574</v>
      </c>
      <c r="K574" s="1">
        <v>472891</v>
      </c>
      <c r="L574" s="1">
        <v>0</v>
      </c>
      <c r="M574" s="1">
        <v>0</v>
      </c>
      <c r="N574" s="1">
        <v>1591047</v>
      </c>
      <c r="O574" s="1">
        <v>1591047</v>
      </c>
      <c r="P574" s="1">
        <v>1465616</v>
      </c>
      <c r="Q574" s="1">
        <v>91394</v>
      </c>
      <c r="R574" s="1">
        <v>4000</v>
      </c>
      <c r="T574">
        <f>E574/G574</f>
        <v>4.018271227850391E-2</v>
      </c>
      <c r="U574">
        <f>D574/C574</f>
        <v>1.8266525565509398E-2</v>
      </c>
      <c r="V574">
        <f>(E574-F574)/O574</f>
        <v>5.6689085866099491E-2</v>
      </c>
      <c r="W574">
        <f>H574/K574</f>
        <v>2.9722092406072433</v>
      </c>
      <c r="X574">
        <f>(H574-I574)/K574</f>
        <v>2.0531623566530133</v>
      </c>
      <c r="Y574">
        <f>(H574-K574)/G574</f>
        <v>0.41549980353039401</v>
      </c>
      <c r="Z574">
        <f>J574/N574</f>
        <v>0.41078233389711305</v>
      </c>
      <c r="AA574">
        <f>J574/G574</f>
        <v>0.29117330223084331</v>
      </c>
      <c r="AB574">
        <f>C574/G574</f>
        <v>2.8799472695179857</v>
      </c>
      <c r="AC574">
        <f>C574/(G574-K574)</f>
        <v>3.6486311973996051</v>
      </c>
      <c r="AD574">
        <f>Q574/E574</f>
        <v>1.0132934198126282</v>
      </c>
      <c r="AE574">
        <f>Q574/J574</f>
        <v>0.13983726402825081</v>
      </c>
      <c r="AF574">
        <f>Q574/G574</f>
        <v>4.0716877942032111E-2</v>
      </c>
      <c r="AG574">
        <f>Q574/K574</f>
        <v>0.1932665244210611</v>
      </c>
      <c r="AH574" t="e">
        <f>Q574/L574</f>
        <v>#DIV/0!</v>
      </c>
      <c r="AI574" s="1">
        <f>R574</f>
        <v>4000</v>
      </c>
      <c r="AJ574" s="1">
        <f>P574</f>
        <v>1465616</v>
      </c>
    </row>
    <row r="575" spans="1:36" s="8" customFormat="1" x14ac:dyDescent="0.25">
      <c r="A575" s="8" t="s">
        <v>93</v>
      </c>
      <c r="B575" s="8">
        <v>2024</v>
      </c>
      <c r="C575" s="9">
        <v>6301494</v>
      </c>
      <c r="D575" s="9">
        <v>309774</v>
      </c>
      <c r="E575" s="9">
        <v>224665</v>
      </c>
      <c r="F575" s="9"/>
      <c r="G575" s="9">
        <v>2737343</v>
      </c>
      <c r="H575" s="9">
        <v>1847187</v>
      </c>
      <c r="I575" s="9">
        <v>514104</v>
      </c>
      <c r="J575" s="9">
        <v>997878</v>
      </c>
      <c r="K575" s="9">
        <v>795233</v>
      </c>
      <c r="L575" s="9">
        <v>0</v>
      </c>
      <c r="M575" s="9">
        <v>0</v>
      </c>
      <c r="N575" s="9">
        <v>1739465</v>
      </c>
      <c r="O575" s="9">
        <v>1739465</v>
      </c>
      <c r="P575" s="9">
        <v>1614035</v>
      </c>
      <c r="Q575" s="9">
        <v>366269</v>
      </c>
      <c r="R575" s="9">
        <v>4000</v>
      </c>
      <c r="T575" s="8">
        <f>E575/G575</f>
        <v>8.2074113474270488E-2</v>
      </c>
      <c r="U575" s="8">
        <f>D575/C575</f>
        <v>4.9158818527796744E-2</v>
      </c>
      <c r="V575" s="8">
        <f>(E575-F575)/O575</f>
        <v>0.12915752832048935</v>
      </c>
      <c r="W575" s="8">
        <f>H575/K575</f>
        <v>2.3228248827702069</v>
      </c>
      <c r="X575" s="8">
        <f>(H575-I575)/K575</f>
        <v>1.6763426568062443</v>
      </c>
      <c r="Y575" s="8">
        <f>(H575-K575)/G575</f>
        <v>0.3842974738642545</v>
      </c>
      <c r="Z575" s="8">
        <f>J575/N575</f>
        <v>0.57366949033179737</v>
      </c>
      <c r="AA575" s="8">
        <f>J575/G575</f>
        <v>0.36454255093351473</v>
      </c>
      <c r="AB575" s="8">
        <f>C575/G575</f>
        <v>2.302047642549728</v>
      </c>
      <c r="AC575" s="8">
        <f>C575/(G575-K575)</f>
        <v>3.2446637935029425</v>
      </c>
      <c r="AD575" s="8">
        <f>Q575/E575</f>
        <v>1.6302895422072865</v>
      </c>
      <c r="AE575" s="8">
        <f>Q575/J575</f>
        <v>0.36704787559200625</v>
      </c>
      <c r="AF575" s="8">
        <f>Q575/G575</f>
        <v>0.13380456888303732</v>
      </c>
      <c r="AG575" s="8">
        <f>Q575/K575</f>
        <v>0.4605807354574068</v>
      </c>
      <c r="AH575" s="8" t="e">
        <f>Q575/L575</f>
        <v>#DIV/0!</v>
      </c>
      <c r="AI575" s="9">
        <f>R575</f>
        <v>4000</v>
      </c>
      <c r="AJ575" s="9">
        <f>P575</f>
        <v>1614035</v>
      </c>
    </row>
    <row r="576" spans="1:36" x14ac:dyDescent="0.25">
      <c r="A576" s="15" t="s">
        <v>95</v>
      </c>
      <c r="B576" s="15">
        <v>2018</v>
      </c>
      <c r="C576" s="6">
        <v>15518079</v>
      </c>
      <c r="D576" s="6">
        <v>1090442</v>
      </c>
      <c r="E576" s="6">
        <v>773624</v>
      </c>
      <c r="F576" s="6"/>
      <c r="G576" s="6">
        <v>15282457</v>
      </c>
      <c r="H576" s="6">
        <v>8891056</v>
      </c>
      <c r="I576" s="6">
        <v>4085980</v>
      </c>
      <c r="J576" s="6">
        <v>6944846</v>
      </c>
      <c r="K576" s="6">
        <v>6041736</v>
      </c>
      <c r="L576" s="6">
        <f>2944623+M576</f>
        <v>3164110</v>
      </c>
      <c r="M576" s="6">
        <v>219487</v>
      </c>
      <c r="N576" s="6">
        <v>7427840</v>
      </c>
      <c r="O576" s="6">
        <v>8337611</v>
      </c>
      <c r="P576" s="6">
        <v>6447363</v>
      </c>
      <c r="Q576" s="6">
        <v>93303</v>
      </c>
      <c r="R576" s="6">
        <v>120</v>
      </c>
      <c r="S576" s="15"/>
      <c r="T576" s="15">
        <f>E576/G576</f>
        <v>5.0621703041598611E-2</v>
      </c>
      <c r="U576" s="15">
        <f>D576/C576</f>
        <v>7.0269135760940515E-2</v>
      </c>
      <c r="V576" s="15">
        <f>(E576-F576)/O576</f>
        <v>9.2787250448599728E-2</v>
      </c>
      <c r="W576" s="15">
        <f>H576/K576</f>
        <v>1.4716061741194915</v>
      </c>
      <c r="X576" s="15">
        <f>(H576-I576)/K576</f>
        <v>0.79531379722649254</v>
      </c>
      <c r="Y576" s="15">
        <f>(H576-K576)/G576</f>
        <v>0.18644384211256082</v>
      </c>
      <c r="Z576" s="15">
        <f>J576/N576</f>
        <v>0.93497517447871792</v>
      </c>
      <c r="AA576" s="15">
        <f>J576/G576</f>
        <v>0.45443255623097778</v>
      </c>
      <c r="AB576" s="15">
        <f>C576/G576</f>
        <v>1.0154178087986767</v>
      </c>
      <c r="AC576" s="15">
        <f>C576/(G576-K576)</f>
        <v>1.6793147417825947</v>
      </c>
      <c r="AD576" s="15">
        <f>Q576/E576</f>
        <v>0.12060510015201183</v>
      </c>
      <c r="AE576" s="15">
        <f>Q576/J576</f>
        <v>1.3434855142936216E-2</v>
      </c>
      <c r="AF576" s="15">
        <f>Q576/G576</f>
        <v>6.1052355651974024E-3</v>
      </c>
      <c r="AG576" s="15">
        <f>Q576/K576</f>
        <v>1.5443077949781321E-2</v>
      </c>
      <c r="AH576" s="15">
        <f>Q576/L576</f>
        <v>2.9487912872814156E-2</v>
      </c>
      <c r="AI576" s="6">
        <f>R576</f>
        <v>120</v>
      </c>
      <c r="AJ576" s="6">
        <f>P576</f>
        <v>6447363</v>
      </c>
    </row>
    <row r="577" spans="1:36" x14ac:dyDescent="0.25">
      <c r="A577" t="s">
        <v>95</v>
      </c>
      <c r="B577">
        <v>2019</v>
      </c>
      <c r="C577" s="1">
        <v>20917945</v>
      </c>
      <c r="D577" s="1">
        <v>1524699</v>
      </c>
      <c r="E577" s="1">
        <v>1081702</v>
      </c>
      <c r="G577" s="1">
        <v>18975132</v>
      </c>
      <c r="H577" s="1">
        <v>12313966</v>
      </c>
      <c r="I577" s="1">
        <v>6807033</v>
      </c>
      <c r="J577" s="1">
        <v>9622331</v>
      </c>
      <c r="K577" s="1">
        <v>8802222</v>
      </c>
      <c r="L577" s="1">
        <f>4285249+M577</f>
        <v>4340467</v>
      </c>
      <c r="M577" s="1">
        <v>55218</v>
      </c>
      <c r="N577" s="1">
        <v>8250386</v>
      </c>
      <c r="O577" s="1">
        <v>9352801</v>
      </c>
      <c r="P577" s="1">
        <v>7242868</v>
      </c>
      <c r="Q577" s="1">
        <v>-536411</v>
      </c>
      <c r="R577" s="1">
        <v>127</v>
      </c>
      <c r="T577">
        <f>E577/G577</f>
        <v>5.7006296451587266E-2</v>
      </c>
      <c r="U577">
        <f>D577/C577</f>
        <v>7.2889521413312827E-2</v>
      </c>
      <c r="V577">
        <f>(E577-F577)/O577</f>
        <v>0.11565540633228484</v>
      </c>
      <c r="W577">
        <f>H577/K577</f>
        <v>1.3989610805089896</v>
      </c>
      <c r="X577">
        <f>(H577-I577)/K577</f>
        <v>0.62562986936707576</v>
      </c>
      <c r="Y577">
        <f>(H577-K577)/G577</f>
        <v>0.18507086011312068</v>
      </c>
      <c r="Z577">
        <f>J577/N577</f>
        <v>1.1662885833462822</v>
      </c>
      <c r="AA577">
        <f>J577/G577</f>
        <v>0.50710219038265447</v>
      </c>
      <c r="AB577">
        <f>C577/G577</f>
        <v>1.1023873246309959</v>
      </c>
      <c r="AC577">
        <f>C577/(G577-K577)</f>
        <v>2.0562400532394367</v>
      </c>
      <c r="AD577">
        <f>Q577/E577</f>
        <v>-0.49589535750141905</v>
      </c>
      <c r="AE577">
        <f>Q577/J577</f>
        <v>-5.5746471411137283E-2</v>
      </c>
      <c r="AF577">
        <f>Q577/G577</f>
        <v>-2.8269157758691744E-2</v>
      </c>
      <c r="AG577">
        <f>Q577/K577</f>
        <v>-6.0940408001525066E-2</v>
      </c>
      <c r="AH577">
        <f>Q577/L577</f>
        <v>-0.12358370654586247</v>
      </c>
      <c r="AI577" s="1">
        <f>R577</f>
        <v>127</v>
      </c>
      <c r="AJ577" s="1">
        <f>P577</f>
        <v>7242868</v>
      </c>
    </row>
    <row r="578" spans="1:36" x14ac:dyDescent="0.25">
      <c r="A578" t="s">
        <v>95</v>
      </c>
      <c r="B578">
        <v>2020</v>
      </c>
      <c r="C578" s="1">
        <v>22822743</v>
      </c>
      <c r="D578" s="1">
        <v>2501619</v>
      </c>
      <c r="E578" s="1">
        <v>1766044</v>
      </c>
      <c r="G578" s="1">
        <v>19445652</v>
      </c>
      <c r="H578" s="1">
        <v>12546480</v>
      </c>
      <c r="I578" s="1">
        <v>6674679</v>
      </c>
      <c r="J578" s="1">
        <v>8788993</v>
      </c>
      <c r="K578" s="1">
        <v>7733503</v>
      </c>
      <c r="L578" s="1">
        <f>2936426+M578</f>
        <v>3086766</v>
      </c>
      <c r="M578" s="1">
        <v>150340</v>
      </c>
      <c r="N578" s="1">
        <v>9321215</v>
      </c>
      <c r="O578" s="1">
        <v>10656659</v>
      </c>
      <c r="P578" s="1">
        <v>8313697</v>
      </c>
      <c r="Q578" s="1">
        <v>2607969</v>
      </c>
      <c r="R578" s="1">
        <v>160</v>
      </c>
      <c r="T578">
        <f>E578/G578</f>
        <v>9.0819479850817036E-2</v>
      </c>
      <c r="U578">
        <f>D578/C578</f>
        <v>0.10961079481112328</v>
      </c>
      <c r="V578">
        <f>(E578-F578)/O578</f>
        <v>0.16572210858956826</v>
      </c>
      <c r="W578">
        <f>H578/K578</f>
        <v>1.6223540612837417</v>
      </c>
      <c r="X578">
        <f>(H578-I578)/K578</f>
        <v>0.75926795399187152</v>
      </c>
      <c r="Y578">
        <f>(H578-K578)/G578</f>
        <v>0.24750916040254139</v>
      </c>
      <c r="Z578">
        <f>J578/N578</f>
        <v>0.94290207875260901</v>
      </c>
      <c r="AA578">
        <f>J578/G578</f>
        <v>0.45197728520493941</v>
      </c>
      <c r="AB578">
        <f>C578/G578</f>
        <v>1.1736681804240865</v>
      </c>
      <c r="AC578">
        <f>C578/(G578-K578)</f>
        <v>1.9486383754168428</v>
      </c>
      <c r="AD578">
        <f>Q578/E578</f>
        <v>1.4767293453617236</v>
      </c>
      <c r="AE578">
        <f>Q578/J578</f>
        <v>0.29673126375228653</v>
      </c>
      <c r="AF578">
        <f>Q578/G578</f>
        <v>0.13411579102618931</v>
      </c>
      <c r="AG578">
        <f>Q578/K578</f>
        <v>0.33722997198035615</v>
      </c>
      <c r="AH578">
        <f>Q578/L578</f>
        <v>0.84488717317736428</v>
      </c>
      <c r="AI578" s="1">
        <f>R578</f>
        <v>160</v>
      </c>
      <c r="AJ578" s="1">
        <f>P578</f>
        <v>8313697</v>
      </c>
    </row>
    <row r="579" spans="1:36" x14ac:dyDescent="0.25">
      <c r="A579" t="s">
        <v>95</v>
      </c>
      <c r="B579">
        <v>2021</v>
      </c>
      <c r="C579" s="1">
        <v>25484559</v>
      </c>
      <c r="D579" s="1">
        <v>4435704</v>
      </c>
      <c r="E579" s="1">
        <v>3566507</v>
      </c>
      <c r="G579" s="1">
        <v>25392916</v>
      </c>
      <c r="H579" s="1">
        <v>15961230</v>
      </c>
      <c r="I579" s="1">
        <v>8621022</v>
      </c>
      <c r="J579" s="1">
        <v>10240475</v>
      </c>
      <c r="K579" s="1">
        <v>8662229</v>
      </c>
      <c r="L579" s="1">
        <f>4316882+M579</f>
        <v>4784473</v>
      </c>
      <c r="M579" s="1">
        <v>467591</v>
      </c>
      <c r="N579" s="1">
        <v>13401137</v>
      </c>
      <c r="O579" s="1">
        <v>15152441</v>
      </c>
      <c r="P579" s="1">
        <v>12383079</v>
      </c>
      <c r="Q579" s="1">
        <v>2065818</v>
      </c>
      <c r="R579" s="1">
        <v>93</v>
      </c>
      <c r="T579">
        <f>E579/G579</f>
        <v>0.14045283338077438</v>
      </c>
      <c r="U579">
        <f>D579/C579</f>
        <v>0.17405457163296409</v>
      </c>
      <c r="V579">
        <f>(E579-F579)/O579</f>
        <v>0.2353750791704122</v>
      </c>
      <c r="W579">
        <f>H579/K579</f>
        <v>1.8426238789115366</v>
      </c>
      <c r="X579">
        <f>(H579-I579)/K579</f>
        <v>0.84738096857056078</v>
      </c>
      <c r="Y579">
        <f>(H579-K579)/G579</f>
        <v>0.28744241110394725</v>
      </c>
      <c r="Z579">
        <f>J579/N579</f>
        <v>0.764149713565349</v>
      </c>
      <c r="AA579">
        <f>J579/G579</f>
        <v>0.40328078114384341</v>
      </c>
      <c r="AB579">
        <f>C579/G579</f>
        <v>1.0036089986671874</v>
      </c>
      <c r="AC579">
        <f>C579/(G579-K579)</f>
        <v>1.5232225072407368</v>
      </c>
      <c r="AD579">
        <f>Q579/E579</f>
        <v>0.57922723830347167</v>
      </c>
      <c r="AE579">
        <f>Q579/J579</f>
        <v>0.20173068143811687</v>
      </c>
      <c r="AF579">
        <f>Q579/G579</f>
        <v>8.1354106791043615E-2</v>
      </c>
      <c r="AG579">
        <f>Q579/K579</f>
        <v>0.2384857292505197</v>
      </c>
      <c r="AH579">
        <f>Q579/L579</f>
        <v>0.43177545363930364</v>
      </c>
      <c r="AI579" s="1">
        <f>R579</f>
        <v>93</v>
      </c>
      <c r="AJ579" s="1">
        <f>P579</f>
        <v>12383079</v>
      </c>
    </row>
    <row r="580" spans="1:36" x14ac:dyDescent="0.25">
      <c r="A580" t="s">
        <v>95</v>
      </c>
      <c r="B580">
        <v>2022</v>
      </c>
      <c r="C580" s="1">
        <v>33160474</v>
      </c>
      <c r="D580" s="1">
        <v>3079056</v>
      </c>
      <c r="E580" s="1">
        <v>3721140</v>
      </c>
      <c r="G580" s="1">
        <v>40012077</v>
      </c>
      <c r="H580" s="1">
        <v>28650022</v>
      </c>
      <c r="I580" s="1">
        <v>15807144</v>
      </c>
      <c r="J580" s="1">
        <v>19191497</v>
      </c>
      <c r="K580" s="1">
        <v>16948351</v>
      </c>
      <c r="L580" s="1">
        <f>10328363+M580</f>
        <v>11005515</v>
      </c>
      <c r="M580" s="1">
        <v>677152</v>
      </c>
      <c r="N580" s="1">
        <v>18171943</v>
      </c>
      <c r="O580" s="1">
        <v>20820580</v>
      </c>
      <c r="P580" s="1">
        <v>16845411</v>
      </c>
      <c r="Q580" s="1">
        <v>-2814470</v>
      </c>
      <c r="R580" s="1">
        <v>50.2</v>
      </c>
      <c r="T580">
        <f>E580/G580</f>
        <v>9.3000420847935486E-2</v>
      </c>
      <c r="U580">
        <f>D580/C580</f>
        <v>9.2853196248039158E-2</v>
      </c>
      <c r="V580">
        <f>(E580-F580)/O580</f>
        <v>0.17872412776205082</v>
      </c>
      <c r="W580">
        <f>H580/K580</f>
        <v>1.6904312401837795</v>
      </c>
      <c r="X580">
        <f>(H580-I580)/K580</f>
        <v>0.75776563749476278</v>
      </c>
      <c r="Y580">
        <f>(H580-K580)/G580</f>
        <v>0.29245347598426347</v>
      </c>
      <c r="Z580">
        <f>J580/N580</f>
        <v>1.0561059431014064</v>
      </c>
      <c r="AA580">
        <f>J580/G580</f>
        <v>0.47964260890530624</v>
      </c>
      <c r="AB580">
        <f>C580/G580</f>
        <v>0.82876162614602589</v>
      </c>
      <c r="AC580">
        <f>C580/(G580-K580)</f>
        <v>1.4377760991437376</v>
      </c>
      <c r="AD580">
        <f>Q580/E580</f>
        <v>-0.75634617348446986</v>
      </c>
      <c r="AE580">
        <f>Q580/J580</f>
        <v>-0.14665192611081876</v>
      </c>
      <c r="AF580">
        <f>Q580/G580</f>
        <v>-7.0340512440781322E-2</v>
      </c>
      <c r="AG580">
        <f>Q580/K580</f>
        <v>-0.16606158321833198</v>
      </c>
      <c r="AH580">
        <f>Q580/L580</f>
        <v>-0.25573269401749943</v>
      </c>
      <c r="AI580" s="1">
        <f>R580</f>
        <v>50.2</v>
      </c>
      <c r="AJ580" s="1">
        <f>P580</f>
        <v>16845411</v>
      </c>
    </row>
    <row r="581" spans="1:36" x14ac:dyDescent="0.25">
      <c r="A581" t="s">
        <v>95</v>
      </c>
      <c r="B581">
        <v>2023</v>
      </c>
      <c r="C581" s="1">
        <v>60943256</v>
      </c>
      <c r="D581" s="1">
        <v>8274283</v>
      </c>
      <c r="E581" s="1">
        <v>6505488</v>
      </c>
      <c r="G581" s="1">
        <v>40191191</v>
      </c>
      <c r="H581" s="1">
        <v>27382477</v>
      </c>
      <c r="I581" s="1">
        <v>13986769</v>
      </c>
      <c r="J581" s="1">
        <v>14978625</v>
      </c>
      <c r="K581" s="1">
        <v>13265019</v>
      </c>
      <c r="L581" s="1">
        <f>6779510+M581</f>
        <v>6919704</v>
      </c>
      <c r="M581" s="1">
        <v>140194</v>
      </c>
      <c r="N581" s="1">
        <v>22141821</v>
      </c>
      <c r="O581" s="1">
        <v>25212566</v>
      </c>
      <c r="P581" s="1">
        <v>20918757</v>
      </c>
      <c r="Q581" s="1">
        <v>10121954</v>
      </c>
      <c r="R581" s="1">
        <v>56.3</v>
      </c>
      <c r="T581">
        <f>E581/G581</f>
        <v>0.16186352875186008</v>
      </c>
      <c r="U581">
        <f>D581/C581</f>
        <v>0.13577028112839917</v>
      </c>
      <c r="V581">
        <f>(E581-F581)/O581</f>
        <v>0.25802562103357507</v>
      </c>
      <c r="W581">
        <f>H581/K581</f>
        <v>2.0642621770839531</v>
      </c>
      <c r="X581">
        <f>(H581-I581)/K581</f>
        <v>1.0098521532460678</v>
      </c>
      <c r="Y581">
        <f>(H581-K581)/G581</f>
        <v>0.35125751809644057</v>
      </c>
      <c r="Z581">
        <f>J581/N581</f>
        <v>0.67648568742381221</v>
      </c>
      <c r="AA581">
        <f>J581/G581</f>
        <v>0.37268427800509818</v>
      </c>
      <c r="AB581">
        <f>C581/G581</f>
        <v>1.5163336662503979</v>
      </c>
      <c r="AC581">
        <f>C581/(G581-K581)</f>
        <v>2.2633464571198609</v>
      </c>
      <c r="AD581">
        <f>Q581/E581</f>
        <v>1.5559100255046201</v>
      </c>
      <c r="AE581">
        <f>Q581/J581</f>
        <v>0.67575989117826241</v>
      </c>
      <c r="AF581">
        <f>Q581/G581</f>
        <v>0.2518450871485744</v>
      </c>
      <c r="AG581">
        <f>Q581/K581</f>
        <v>0.76305612528711797</v>
      </c>
      <c r="AH581">
        <f>Q581/L581</f>
        <v>1.4627726850743905</v>
      </c>
      <c r="AI581" s="1">
        <f>R581</f>
        <v>56.3</v>
      </c>
      <c r="AJ581" s="1">
        <f>P581</f>
        <v>20918757</v>
      </c>
    </row>
    <row r="582" spans="1:36" s="8" customFormat="1" x14ac:dyDescent="0.25">
      <c r="A582" s="8" t="s">
        <v>95</v>
      </c>
      <c r="B582" s="8">
        <v>2024</v>
      </c>
      <c r="C582" s="9">
        <v>43179205</v>
      </c>
      <c r="D582" s="9">
        <v>6521097</v>
      </c>
      <c r="E582" s="9">
        <v>4305629</v>
      </c>
      <c r="F582" s="9"/>
      <c r="G582" s="9">
        <v>40214250</v>
      </c>
      <c r="H582" s="9">
        <v>26428553</v>
      </c>
      <c r="I582" s="9">
        <v>11506658</v>
      </c>
      <c r="J582" s="9">
        <v>14516402</v>
      </c>
      <c r="K582" s="9">
        <v>11916711</v>
      </c>
      <c r="L582" s="9">
        <f>4122052+M582</f>
        <v>4375771</v>
      </c>
      <c r="M582" s="9">
        <v>253719</v>
      </c>
      <c r="N582" s="9">
        <v>22905062</v>
      </c>
      <c r="O582" s="9">
        <v>25697848</v>
      </c>
      <c r="P582" s="9">
        <v>21681998</v>
      </c>
      <c r="Q582" s="9">
        <v>7876834</v>
      </c>
      <c r="R582" s="9">
        <v>76.5</v>
      </c>
      <c r="T582" s="8">
        <f>E582/G582</f>
        <v>0.10706724606327359</v>
      </c>
      <c r="U582" s="8">
        <f>D582/C582</f>
        <v>0.15102401723236913</v>
      </c>
      <c r="V582" s="8">
        <f>(E582-F582)/O582</f>
        <v>0.16754823205429498</v>
      </c>
      <c r="W582" s="8">
        <f>H582/K582</f>
        <v>2.217772420594911</v>
      </c>
      <c r="X582" s="8">
        <f>(H582-I582)/K582</f>
        <v>1.2521823345384477</v>
      </c>
      <c r="Y582" s="8">
        <f>(H582-K582)/G582</f>
        <v>0.36086317661028117</v>
      </c>
      <c r="Z582" s="8">
        <f>J582/N582</f>
        <v>0.63376392519697178</v>
      </c>
      <c r="AA582" s="8">
        <f>J582/G582</f>
        <v>0.36097656925094962</v>
      </c>
      <c r="AB582" s="8">
        <f>C582/G582</f>
        <v>1.0737289642353145</v>
      </c>
      <c r="AC582" s="8">
        <f>C582/(G582-K582)</f>
        <v>1.5258996550901476</v>
      </c>
      <c r="AD582" s="8">
        <f>Q582/E582</f>
        <v>1.8294270128708257</v>
      </c>
      <c r="AE582" s="8">
        <f>Q582/J582</f>
        <v>0.54261613862718872</v>
      </c>
      <c r="AF582" s="8">
        <f>Q582/G582</f>
        <v>0.19587171214184027</v>
      </c>
      <c r="AG582" s="8">
        <f>Q582/K582</f>
        <v>0.66099060386712405</v>
      </c>
      <c r="AH582" s="8">
        <f>Q582/L582</f>
        <v>1.8001019706012953</v>
      </c>
      <c r="AI582" s="9">
        <f>R582</f>
        <v>76.5</v>
      </c>
      <c r="AJ582" s="9">
        <f>P582</f>
        <v>21681998</v>
      </c>
    </row>
    <row r="583" spans="1:36" x14ac:dyDescent="0.25">
      <c r="A583" s="15" t="s">
        <v>99</v>
      </c>
      <c r="B583" s="15">
        <v>2018</v>
      </c>
      <c r="C583" s="6">
        <v>163249467</v>
      </c>
      <c r="D583" s="6">
        <v>11403177</v>
      </c>
      <c r="E583" s="6">
        <v>3272438</v>
      </c>
      <c r="F583" s="6"/>
      <c r="G583" s="6">
        <v>209766901</v>
      </c>
      <c r="H583" s="6">
        <v>95564364</v>
      </c>
      <c r="I583" s="6">
        <v>32745630</v>
      </c>
      <c r="J583" s="6">
        <v>149959135</v>
      </c>
      <c r="K583" s="6">
        <v>98178900</v>
      </c>
      <c r="L583" s="6">
        <v>92641002</v>
      </c>
      <c r="M583" s="6">
        <v>34621339</v>
      </c>
      <c r="N583" s="6">
        <v>39649137</v>
      </c>
      <c r="O583" s="6">
        <v>59807766</v>
      </c>
      <c r="P583" s="6">
        <v>16208311</v>
      </c>
      <c r="Q583" s="6">
        <v>7451001</v>
      </c>
      <c r="R583" s="6">
        <f>200.7/10</f>
        <v>20.07</v>
      </c>
      <c r="S583" s="15"/>
      <c r="T583" s="15">
        <f>E583/G583</f>
        <v>1.5600354414350622E-2</v>
      </c>
      <c r="U583" s="15">
        <f>D583/C583</f>
        <v>6.9851235716438823E-2</v>
      </c>
      <c r="V583" s="15">
        <f>(E583-F583)/O583</f>
        <v>5.4715937726214352E-2</v>
      </c>
      <c r="W583" s="15">
        <f>H583/K583</f>
        <v>0.97336967515423378</v>
      </c>
      <c r="X583" s="15">
        <f>(H583-I583)/K583</f>
        <v>0.63983945633939676</v>
      </c>
      <c r="Y583" s="15">
        <f>(H583-K583)/G583</f>
        <v>-1.2464006416341156E-2</v>
      </c>
      <c r="Z583" s="15">
        <f>J583/N583</f>
        <v>3.7821538209015748</v>
      </c>
      <c r="AA583" s="15">
        <f>J583/G583</f>
        <v>0.71488463759113263</v>
      </c>
      <c r="AB583" s="15">
        <f>C583/G583</f>
        <v>0.77824225948783021</v>
      </c>
      <c r="AC583" s="15">
        <f>C583/(G583-K583)</f>
        <v>1.4629661391640127</v>
      </c>
      <c r="AD583" s="15">
        <f>Q583/E583</f>
        <v>2.2768960023077596</v>
      </c>
      <c r="AE583" s="15">
        <f>Q583/J583</f>
        <v>4.9686876361350045E-2</v>
      </c>
      <c r="AF583" s="15">
        <f>Q583/G583</f>
        <v>3.552038460061914E-2</v>
      </c>
      <c r="AG583" s="15">
        <f>Q583/K583</f>
        <v>7.5892080681286916E-2</v>
      </c>
      <c r="AH583" s="15">
        <f>Q583/L583</f>
        <v>8.0428760906536834E-2</v>
      </c>
      <c r="AI583" s="6">
        <f>R583</f>
        <v>20.07</v>
      </c>
      <c r="AJ583" s="6">
        <f>P583</f>
        <v>16208311</v>
      </c>
    </row>
    <row r="584" spans="1:36" x14ac:dyDescent="0.25">
      <c r="A584" t="s">
        <v>99</v>
      </c>
      <c r="B584">
        <v>2019</v>
      </c>
      <c r="C584" s="1">
        <v>219181960</v>
      </c>
      <c r="D584" s="1">
        <v>15989281</v>
      </c>
      <c r="E584" s="1">
        <v>2749917</v>
      </c>
      <c r="G584" s="1">
        <v>231746694</v>
      </c>
      <c r="H584" s="1">
        <v>110979551</v>
      </c>
      <c r="I584" s="1">
        <v>39742514</v>
      </c>
      <c r="J584" s="1">
        <v>169868227</v>
      </c>
      <c r="K584" s="1">
        <v>112096263</v>
      </c>
      <c r="L584" s="1">
        <v>113283872</v>
      </c>
      <c r="M584" s="1">
        <v>39661994</v>
      </c>
      <c r="N584" s="1">
        <v>40241911</v>
      </c>
      <c r="O584" s="1">
        <v>61878467</v>
      </c>
      <c r="P584" s="1">
        <v>14958752</v>
      </c>
      <c r="Q584" s="1">
        <v>1187067</v>
      </c>
      <c r="R584" s="1">
        <f>168/10</f>
        <v>16.8</v>
      </c>
      <c r="T584">
        <f>E584/G584</f>
        <v>1.1866046296220303E-2</v>
      </c>
      <c r="U584">
        <f>D584/C584</f>
        <v>7.2949803898094537E-2</v>
      </c>
      <c r="V584">
        <f>(E584-F584)/O584</f>
        <v>4.4440612919515281E-2</v>
      </c>
      <c r="W584">
        <f>H584/K584</f>
        <v>0.99003791946213227</v>
      </c>
      <c r="X584">
        <f>(H584-I584)/K584</f>
        <v>0.63549876769754576</v>
      </c>
      <c r="Y584">
        <f>(H584-K584)/G584</f>
        <v>-4.8186749969343686E-3</v>
      </c>
      <c r="Z584">
        <f>J584/N584</f>
        <v>4.2211769465918252</v>
      </c>
      <c r="AA584">
        <f>J584/G584</f>
        <v>0.73299093966794626</v>
      </c>
      <c r="AB584">
        <f>C584/G584</f>
        <v>0.94578246712766478</v>
      </c>
      <c r="AC584">
        <f>C584/(G584-K584)</f>
        <v>1.8318526575136198</v>
      </c>
      <c r="AD584">
        <f>Q584/E584</f>
        <v>0.43167375597154389</v>
      </c>
      <c r="AE584">
        <f>Q584/J584</f>
        <v>6.9881638312502079E-3</v>
      </c>
      <c r="AF584">
        <f>Q584/G584</f>
        <v>5.1222607732216456E-3</v>
      </c>
      <c r="AG584">
        <f>Q584/K584</f>
        <v>1.058971073817153E-2</v>
      </c>
      <c r="AH584">
        <f>Q584/L584</f>
        <v>1.0478693736739507E-2</v>
      </c>
      <c r="AI584" s="1">
        <f>R584</f>
        <v>16.8</v>
      </c>
      <c r="AJ584" s="1">
        <f>P584</f>
        <v>14958752</v>
      </c>
    </row>
    <row r="585" spans="1:36" x14ac:dyDescent="0.25">
      <c r="A585" t="s">
        <v>99</v>
      </c>
      <c r="B585">
        <v>2020</v>
      </c>
      <c r="C585" s="1">
        <v>210307003</v>
      </c>
      <c r="D585" s="1">
        <v>16472880</v>
      </c>
      <c r="E585" s="1">
        <v>2894792</v>
      </c>
      <c r="G585" s="1">
        <v>248309088</v>
      </c>
      <c r="H585" s="1">
        <v>117630744</v>
      </c>
      <c r="I585" s="1">
        <v>42225729</v>
      </c>
      <c r="J585" s="1">
        <v>185452586</v>
      </c>
      <c r="K585" s="1">
        <v>112960030</v>
      </c>
      <c r="L585" s="1">
        <v>123555392</v>
      </c>
      <c r="M585" s="1">
        <v>52239814</v>
      </c>
      <c r="N585" s="1">
        <v>39704559</v>
      </c>
      <c r="O585" s="1">
        <v>62856502</v>
      </c>
      <c r="P585" s="1">
        <v>13808523</v>
      </c>
      <c r="Q585" s="1">
        <v>18848308</v>
      </c>
      <c r="R585" s="1">
        <f>123.6/10</f>
        <v>12.36</v>
      </c>
      <c r="T585">
        <f>E585/G585</f>
        <v>1.1658018735101633E-2</v>
      </c>
      <c r="U585">
        <f>D585/C585</f>
        <v>7.8327776845357827E-2</v>
      </c>
      <c r="V585">
        <f>(E585-F585)/O585</f>
        <v>4.6053978632154872E-2</v>
      </c>
      <c r="W585">
        <f>H585/K585</f>
        <v>1.0413483778288657</v>
      </c>
      <c r="X585">
        <f>(H585-I585)/K585</f>
        <v>0.66753713680847993</v>
      </c>
      <c r="Y585">
        <f>(H585-K585)/G585</f>
        <v>1.8810080765147025E-2</v>
      </c>
      <c r="Z585">
        <f>J585/N585</f>
        <v>4.6708133945021277</v>
      </c>
      <c r="AA585">
        <f>J585/G585</f>
        <v>0.74686185468974864</v>
      </c>
      <c r="AB585">
        <f>C585/G585</f>
        <v>0.84695652782551401</v>
      </c>
      <c r="AC585">
        <f>C585/(G585-K585)</f>
        <v>1.5538120922865972</v>
      </c>
      <c r="AD585">
        <f>Q585/E585</f>
        <v>6.5111096064933163</v>
      </c>
      <c r="AE585">
        <f>Q585/J585</f>
        <v>0.10163410716742445</v>
      </c>
      <c r="AF585">
        <f>Q585/G585</f>
        <v>7.5906637778799302E-2</v>
      </c>
      <c r="AG585">
        <f>Q585/K585</f>
        <v>0.16685820639388996</v>
      </c>
      <c r="AH585">
        <f>Q585/L585</f>
        <v>0.15254945733165576</v>
      </c>
      <c r="AI585" s="1">
        <f>R585</f>
        <v>12.36</v>
      </c>
      <c r="AJ585" s="1">
        <f>P585</f>
        <v>13808523</v>
      </c>
    </row>
    <row r="586" spans="1:36" x14ac:dyDescent="0.25">
      <c r="A586" t="s">
        <v>99</v>
      </c>
      <c r="B586">
        <v>2021</v>
      </c>
      <c r="C586" s="1">
        <v>241275661</v>
      </c>
      <c r="D586" s="1">
        <v>25953798</v>
      </c>
      <c r="E586" s="1">
        <v>14046207</v>
      </c>
      <c r="G586" s="1">
        <v>279383460</v>
      </c>
      <c r="H586" s="1">
        <v>145558205</v>
      </c>
      <c r="I586" s="1">
        <v>53100096</v>
      </c>
      <c r="J586" s="1">
        <v>204184879</v>
      </c>
      <c r="K586" s="1">
        <v>131585968</v>
      </c>
      <c r="L586" s="1">
        <v>114462349</v>
      </c>
      <c r="M586" s="1">
        <v>51503754</v>
      </c>
      <c r="N586" s="1">
        <v>47618326</v>
      </c>
      <c r="O586" s="1">
        <v>75198581</v>
      </c>
      <c r="P586" s="1">
        <v>20620432</v>
      </c>
      <c r="Q586" s="1">
        <v>32928432</v>
      </c>
      <c r="R586" s="1">
        <v>60.8</v>
      </c>
      <c r="T586">
        <f>E586/G586</f>
        <v>5.0275728563172639E-2</v>
      </c>
      <c r="U586">
        <f>D586/C586</f>
        <v>0.10756906806277489</v>
      </c>
      <c r="V586">
        <f>(E586-F586)/O586</f>
        <v>0.18678819218676479</v>
      </c>
      <c r="W586">
        <f>H586/K586</f>
        <v>1.1061833355969992</v>
      </c>
      <c r="X586">
        <f>(H586-I586)/K586</f>
        <v>0.70264413755728117</v>
      </c>
      <c r="Y586">
        <f>(H586-K586)/G586</f>
        <v>5.0010967005706064E-2</v>
      </c>
      <c r="Z586">
        <f>J586/N586</f>
        <v>4.2879474385554834</v>
      </c>
      <c r="AA586">
        <f>J586/G586</f>
        <v>0.73084097032802153</v>
      </c>
      <c r="AB586">
        <f>C586/G586</f>
        <v>0.86360037562710401</v>
      </c>
      <c r="AC586">
        <f>C586/(G586-K586)</f>
        <v>1.6324746633725016</v>
      </c>
      <c r="AD586">
        <f>Q586/E586</f>
        <v>2.3442935163920051</v>
      </c>
      <c r="AE586">
        <f>Q586/J586</f>
        <v>0.16126773031023517</v>
      </c>
      <c r="AF586">
        <f>Q586/G586</f>
        <v>0.11786106450252996</v>
      </c>
      <c r="AG586">
        <f>Q586/K586</f>
        <v>0.25024273104864797</v>
      </c>
      <c r="AH586">
        <f>Q586/L586</f>
        <v>0.28767915640102754</v>
      </c>
      <c r="AI586" s="1">
        <f>R586</f>
        <v>60.8</v>
      </c>
      <c r="AJ586" s="1">
        <f>P586</f>
        <v>20620432</v>
      </c>
    </row>
    <row r="587" spans="1:36" x14ac:dyDescent="0.25">
      <c r="A587" t="s">
        <v>99</v>
      </c>
      <c r="B587">
        <v>2022</v>
      </c>
      <c r="C587" s="1">
        <v>338009580</v>
      </c>
      <c r="D587" s="1">
        <v>33593759</v>
      </c>
      <c r="E587" s="1">
        <v>28098901</v>
      </c>
      <c r="G587" s="1">
        <v>403075792</v>
      </c>
      <c r="H587" s="1">
        <v>243378685</v>
      </c>
      <c r="I587" s="1">
        <v>82397947</v>
      </c>
      <c r="J587" s="1">
        <v>297789066</v>
      </c>
      <c r="K587" s="1">
        <v>209351397</v>
      </c>
      <c r="L587" s="1">
        <v>171934335</v>
      </c>
      <c r="M587" s="1">
        <v>63540193</v>
      </c>
      <c r="N587" s="1">
        <v>67389851</v>
      </c>
      <c r="O587" s="1">
        <v>105286726</v>
      </c>
      <c r="P587" s="1">
        <v>35026096</v>
      </c>
      <c r="Q587" s="1">
        <v>9536355</v>
      </c>
      <c r="R587" s="1">
        <v>76.900000000000006</v>
      </c>
      <c r="T587">
        <f>E587/G587</f>
        <v>6.9711209548401751E-2</v>
      </c>
      <c r="U587">
        <f>D587/C587</f>
        <v>9.938700258140612E-2</v>
      </c>
      <c r="V587">
        <f>(E587-F587)/O587</f>
        <v>0.2668798059120957</v>
      </c>
      <c r="W587">
        <f>H587/K587</f>
        <v>1.1625367133327513</v>
      </c>
      <c r="X587">
        <f>(H587-I587)/K587</f>
        <v>0.76894991056591799</v>
      </c>
      <c r="Y587">
        <f>(H587-K587)/G587</f>
        <v>8.4419081163772794E-2</v>
      </c>
      <c r="Z587">
        <f>J587/N587</f>
        <v>4.4189007926430941</v>
      </c>
      <c r="AA587">
        <f>J587/G587</f>
        <v>0.73879174068583109</v>
      </c>
      <c r="AB587">
        <f>C587/G587</f>
        <v>0.83857573862932455</v>
      </c>
      <c r="AC587">
        <f>C587/(G587-K587)</f>
        <v>1.7447961574483173</v>
      </c>
      <c r="AD587">
        <f>Q587/E587</f>
        <v>0.3393853375261901</v>
      </c>
      <c r="AE587">
        <f>Q587/J587</f>
        <v>3.202385879406331E-2</v>
      </c>
      <c r="AF587">
        <f>Q587/G587</f>
        <v>2.3658962381943295E-2</v>
      </c>
      <c r="AG587">
        <f>Q587/K587</f>
        <v>4.5551905249526473E-2</v>
      </c>
      <c r="AH587">
        <f>Q587/L587</f>
        <v>5.5465099510228717E-2</v>
      </c>
      <c r="AI587" s="1">
        <f>R587</f>
        <v>76.900000000000006</v>
      </c>
      <c r="AJ587" s="1">
        <f>P587</f>
        <v>35026096</v>
      </c>
    </row>
    <row r="588" spans="1:36" x14ac:dyDescent="0.25">
      <c r="A588" t="s">
        <v>99</v>
      </c>
      <c r="B588">
        <v>2023</v>
      </c>
      <c r="C588" s="1">
        <v>487430881</v>
      </c>
      <c r="D588" s="1">
        <v>61072747</v>
      </c>
      <c r="E588" s="1">
        <v>27672300</v>
      </c>
      <c r="G588" s="1">
        <v>412741973</v>
      </c>
      <c r="H588" s="1">
        <v>237578991</v>
      </c>
      <c r="I588" s="1">
        <v>87502323</v>
      </c>
      <c r="J588" s="1">
        <v>290035316</v>
      </c>
      <c r="K588" s="1">
        <v>195109051</v>
      </c>
      <c r="L588" s="1">
        <v>159695621</v>
      </c>
      <c r="M588" s="1">
        <v>59158207</v>
      </c>
      <c r="N588" s="1">
        <v>78930304</v>
      </c>
      <c r="O588" s="1">
        <v>122706657</v>
      </c>
      <c r="P588" s="1">
        <v>45130447</v>
      </c>
      <c r="Q588" s="1">
        <v>56793678</v>
      </c>
      <c r="R588" s="1">
        <v>72</v>
      </c>
      <c r="T588">
        <f>E588/G588</f>
        <v>6.7045034937602527E-2</v>
      </c>
      <c r="U588">
        <f>D588/C588</f>
        <v>0.12529519441752399</v>
      </c>
      <c r="V588">
        <f>(E588-F588)/O588</f>
        <v>0.22551588215788487</v>
      </c>
      <c r="W588">
        <f>H588/K588</f>
        <v>1.2176728336400959</v>
      </c>
      <c r="X588">
        <f>(H588-I588)/K588</f>
        <v>0.76919377768897046</v>
      </c>
      <c r="Y588">
        <f>(H588-K588)/G588</f>
        <v>0.10289707075660076</v>
      </c>
      <c r="Z588">
        <f>J588/N588</f>
        <v>3.6745749262539267</v>
      </c>
      <c r="AA588">
        <f>J588/G588</f>
        <v>0.70270371072728288</v>
      </c>
      <c r="AB588">
        <f>C588/G588</f>
        <v>1.1809578692884719</v>
      </c>
      <c r="AC588">
        <f>C588/(G588-K588)</f>
        <v>2.2396927657847647</v>
      </c>
      <c r="AD588">
        <f>Q588/E588</f>
        <v>2.0523656508494055</v>
      </c>
      <c r="AE588">
        <f>Q588/J588</f>
        <v>0.19581642257662166</v>
      </c>
      <c r="AF588">
        <f>Q588/G588</f>
        <v>0.13760092676593375</v>
      </c>
      <c r="AG588">
        <f>Q588/K588</f>
        <v>0.29108684455648343</v>
      </c>
      <c r="AH588">
        <f>Q588/L588</f>
        <v>0.3556370402917936</v>
      </c>
      <c r="AI588" s="1">
        <f>R588</f>
        <v>72</v>
      </c>
      <c r="AJ588" s="1">
        <f>P588</f>
        <v>45130447</v>
      </c>
    </row>
    <row r="589" spans="1:36" s="8" customFormat="1" x14ac:dyDescent="0.25">
      <c r="A589" s="8" t="s">
        <v>99</v>
      </c>
      <c r="B589" s="8">
        <v>2024</v>
      </c>
      <c r="C589" s="9">
        <v>436833270</v>
      </c>
      <c r="D589" s="9">
        <v>42722860</v>
      </c>
      <c r="E589" s="9">
        <v>14846723</v>
      </c>
      <c r="F589" s="9"/>
      <c r="G589" s="9">
        <v>446336255</v>
      </c>
      <c r="H589" s="9">
        <v>261617816</v>
      </c>
      <c r="I589" s="9">
        <v>85202934</v>
      </c>
      <c r="J589" s="9">
        <v>320806170</v>
      </c>
      <c r="K589" s="9">
        <v>229955054</v>
      </c>
      <c r="L589" s="9">
        <v>171882853</v>
      </c>
      <c r="M589" s="9">
        <v>56654168</v>
      </c>
      <c r="N589" s="9">
        <v>80162993</v>
      </c>
      <c r="O589" s="9">
        <v>125530085</v>
      </c>
      <c r="P589" s="9">
        <v>47896325</v>
      </c>
      <c r="Q589" s="9">
        <v>30426524</v>
      </c>
      <c r="R589" s="9">
        <v>82.1</v>
      </c>
      <c r="T589" s="8">
        <f>E589/G589</f>
        <v>3.3263538047116514E-2</v>
      </c>
      <c r="U589" s="8">
        <f>D589/C589</f>
        <v>9.7801296132961665E-2</v>
      </c>
      <c r="V589" s="8">
        <f>(E589-F589)/O589</f>
        <v>0.11827222932255642</v>
      </c>
      <c r="W589" s="8">
        <f>H589/K589</f>
        <v>1.1376910898422785</v>
      </c>
      <c r="X589" s="8">
        <f>(H589-I589)/K589</f>
        <v>0.767171144670732</v>
      </c>
      <c r="Y589" s="8">
        <f>(H589-K589)/G589</f>
        <v>7.0939256323688069E-2</v>
      </c>
      <c r="Z589" s="8">
        <f>J589/N589</f>
        <v>4.0019235559231179</v>
      </c>
      <c r="AA589" s="8">
        <f>J589/G589</f>
        <v>0.71875445117045222</v>
      </c>
      <c r="AB589" s="8">
        <f>C589/G589</f>
        <v>0.97870891084122213</v>
      </c>
      <c r="AC589" s="8">
        <f>C589/(G589-K589)</f>
        <v>2.0188134088413716</v>
      </c>
      <c r="AD589" s="8">
        <f>Q589/E589</f>
        <v>2.0493764179475833</v>
      </c>
      <c r="AE589" s="8">
        <f>Q589/J589</f>
        <v>9.484394891781539E-2</v>
      </c>
      <c r="AF589" s="8">
        <f>Q589/G589</f>
        <v>6.8169510451262808E-2</v>
      </c>
      <c r="AG589" s="8">
        <f>Q589/K589</f>
        <v>0.13231509145261056</v>
      </c>
      <c r="AH589" s="8">
        <f>Q589/L589</f>
        <v>0.17701896069877313</v>
      </c>
      <c r="AI589" s="9">
        <f>R589</f>
        <v>82.1</v>
      </c>
      <c r="AJ589" s="9">
        <f>P589</f>
        <v>47896325</v>
      </c>
    </row>
    <row r="590" spans="1:36" x14ac:dyDescent="0.25">
      <c r="A590" s="15" t="s">
        <v>97</v>
      </c>
      <c r="B590" s="15">
        <v>2018</v>
      </c>
      <c r="C590" s="6">
        <v>562659</v>
      </c>
      <c r="D590" s="6">
        <v>33018</v>
      </c>
      <c r="E590" s="6">
        <v>100965</v>
      </c>
      <c r="F590" s="6"/>
      <c r="G590" s="6">
        <v>896061</v>
      </c>
      <c r="H590" s="6">
        <v>662067</v>
      </c>
      <c r="I590" s="6">
        <v>45717</v>
      </c>
      <c r="J590" s="6">
        <v>96371</v>
      </c>
      <c r="K590" s="6">
        <v>72758</v>
      </c>
      <c r="L590" s="6">
        <v>12882</v>
      </c>
      <c r="M590" s="6">
        <v>0</v>
      </c>
      <c r="N590" s="6">
        <v>799690</v>
      </c>
      <c r="O590" s="6">
        <v>799690</v>
      </c>
      <c r="P590" s="6">
        <v>595914</v>
      </c>
      <c r="Q590" s="6">
        <v>23959</v>
      </c>
      <c r="R590" s="6">
        <v>70.900000000000006</v>
      </c>
      <c r="S590" s="15"/>
      <c r="T590" s="15">
        <f>E590/G590</f>
        <v>0.11267648073066454</v>
      </c>
      <c r="U590" s="15">
        <f>D590/C590</f>
        <v>5.8682079198946434E-2</v>
      </c>
      <c r="V590" s="15">
        <f>(E590-F590)/O590</f>
        <v>0.12625517387987845</v>
      </c>
      <c r="W590" s="15">
        <f>H590/K590</f>
        <v>9.0995766788531842</v>
      </c>
      <c r="X590" s="15">
        <f>(H590-I590)/K590</f>
        <v>8.471233403886858</v>
      </c>
      <c r="Y590" s="15">
        <f>(H590-K590)/G590</f>
        <v>0.65766616335271821</v>
      </c>
      <c r="Z590" s="15">
        <f>J590/N590</f>
        <v>0.12051044779852192</v>
      </c>
      <c r="AA590" s="15">
        <f>J590/G590</f>
        <v>0.10754959762784007</v>
      </c>
      <c r="AB590" s="15">
        <f>C590/G590</f>
        <v>0.62792488457817042</v>
      </c>
      <c r="AC590" s="15">
        <f>C590/(G590-K590)</f>
        <v>0.68341667648484217</v>
      </c>
      <c r="AD590" s="15">
        <f>Q590/E590</f>
        <v>0.23730005447432279</v>
      </c>
      <c r="AE590" s="15">
        <f>Q590/J590</f>
        <v>0.24861213435577093</v>
      </c>
      <c r="AF590" s="15">
        <f>Q590/G590</f>
        <v>2.6738135015361677E-2</v>
      </c>
      <c r="AG590" s="15">
        <f>Q590/K590</f>
        <v>0.32929712196596939</v>
      </c>
      <c r="AH590" s="15">
        <f>Q590/L590</f>
        <v>1.859882005899705</v>
      </c>
      <c r="AI590" s="6">
        <f>R590</f>
        <v>70.900000000000006</v>
      </c>
      <c r="AJ590" s="6">
        <f>P590</f>
        <v>595914</v>
      </c>
    </row>
    <row r="591" spans="1:36" x14ac:dyDescent="0.25">
      <c r="A591" t="s">
        <v>97</v>
      </c>
      <c r="B591">
        <v>2019</v>
      </c>
      <c r="C591" s="1">
        <v>886099</v>
      </c>
      <c r="D591" s="1">
        <v>84609</v>
      </c>
      <c r="E591" s="1">
        <v>152548</v>
      </c>
      <c r="G591" s="1">
        <v>1162806</v>
      </c>
      <c r="H591" s="1">
        <v>735601</v>
      </c>
      <c r="I591" s="1">
        <v>90161</v>
      </c>
      <c r="J591" s="1">
        <v>179518</v>
      </c>
      <c r="K591" s="1">
        <v>142344</v>
      </c>
      <c r="L591" s="1">
        <v>1265</v>
      </c>
      <c r="M591" s="1">
        <v>0</v>
      </c>
      <c r="N591" s="1">
        <v>901632</v>
      </c>
      <c r="O591" s="1">
        <v>983288</v>
      </c>
      <c r="P591" s="1">
        <v>695507</v>
      </c>
      <c r="Q591" s="1">
        <v>-38444</v>
      </c>
      <c r="R591" s="1">
        <v>85.7</v>
      </c>
      <c r="T591">
        <f>E591/G591</f>
        <v>0.13118955354547535</v>
      </c>
      <c r="U591">
        <f>D591/C591</f>
        <v>9.5484816030714403E-2</v>
      </c>
      <c r="V591">
        <f>(E591-F591)/O591</f>
        <v>0.15514071157178771</v>
      </c>
      <c r="W591">
        <f>H591/K591</f>
        <v>5.1677696285055923</v>
      </c>
      <c r="X591">
        <f>(H591-I591)/K591</f>
        <v>4.5343674478727589</v>
      </c>
      <c r="Y591">
        <f>(H591-K591)/G591</f>
        <v>0.51019430584293513</v>
      </c>
      <c r="Z591">
        <f>J591/N591</f>
        <v>0.19910340360590573</v>
      </c>
      <c r="AA591">
        <f>J591/G591</f>
        <v>0.1543834483138202</v>
      </c>
      <c r="AB591">
        <f>C591/G591</f>
        <v>0.76203511161793114</v>
      </c>
      <c r="AC591">
        <f>C591/(G591-K591)</f>
        <v>0.86833120684552678</v>
      </c>
      <c r="AD591">
        <f>Q591/E591</f>
        <v>-0.25201248131735587</v>
      </c>
      <c r="AE591">
        <f>Q591/J591</f>
        <v>-0.2141512271749908</v>
      </c>
      <c r="AF591">
        <f>Q591/G591</f>
        <v>-3.3061404911911361E-2</v>
      </c>
      <c r="AG591">
        <f>Q591/K591</f>
        <v>-0.27007812060922837</v>
      </c>
      <c r="AH591">
        <f>Q591/L591</f>
        <v>-30.390513833992095</v>
      </c>
      <c r="AI591" s="1">
        <f>R591</f>
        <v>85.7</v>
      </c>
      <c r="AJ591" s="1">
        <f>P591</f>
        <v>695507</v>
      </c>
    </row>
    <row r="592" spans="1:36" x14ac:dyDescent="0.25">
      <c r="A592" t="s">
        <v>97</v>
      </c>
      <c r="B592">
        <v>2020</v>
      </c>
      <c r="C592" s="1">
        <v>789625</v>
      </c>
      <c r="D592" s="1">
        <v>86112</v>
      </c>
      <c r="E592" s="1">
        <v>146288</v>
      </c>
      <c r="G592" s="1">
        <v>1685660</v>
      </c>
      <c r="H592" s="1">
        <v>884878</v>
      </c>
      <c r="I592" s="1">
        <v>274101</v>
      </c>
      <c r="J592" s="1">
        <v>620790</v>
      </c>
      <c r="K592" s="1">
        <v>546772</v>
      </c>
      <c r="L592" s="1">
        <v>277714</v>
      </c>
      <c r="M592" s="1">
        <v>0</v>
      </c>
      <c r="N592" s="1">
        <v>983444</v>
      </c>
      <c r="O592" s="1">
        <v>1064870</v>
      </c>
      <c r="P592" s="1">
        <v>768501</v>
      </c>
      <c r="Q592" s="1">
        <v>-197170</v>
      </c>
      <c r="R592" s="1">
        <v>87.1</v>
      </c>
      <c r="T592">
        <f>E592/G592</f>
        <v>8.6783811682071124E-2</v>
      </c>
      <c r="U592">
        <f>D592/C592</f>
        <v>0.10905429792623081</v>
      </c>
      <c r="V592">
        <f>(E592-F592)/O592</f>
        <v>0.13737639336257007</v>
      </c>
      <c r="W592">
        <f>H592/K592</f>
        <v>1.6183674365183294</v>
      </c>
      <c r="X592">
        <f>(H592-I592)/K592</f>
        <v>1.117059761655681</v>
      </c>
      <c r="Y592">
        <f>(H592-K592)/G592</f>
        <v>0.2005778152177782</v>
      </c>
      <c r="Z592">
        <f>J592/N592</f>
        <v>0.63124082306669216</v>
      </c>
      <c r="AA592">
        <f>J592/G592</f>
        <v>0.36827711400875623</v>
      </c>
      <c r="AB592">
        <f>C592/G592</f>
        <v>0.46843669541900501</v>
      </c>
      <c r="AC592">
        <f>C592/(G592-K592)</f>
        <v>0.69332980942814393</v>
      </c>
      <c r="AD592">
        <f>Q592/E592</f>
        <v>-1.3478207371759816</v>
      </c>
      <c r="AE592">
        <f>Q592/J592</f>
        <v>-0.31761143059649799</v>
      </c>
      <c r="AF592">
        <f>Q592/G592</f>
        <v>-0.11696902103627066</v>
      </c>
      <c r="AG592">
        <f>Q592/K592</f>
        <v>-0.36060734638935427</v>
      </c>
      <c r="AH592">
        <f>Q592/L592</f>
        <v>-0.70997501026235621</v>
      </c>
      <c r="AI592" s="1">
        <f>R592</f>
        <v>87.1</v>
      </c>
      <c r="AJ592" s="1">
        <f>P592</f>
        <v>768501</v>
      </c>
    </row>
    <row r="593" spans="1:36" x14ac:dyDescent="0.25">
      <c r="A593" t="s">
        <v>97</v>
      </c>
      <c r="B593">
        <v>2021</v>
      </c>
      <c r="C593" s="1">
        <v>2000736</v>
      </c>
      <c r="D593" s="1">
        <v>245363</v>
      </c>
      <c r="E593" s="1">
        <v>243243</v>
      </c>
      <c r="G593" s="1">
        <v>2338465</v>
      </c>
      <c r="H593" s="1">
        <v>1508634</v>
      </c>
      <c r="I593" s="1">
        <v>470460</v>
      </c>
      <c r="J593" s="1">
        <v>990560</v>
      </c>
      <c r="K593" s="1">
        <v>830631</v>
      </c>
      <c r="L593" s="1">
        <f>65421+257672+M593</f>
        <v>416514</v>
      </c>
      <c r="M593" s="1">
        <v>93421</v>
      </c>
      <c r="N593" s="1">
        <v>1119308</v>
      </c>
      <c r="O593" s="1">
        <v>1347905</v>
      </c>
      <c r="P593" s="1">
        <v>901142</v>
      </c>
      <c r="Q593" s="1">
        <v>151076</v>
      </c>
      <c r="R593" s="1">
        <v>47.6</v>
      </c>
      <c r="T593">
        <f>E593/G593</f>
        <v>0.10401823418353492</v>
      </c>
      <c r="U593">
        <f>D593/C593</f>
        <v>0.12263636981590774</v>
      </c>
      <c r="V593">
        <f>(E593-F593)/O593</f>
        <v>0.18046004725852341</v>
      </c>
      <c r="W593">
        <f>H593/K593</f>
        <v>1.8162505372421689</v>
      </c>
      <c r="X593">
        <f>(H593-I593)/K593</f>
        <v>1.2498618520137101</v>
      </c>
      <c r="Y593">
        <f>(H593-K593)/G593</f>
        <v>0.28993506424085885</v>
      </c>
      <c r="Z593">
        <f>J593/N593</f>
        <v>0.8849753597758615</v>
      </c>
      <c r="AA593">
        <f>J593/G593</f>
        <v>0.42359410981135059</v>
      </c>
      <c r="AB593">
        <f>C593/G593</f>
        <v>0.85557662825828051</v>
      </c>
      <c r="AC593">
        <f>C593/(G593-K593)</f>
        <v>1.3268940745466675</v>
      </c>
      <c r="AD593">
        <f>Q593/E593</f>
        <v>0.62109084331306552</v>
      </c>
      <c r="AE593">
        <f>Q593/J593</f>
        <v>0.15251574866742046</v>
      </c>
      <c r="AF593">
        <f>Q593/G593</f>
        <v>6.4604772788987644E-2</v>
      </c>
      <c r="AG593">
        <f>Q593/K593</f>
        <v>0.18188100371885951</v>
      </c>
      <c r="AH593">
        <f>Q593/L593</f>
        <v>0.36271529888551163</v>
      </c>
      <c r="AI593" s="1">
        <f>R593</f>
        <v>47.6</v>
      </c>
      <c r="AJ593" s="1">
        <f>P593</f>
        <v>901142</v>
      </c>
    </row>
    <row r="594" spans="1:36" x14ac:dyDescent="0.25">
      <c r="A594" t="s">
        <v>97</v>
      </c>
      <c r="B594">
        <v>2022</v>
      </c>
      <c r="C594" s="1">
        <v>3698646</v>
      </c>
      <c r="D594" s="1">
        <v>338746</v>
      </c>
      <c r="E594" s="1">
        <v>339683</v>
      </c>
      <c r="G594" s="1">
        <v>3411297</v>
      </c>
      <c r="H594" s="1">
        <v>2462183</v>
      </c>
      <c r="I594" s="1">
        <v>858920</v>
      </c>
      <c r="J594" s="1">
        <v>1931317</v>
      </c>
      <c r="K594" s="1">
        <v>1621840</v>
      </c>
      <c r="L594" s="1">
        <f>132970+818458+M594</f>
        <v>1148743</v>
      </c>
      <c r="M594" s="1">
        <v>197315</v>
      </c>
      <c r="N594" s="1">
        <v>1215952</v>
      </c>
      <c r="O594" s="1">
        <v>1479980</v>
      </c>
      <c r="P594" s="1">
        <v>1000285</v>
      </c>
      <c r="Q594" s="1">
        <v>-416986</v>
      </c>
      <c r="R594" s="1">
        <v>55.1</v>
      </c>
      <c r="T594">
        <f>E594/G594</f>
        <v>9.9575909104367047E-2</v>
      </c>
      <c r="U594">
        <f>D594/C594</f>
        <v>9.1586488677207825E-2</v>
      </c>
      <c r="V594">
        <f>(E594-F594)/O594</f>
        <v>0.22951864214381276</v>
      </c>
      <c r="W594">
        <f>H594/K594</f>
        <v>1.518141740245647</v>
      </c>
      <c r="X594">
        <f>(H594-I594)/K594</f>
        <v>0.9885457258422532</v>
      </c>
      <c r="Y594">
        <f>(H594-K594)/G594</f>
        <v>0.2463412010153323</v>
      </c>
      <c r="Z594">
        <f>J594/N594</f>
        <v>1.5883168085582327</v>
      </c>
      <c r="AA594">
        <f>J594/G594</f>
        <v>0.56615328422004885</v>
      </c>
      <c r="AB594">
        <f>C594/G594</f>
        <v>1.0842345301508487</v>
      </c>
      <c r="AC594">
        <f>C594/(G594-K594)</f>
        <v>2.0669096826579234</v>
      </c>
      <c r="AD594">
        <f>Q594/E594</f>
        <v>-1.2275739439418516</v>
      </c>
      <c r="AE594">
        <f>Q594/J594</f>
        <v>-0.21590759051983699</v>
      </c>
      <c r="AF594">
        <f>Q594/G594</f>
        <v>-0.12223679146084319</v>
      </c>
      <c r="AG594">
        <f>Q594/K594</f>
        <v>-0.25710674295861491</v>
      </c>
      <c r="AH594">
        <f>Q594/L594</f>
        <v>-0.36299328918652823</v>
      </c>
      <c r="AI594" s="1">
        <f>R594</f>
        <v>55.1</v>
      </c>
      <c r="AJ594" s="1">
        <f>P594</f>
        <v>1000285</v>
      </c>
    </row>
    <row r="595" spans="1:36" x14ac:dyDescent="0.25">
      <c r="A595" t="s">
        <v>97</v>
      </c>
      <c r="B595">
        <v>2023</v>
      </c>
      <c r="C595" s="1">
        <v>4388616</v>
      </c>
      <c r="D595" s="1">
        <v>515633</v>
      </c>
      <c r="E595" s="1">
        <v>384187</v>
      </c>
      <c r="G595" s="1">
        <v>3034613</v>
      </c>
      <c r="H595" s="1">
        <v>2056943</v>
      </c>
      <c r="I595" s="1">
        <v>1035886</v>
      </c>
      <c r="J595" s="1">
        <v>1385927</v>
      </c>
      <c r="K595" s="1">
        <v>1292642</v>
      </c>
      <c r="L595" s="1">
        <f>33752+655801+M595</f>
        <v>689553</v>
      </c>
      <c r="M595" s="1">
        <v>0</v>
      </c>
      <c r="N595" s="1">
        <v>1408442</v>
      </c>
      <c r="O595" s="1">
        <v>1648686</v>
      </c>
      <c r="P595" s="1">
        <v>1183633</v>
      </c>
      <c r="Q595" s="1">
        <v>456938</v>
      </c>
      <c r="R595" s="1">
        <v>50.1</v>
      </c>
      <c r="T595">
        <f>E595/G595</f>
        <v>0.12660164574527297</v>
      </c>
      <c r="U595">
        <f>D595/C595</f>
        <v>0.11749330540653363</v>
      </c>
      <c r="V595">
        <f>(E595-F595)/O595</f>
        <v>0.23302617963638922</v>
      </c>
      <c r="W595">
        <f>H595/K595</f>
        <v>1.5912704368262829</v>
      </c>
      <c r="X595">
        <f>(H595-I595)/K595</f>
        <v>0.7898992915285129</v>
      </c>
      <c r="Y595">
        <f>(H595-K595)/G595</f>
        <v>0.25186111046120213</v>
      </c>
      <c r="Z595">
        <f>J595/N595</f>
        <v>0.98401425120807251</v>
      </c>
      <c r="AA595">
        <f>J595/G595</f>
        <v>0.45670634113806274</v>
      </c>
      <c r="AB595">
        <f>C595/G595</f>
        <v>1.4461863835685143</v>
      </c>
      <c r="AC595">
        <f>C595/(G595-K595)</f>
        <v>2.5193393001376028</v>
      </c>
      <c r="AD595">
        <f>Q595/E595</f>
        <v>1.1893635130808695</v>
      </c>
      <c r="AE595">
        <f>Q595/J595</f>
        <v>0.32969846175159295</v>
      </c>
      <c r="AF595">
        <f>Q595/G595</f>
        <v>0.15057537814541755</v>
      </c>
      <c r="AG595">
        <f>Q595/K595</f>
        <v>0.35349153129791544</v>
      </c>
      <c r="AH595">
        <f>Q595/L595</f>
        <v>0.66265827282311873</v>
      </c>
      <c r="AI595" s="1">
        <f>R595</f>
        <v>50.1</v>
      </c>
      <c r="AJ595" s="1">
        <f>P595</f>
        <v>1183633</v>
      </c>
    </row>
    <row r="596" spans="1:36" s="8" customFormat="1" x14ac:dyDescent="0.25">
      <c r="A596" s="8" t="s">
        <v>97</v>
      </c>
      <c r="B596" s="8">
        <v>2024</v>
      </c>
      <c r="C596" s="9">
        <v>5125081</v>
      </c>
      <c r="D596" s="9">
        <v>232411</v>
      </c>
      <c r="E596" s="9">
        <v>58452</v>
      </c>
      <c r="F596" s="9"/>
      <c r="G596" s="9">
        <v>3966699</v>
      </c>
      <c r="H596" s="9">
        <v>2845804</v>
      </c>
      <c r="I596" s="9">
        <v>762634</v>
      </c>
      <c r="J596" s="9">
        <v>2303052</v>
      </c>
      <c r="K596" s="9">
        <v>1879886</v>
      </c>
      <c r="L596" s="9">
        <f>6667+1068502+M596</f>
        <v>1388502</v>
      </c>
      <c r="M596" s="9">
        <v>313333</v>
      </c>
      <c r="N596" s="9">
        <v>1397149</v>
      </c>
      <c r="O596" s="9">
        <v>1663647</v>
      </c>
      <c r="P596" s="9">
        <v>1156513</v>
      </c>
      <c r="Q596" s="9">
        <v>-555697</v>
      </c>
      <c r="R596" s="9">
        <v>52.1</v>
      </c>
      <c r="T596" s="8">
        <f>E596/G596</f>
        <v>1.4735678204975976E-2</v>
      </c>
      <c r="U596" s="8">
        <f>D596/C596</f>
        <v>4.5347771088886206E-2</v>
      </c>
      <c r="V596" s="8">
        <f>(E596-F596)/O596</f>
        <v>3.5134857334518682E-2</v>
      </c>
      <c r="W596" s="8">
        <f>H596/K596</f>
        <v>1.5138173272209059</v>
      </c>
      <c r="X596" s="8">
        <f>(H596-I596)/K596</f>
        <v>1.1081363444379073</v>
      </c>
      <c r="Y596" s="8">
        <f>(H596-K596)/G596</f>
        <v>0.24350675460880697</v>
      </c>
      <c r="Z596" s="8">
        <f>J596/N596</f>
        <v>1.6483939794538736</v>
      </c>
      <c r="AA596" s="8">
        <f>J596/G596</f>
        <v>0.58059661194358336</v>
      </c>
      <c r="AB596" s="8">
        <f>C596/G596</f>
        <v>1.2920266952445849</v>
      </c>
      <c r="AC596" s="8">
        <f>C596/(G596-K596)</f>
        <v>2.4559368759922426</v>
      </c>
      <c r="AD596" s="8">
        <f>Q596/E596</f>
        <v>-9.5068945459522336</v>
      </c>
      <c r="AE596" s="8">
        <f>Q596/J596</f>
        <v>-0.24128721366256603</v>
      </c>
      <c r="AF596" s="8">
        <f>Q596/G596</f>
        <v>-0.14009053875779331</v>
      </c>
      <c r="AG596" s="8">
        <f>Q596/K596</f>
        <v>-0.29560143540618955</v>
      </c>
      <c r="AH596" s="8">
        <f>Q596/L596</f>
        <v>-0.40021332342337279</v>
      </c>
      <c r="AI596" s="9">
        <f>R596</f>
        <v>52.1</v>
      </c>
      <c r="AJ596" s="9">
        <f>P596</f>
        <v>1156513</v>
      </c>
    </row>
    <row r="597" spans="1:36" x14ac:dyDescent="0.25">
      <c r="A597" s="15" t="s">
        <v>100</v>
      </c>
      <c r="B597" s="15">
        <v>2018</v>
      </c>
      <c r="C597" s="6">
        <v>49874384</v>
      </c>
      <c r="D597" s="6">
        <v>4245095</v>
      </c>
      <c r="E597" s="6">
        <v>2950813</v>
      </c>
      <c r="F597" s="6"/>
      <c r="G597" s="6">
        <v>57698581</v>
      </c>
      <c r="H597" s="6">
        <v>32034183</v>
      </c>
      <c r="I597" s="6">
        <v>9873450</v>
      </c>
      <c r="J597" s="6">
        <v>28629253</v>
      </c>
      <c r="K597" s="6">
        <v>21811416</v>
      </c>
      <c r="L597" s="6">
        <f>2931913+M597</f>
        <v>5175453</v>
      </c>
      <c r="M597" s="6">
        <v>2243540</v>
      </c>
      <c r="N597" s="6">
        <v>25478883</v>
      </c>
      <c r="O597" s="6">
        <f>G597-J597</f>
        <v>29069328</v>
      </c>
      <c r="P597" s="6">
        <v>17420761</v>
      </c>
      <c r="Q597" s="6">
        <v>5782146</v>
      </c>
      <c r="R597" s="6">
        <v>124.9</v>
      </c>
      <c r="S597" s="15"/>
      <c r="T597" s="15">
        <f>E597/G597</f>
        <v>5.114186430338729E-2</v>
      </c>
      <c r="U597" s="15">
        <f>D597/C597</f>
        <v>8.5115737970818853E-2</v>
      </c>
      <c r="V597" s="15">
        <f>(E597-F597)/O597</f>
        <v>0.10150950169883528</v>
      </c>
      <c r="W597" s="15">
        <f>H597/K597</f>
        <v>1.4686888279055335</v>
      </c>
      <c r="X597" s="15">
        <f>(H597-I597)/K597</f>
        <v>1.0160153288534775</v>
      </c>
      <c r="Y597" s="15">
        <f>(H597-K597)/G597</f>
        <v>0.17717536242355769</v>
      </c>
      <c r="Z597" s="15">
        <f>J597/N597</f>
        <v>1.1236463152642917</v>
      </c>
      <c r="AA597" s="15">
        <f>J597/G597</f>
        <v>0.49618643134395279</v>
      </c>
      <c r="AB597" s="15">
        <f>C597/G597</f>
        <v>0.86439533062346885</v>
      </c>
      <c r="AC597" s="15">
        <f>C597/(G597-K597)</f>
        <v>1.3897554738581328</v>
      </c>
      <c r="AD597" s="15">
        <f>Q597/E597</f>
        <v>1.9595094640019548</v>
      </c>
      <c r="AE597" s="15">
        <f>Q597/J597</f>
        <v>0.20196635937374963</v>
      </c>
      <c r="AF597" s="15">
        <f>Q597/G597</f>
        <v>0.10021296710919113</v>
      </c>
      <c r="AG597" s="15">
        <f>Q597/K597</f>
        <v>0.26509723165153515</v>
      </c>
      <c r="AH597" s="15">
        <f>Q597/L597</f>
        <v>1.1172251008752276</v>
      </c>
      <c r="AI597" s="6">
        <f>R597</f>
        <v>124.9</v>
      </c>
      <c r="AJ597" s="6">
        <f>P597</f>
        <v>17420761</v>
      </c>
    </row>
    <row r="598" spans="1:36" x14ac:dyDescent="0.25">
      <c r="A598" t="s">
        <v>100</v>
      </c>
      <c r="B598">
        <v>2019</v>
      </c>
      <c r="C598" s="1">
        <v>64082154</v>
      </c>
      <c r="D598" s="1">
        <v>5661325</v>
      </c>
      <c r="E598" s="1">
        <v>3679236</v>
      </c>
      <c r="G598" s="1">
        <v>62749400</v>
      </c>
      <c r="H598" s="1">
        <v>36507416</v>
      </c>
      <c r="I598" s="1">
        <v>11200949</v>
      </c>
      <c r="J598" s="1">
        <v>30879678</v>
      </c>
      <c r="K598" s="1">
        <v>24774085</v>
      </c>
      <c r="L598" s="1">
        <f>3553237+M598</f>
        <v>4922304</v>
      </c>
      <c r="M598" s="1">
        <v>1369067</v>
      </c>
      <c r="N598" s="1">
        <v>28098644</v>
      </c>
      <c r="O598" s="1">
        <f>G598-J598</f>
        <v>31869722</v>
      </c>
      <c r="P598" s="1">
        <v>18496649</v>
      </c>
      <c r="Q598" s="1">
        <v>1813421</v>
      </c>
      <c r="R598" s="1">
        <v>75</v>
      </c>
      <c r="T598">
        <f>E598/G598</f>
        <v>5.8633803669835886E-2</v>
      </c>
      <c r="U598">
        <f>D598/C598</f>
        <v>8.8344798771901462E-2</v>
      </c>
      <c r="V598">
        <f>(E598-F598)/O598</f>
        <v>0.1154461278325553</v>
      </c>
      <c r="W598">
        <f>H598/K598</f>
        <v>1.4736130920677797</v>
      </c>
      <c r="X598">
        <f>(H598-I598)/K598</f>
        <v>1.021489471760511</v>
      </c>
      <c r="Y598">
        <f>(H598-K598)/G598</f>
        <v>0.18698714250654189</v>
      </c>
      <c r="Z598">
        <f>J598/N598</f>
        <v>1.0989739576045021</v>
      </c>
      <c r="AA598">
        <f>J598/G598</f>
        <v>0.49211112775580323</v>
      </c>
      <c r="AB598">
        <f>C598/G598</f>
        <v>1.0212393106547633</v>
      </c>
      <c r="AC598">
        <f>C598/(G598-K598)</f>
        <v>1.6874686622085953</v>
      </c>
      <c r="AD598">
        <f>Q598/E598</f>
        <v>0.49287977177870623</v>
      </c>
      <c r="AE598">
        <f>Q598/J598</f>
        <v>5.8725385672739203E-2</v>
      </c>
      <c r="AF598">
        <f>Q598/G598</f>
        <v>2.889941577130618E-2</v>
      </c>
      <c r="AG598">
        <f>Q598/K598</f>
        <v>7.3198303792047212E-2</v>
      </c>
      <c r="AH598">
        <f>Q598/L598</f>
        <v>0.36840898083499107</v>
      </c>
      <c r="AI598" s="1">
        <f>R598</f>
        <v>75</v>
      </c>
      <c r="AJ598" s="1">
        <f>P598</f>
        <v>18496649</v>
      </c>
    </row>
    <row r="599" spans="1:36" x14ac:dyDescent="0.25">
      <c r="A599" t="s">
        <v>100</v>
      </c>
      <c r="B599">
        <v>2020</v>
      </c>
      <c r="C599" s="1">
        <v>60043490</v>
      </c>
      <c r="D599" s="1">
        <v>3531779</v>
      </c>
      <c r="E599" s="1">
        <v>1362707</v>
      </c>
      <c r="G599" s="1">
        <v>64380417</v>
      </c>
      <c r="H599" s="1">
        <v>35653636</v>
      </c>
      <c r="I599" s="1">
        <v>13559991</v>
      </c>
      <c r="J599" s="1">
        <v>32905955</v>
      </c>
      <c r="K599" s="1">
        <v>23209256</v>
      </c>
      <c r="L599" s="1">
        <f>3363156+M599</f>
        <v>8101313</v>
      </c>
      <c r="M599" s="1">
        <v>4738157</v>
      </c>
      <c r="N599" s="1">
        <v>27914292</v>
      </c>
      <c r="O599" s="1">
        <f>G599-J599</f>
        <v>31474462</v>
      </c>
      <c r="P599" s="1">
        <v>18574233</v>
      </c>
      <c r="Q599" s="1">
        <v>1589246</v>
      </c>
      <c r="R599" s="1">
        <v>56.2</v>
      </c>
      <c r="T599">
        <f>E599/G599</f>
        <v>2.1166482969502978E-2</v>
      </c>
      <c r="U599">
        <f>D599/C599</f>
        <v>5.8820348384146223E-2</v>
      </c>
      <c r="V599">
        <f>(E599-F599)/O599</f>
        <v>4.3295640764248806E-2</v>
      </c>
      <c r="W599">
        <f>H599/K599</f>
        <v>1.5361817716173236</v>
      </c>
      <c r="X599">
        <f>(H599-I599)/K599</f>
        <v>0.95193249624201659</v>
      </c>
      <c r="Y599">
        <f>(H599-K599)/G599</f>
        <v>0.19329449201921137</v>
      </c>
      <c r="Z599">
        <f>J599/N599</f>
        <v>1.1788210498048812</v>
      </c>
      <c r="AA599">
        <f>J599/G599</f>
        <v>0.51111745672601039</v>
      </c>
      <c r="AB599">
        <f>C599/G599</f>
        <v>0.93263592871726819</v>
      </c>
      <c r="AC599">
        <f>C599/(G599-K599)</f>
        <v>1.4583870977065718</v>
      </c>
      <c r="AD599">
        <f>Q599/E599</f>
        <v>1.166241899395835</v>
      </c>
      <c r="AE599">
        <f>Q599/J599</f>
        <v>4.8296607711279006E-2</v>
      </c>
      <c r="AF599">
        <f>Q599/G599</f>
        <v>2.4685239301882746E-2</v>
      </c>
      <c r="AG599">
        <f>Q599/K599</f>
        <v>6.8474663728988125E-2</v>
      </c>
      <c r="AH599">
        <f>Q599/L599</f>
        <v>0.19617141073305031</v>
      </c>
      <c r="AI599" s="1">
        <f>R599</f>
        <v>56.2</v>
      </c>
      <c r="AJ599" s="1">
        <f>P599</f>
        <v>18574233</v>
      </c>
    </row>
    <row r="600" spans="1:36" x14ac:dyDescent="0.25">
      <c r="A600" t="s">
        <v>100</v>
      </c>
      <c r="B600">
        <v>2021</v>
      </c>
      <c r="C600" s="1">
        <v>64500748</v>
      </c>
      <c r="D600" s="1">
        <v>6060661</v>
      </c>
      <c r="E600" s="1">
        <v>3342026</v>
      </c>
      <c r="G600" s="1">
        <v>63594388</v>
      </c>
      <c r="H600" s="1">
        <v>37854726</v>
      </c>
      <c r="I600" s="1">
        <v>15450580</v>
      </c>
      <c r="J600" s="1">
        <v>30156102</v>
      </c>
      <c r="K600" s="1">
        <v>24286707</v>
      </c>
      <c r="L600" s="1">
        <f>3259651+M600</f>
        <v>6455518</v>
      </c>
      <c r="M600" s="1">
        <v>3195867</v>
      </c>
      <c r="N600" s="1">
        <v>31895382</v>
      </c>
      <c r="O600" s="1">
        <f>G600-J600</f>
        <v>33438286</v>
      </c>
      <c r="P600" s="1">
        <v>21777539</v>
      </c>
      <c r="Q600" s="1">
        <v>6539456</v>
      </c>
      <c r="R600" s="1">
        <v>83.4</v>
      </c>
      <c r="T600">
        <f>E600/G600</f>
        <v>5.2552215770989098E-2</v>
      </c>
      <c r="U600">
        <f>D600/C600</f>
        <v>9.3962646758763174E-2</v>
      </c>
      <c r="V600">
        <f>(E600-F600)/O600</f>
        <v>9.9946091734486625E-2</v>
      </c>
      <c r="W600">
        <f>H600/K600</f>
        <v>1.5586602992328273</v>
      </c>
      <c r="X600">
        <f>(H600-I600)/K600</f>
        <v>0.92248595085369123</v>
      </c>
      <c r="Y600">
        <f>(H600-K600)/G600</f>
        <v>0.21335245808167852</v>
      </c>
      <c r="Z600">
        <f>J600/N600</f>
        <v>0.94546922184534421</v>
      </c>
      <c r="AA600">
        <f>J600/G600</f>
        <v>0.47419438960557336</v>
      </c>
      <c r="AB600">
        <f>C600/G600</f>
        <v>1.0142522009961006</v>
      </c>
      <c r="AC600">
        <f>C600/(G600-K600)</f>
        <v>1.6409196970943161</v>
      </c>
      <c r="AD600">
        <f>Q600/E600</f>
        <v>1.9567340289991759</v>
      </c>
      <c r="AE600">
        <f>Q600/J600</f>
        <v>0.21685349121050193</v>
      </c>
      <c r="AF600">
        <f>Q600/G600</f>
        <v>0.10283070889840154</v>
      </c>
      <c r="AG600">
        <f>Q600/K600</f>
        <v>0.26926071121951611</v>
      </c>
      <c r="AH600">
        <f>Q600/L600</f>
        <v>1.0130025197048478</v>
      </c>
      <c r="AI600" s="1">
        <f>R600</f>
        <v>83.4</v>
      </c>
      <c r="AJ600" s="1">
        <f>P600</f>
        <v>21777539</v>
      </c>
    </row>
    <row r="601" spans="1:36" x14ac:dyDescent="0.25">
      <c r="A601" t="s">
        <v>100</v>
      </c>
      <c r="B601">
        <v>2022</v>
      </c>
      <c r="C601" s="1">
        <v>78830850</v>
      </c>
      <c r="D601" s="1">
        <v>6782644</v>
      </c>
      <c r="E601" s="1">
        <v>4834466</v>
      </c>
      <c r="G601" s="1">
        <v>76307670</v>
      </c>
      <c r="H601" s="1">
        <v>51221369</v>
      </c>
      <c r="I601" s="1">
        <v>16807120</v>
      </c>
      <c r="J601" s="1">
        <v>39800367</v>
      </c>
      <c r="K601" s="1">
        <v>33715678</v>
      </c>
      <c r="L601" s="1">
        <f>2678177+M601</f>
        <v>5771087</v>
      </c>
      <c r="M601" s="1">
        <v>3092910</v>
      </c>
      <c r="N601" s="1">
        <v>35587786</v>
      </c>
      <c r="O601" s="1">
        <f>G601-J601</f>
        <v>36507303</v>
      </c>
      <c r="P601" s="1">
        <v>23205732</v>
      </c>
      <c r="Q601" s="1">
        <v>8052336</v>
      </c>
      <c r="R601" s="1">
        <v>46.2</v>
      </c>
      <c r="T601">
        <f>E601/G601</f>
        <v>6.3354915698513661E-2</v>
      </c>
      <c r="U601">
        <f>D601/C601</f>
        <v>8.6040477807863294E-2</v>
      </c>
      <c r="V601">
        <f>(E601-F601)/O601</f>
        <v>0.13242462747795969</v>
      </c>
      <c r="W601">
        <f>H601/K601</f>
        <v>1.5192151556317508</v>
      </c>
      <c r="X601">
        <f>(H601-I601)/K601</f>
        <v>1.0207194706272851</v>
      </c>
      <c r="Y601">
        <f>(H601-K601)/G601</f>
        <v>0.22940932412167742</v>
      </c>
      <c r="Z601">
        <f>J601/N601</f>
        <v>1.1183715390443227</v>
      </c>
      <c r="AA601">
        <f>J601/G601</f>
        <v>0.52157754259827349</v>
      </c>
      <c r="AB601">
        <f>C601/G601</f>
        <v>1.0330658766019196</v>
      </c>
      <c r="AC601">
        <f>C601/(G601-K601)</f>
        <v>1.850837359285755</v>
      </c>
      <c r="AD601">
        <f>Q601/E601</f>
        <v>1.665610224583232</v>
      </c>
      <c r="AE601">
        <f>Q601/J601</f>
        <v>0.20231813440313251</v>
      </c>
      <c r="AF601">
        <f>Q601/G601</f>
        <v>0.10552459536505308</v>
      </c>
      <c r="AG601">
        <f>Q601/K601</f>
        <v>0.23883061168160402</v>
      </c>
      <c r="AH601">
        <f>Q601/L601</f>
        <v>1.3952893103153703</v>
      </c>
      <c r="AI601" s="1">
        <f>R601</f>
        <v>46.2</v>
      </c>
      <c r="AJ601" s="1">
        <f>P601</f>
        <v>23205732</v>
      </c>
    </row>
    <row r="602" spans="1:36" x14ac:dyDescent="0.25">
      <c r="A602" t="s">
        <v>100</v>
      </c>
      <c r="B602">
        <v>2023</v>
      </c>
      <c r="C602" s="1">
        <v>113939574</v>
      </c>
      <c r="D602" s="1">
        <v>10963151</v>
      </c>
      <c r="E602" s="1">
        <v>5068683</v>
      </c>
      <c r="G602" s="1">
        <v>98497883</v>
      </c>
      <c r="H602" s="1">
        <v>70875255</v>
      </c>
      <c r="I602" s="1">
        <v>28602360</v>
      </c>
      <c r="J602" s="1">
        <v>59377482</v>
      </c>
      <c r="K602" s="1">
        <v>49552356</v>
      </c>
      <c r="L602" s="1">
        <f>11739284+M602</f>
        <v>17188766</v>
      </c>
      <c r="M602" s="1">
        <v>5449482</v>
      </c>
      <c r="N602" s="1">
        <v>38404559</v>
      </c>
      <c r="O602" s="1">
        <f>G602-J602</f>
        <v>39120401</v>
      </c>
      <c r="P602" s="1">
        <v>23967649</v>
      </c>
      <c r="Q602" s="1">
        <v>-9261703</v>
      </c>
      <c r="R602" s="1">
        <v>65</v>
      </c>
      <c r="T602">
        <f>E602/G602</f>
        <v>5.1459816654130526E-2</v>
      </c>
      <c r="U602">
        <f>D602/C602</f>
        <v>9.6218992358177505E-2</v>
      </c>
      <c r="V602">
        <f>(E602-F602)/O602</f>
        <v>0.12956623322956223</v>
      </c>
      <c r="W602">
        <f>H602/K602</f>
        <v>1.4303104982536048</v>
      </c>
      <c r="X602">
        <f>(H602-I602)/K602</f>
        <v>0.85309556219688121</v>
      </c>
      <c r="Y602">
        <f>(H602-K602)/G602</f>
        <v>0.21648078466823495</v>
      </c>
      <c r="Z602">
        <f>J602/N602</f>
        <v>1.5461050340403597</v>
      </c>
      <c r="AA602">
        <f>J602/G602</f>
        <v>0.60283003239775212</v>
      </c>
      <c r="AB602">
        <f>C602/G602</f>
        <v>1.1567718059483574</v>
      </c>
      <c r="AC602">
        <f>C602/(G602-K602)</f>
        <v>2.3278853244342428</v>
      </c>
      <c r="AD602">
        <f>Q602/E602</f>
        <v>-1.8272405277662855</v>
      </c>
      <c r="AE602">
        <f>Q602/J602</f>
        <v>-0.15598005654736252</v>
      </c>
      <c r="AF602">
        <f>Q602/G602</f>
        <v>-9.4029462541849754E-2</v>
      </c>
      <c r="AG602">
        <f>Q602/K602</f>
        <v>-0.18690741969968089</v>
      </c>
      <c r="AH602">
        <f>Q602/L602</f>
        <v>-0.53882303127519449</v>
      </c>
      <c r="AI602" s="1">
        <f>R602</f>
        <v>65</v>
      </c>
      <c r="AJ602" s="1">
        <f>P602</f>
        <v>23967649</v>
      </c>
    </row>
    <row r="603" spans="1:36" s="8" customFormat="1" x14ac:dyDescent="0.25">
      <c r="A603" s="8" t="s">
        <v>100</v>
      </c>
      <c r="B603" s="8">
        <v>2024</v>
      </c>
      <c r="C603" s="9">
        <v>121613772</v>
      </c>
      <c r="D603" s="9">
        <v>11920978</v>
      </c>
      <c r="E603" s="9">
        <v>6354653</v>
      </c>
      <c r="F603" s="9"/>
      <c r="G603" s="9">
        <v>93722932</v>
      </c>
      <c r="H603" s="9">
        <v>62843408</v>
      </c>
      <c r="I603" s="9">
        <v>22775145</v>
      </c>
      <c r="J603" s="9">
        <v>49603334</v>
      </c>
      <c r="K603" s="9">
        <v>39633376</v>
      </c>
      <c r="L603" s="9">
        <f>5887178+M603</f>
        <v>11294957</v>
      </c>
      <c r="M603" s="9">
        <v>5407779</v>
      </c>
      <c r="N603" s="9">
        <v>43431769</v>
      </c>
      <c r="O603" s="9">
        <f>G603-J603</f>
        <v>44119598</v>
      </c>
      <c r="P603" s="9">
        <v>28043567</v>
      </c>
      <c r="Q603" s="9">
        <v>13905592</v>
      </c>
      <c r="R603" s="9">
        <v>80.400000000000006</v>
      </c>
      <c r="T603" s="8">
        <f>E603/G603</f>
        <v>6.7802541644770564E-2</v>
      </c>
      <c r="U603" s="8">
        <f>D603/C603</f>
        <v>9.802325677391209E-2</v>
      </c>
      <c r="V603" s="8">
        <f>(E603-F603)/O603</f>
        <v>0.14403243202714586</v>
      </c>
      <c r="W603" s="8">
        <f>H603/K603</f>
        <v>1.5856183434890836</v>
      </c>
      <c r="X603" s="8">
        <f>(H603-I603)/K603</f>
        <v>1.0109727468081446</v>
      </c>
      <c r="Y603" s="8">
        <f>(H603-K603)/G603</f>
        <v>0.2476451761026853</v>
      </c>
      <c r="Z603" s="8">
        <f>J603/N603</f>
        <v>1.1420979421768429</v>
      </c>
      <c r="AA603" s="8">
        <f>J603/G603</f>
        <v>0.52925503867079193</v>
      </c>
      <c r="AB603" s="8">
        <f>C603/G603</f>
        <v>1.2975882145897868</v>
      </c>
      <c r="AC603" s="8">
        <f>C603/(G603-K603)</f>
        <v>2.2483780787551666</v>
      </c>
      <c r="AD603" s="8">
        <f>Q603/E603</f>
        <v>2.1882535521609126</v>
      </c>
      <c r="AE603" s="8">
        <f>Q603/J603</f>
        <v>0.28033583387761796</v>
      </c>
      <c r="AF603" s="8">
        <f>Q603/G603</f>
        <v>0.1483691525997074</v>
      </c>
      <c r="AG603" s="8">
        <f>Q603/K603</f>
        <v>0.35085560210666888</v>
      </c>
      <c r="AH603" s="8">
        <f>Q603/L603</f>
        <v>1.2311327966985621</v>
      </c>
      <c r="AI603" s="9">
        <f>R603</f>
        <v>80.400000000000006</v>
      </c>
      <c r="AJ603" s="9">
        <f>P603</f>
        <v>28043567</v>
      </c>
    </row>
    <row r="604" spans="1:36" x14ac:dyDescent="0.25">
      <c r="A604" s="15" t="s">
        <v>102</v>
      </c>
      <c r="B604" s="15">
        <v>2018</v>
      </c>
      <c r="C604" s="6">
        <v>2248463</v>
      </c>
      <c r="D604" s="6">
        <v>191589</v>
      </c>
      <c r="E604" s="6">
        <v>84344</v>
      </c>
      <c r="F604" s="6"/>
      <c r="G604" s="6">
        <v>3694006</v>
      </c>
      <c r="H604" s="6">
        <v>408986</v>
      </c>
      <c r="I604" s="6">
        <v>245759</v>
      </c>
      <c r="J604" s="6">
        <v>2273209</v>
      </c>
      <c r="K604" s="6">
        <v>786725</v>
      </c>
      <c r="L604" s="6">
        <v>1157336</v>
      </c>
      <c r="M604" s="6">
        <v>703247</v>
      </c>
      <c r="N604" s="6">
        <v>1420799</v>
      </c>
      <c r="O604" s="6">
        <v>1420799</v>
      </c>
      <c r="P604" s="6">
        <v>1100799</v>
      </c>
      <c r="Q604" s="6">
        <v>284016</v>
      </c>
      <c r="R604" s="6">
        <v>22</v>
      </c>
      <c r="S604" s="15"/>
      <c r="T604" s="15">
        <f>E604/G604</f>
        <v>2.2832664592315227E-2</v>
      </c>
      <c r="U604" s="15">
        <f>D604/C604</f>
        <v>8.5208873795121376E-2</v>
      </c>
      <c r="V604" s="15">
        <f>(E604-F604)/O604</f>
        <v>5.9363780520678859E-2</v>
      </c>
      <c r="W604" s="15">
        <f>H604/K604</f>
        <v>0.51985890876735841</v>
      </c>
      <c r="X604" s="15">
        <f>(H604-I604)/K604</f>
        <v>0.20747656423782135</v>
      </c>
      <c r="Y604" s="15">
        <f>(H604-K604)/G604</f>
        <v>-0.10225727841265012</v>
      </c>
      <c r="Z604" s="15">
        <f>J604/N604</f>
        <v>1.5999511542449003</v>
      </c>
      <c r="AA604" s="15">
        <f>J604/G604</f>
        <v>0.61537772272161984</v>
      </c>
      <c r="AB604" s="15">
        <f>C604/G604</f>
        <v>0.60867876229762485</v>
      </c>
      <c r="AC604" s="15">
        <f>C604/(G604-K604)</f>
        <v>0.77339032587493262</v>
      </c>
      <c r="AD604" s="15">
        <f>Q604/E604</f>
        <v>3.3673527458977519</v>
      </c>
      <c r="AE604" s="15">
        <f>Q604/J604</f>
        <v>0.12494055759941122</v>
      </c>
      <c r="AF604" s="15">
        <f>Q604/G604</f>
        <v>7.688563581109506E-2</v>
      </c>
      <c r="AG604" s="15">
        <f>Q604/K604</f>
        <v>0.36101051828783881</v>
      </c>
      <c r="AH604" s="15">
        <f>Q604/L604</f>
        <v>0.24540496450469007</v>
      </c>
      <c r="AI604" s="6">
        <f>R604</f>
        <v>22</v>
      </c>
      <c r="AJ604" s="6">
        <f>P604</f>
        <v>1100799</v>
      </c>
    </row>
    <row r="605" spans="1:36" x14ac:dyDescent="0.25">
      <c r="A605" t="s">
        <v>102</v>
      </c>
      <c r="B605">
        <v>2019</v>
      </c>
      <c r="C605" s="1">
        <v>2020360</v>
      </c>
      <c r="D605" s="1">
        <v>136970</v>
      </c>
      <c r="E605" s="1">
        <v>4802</v>
      </c>
      <c r="G605" s="1">
        <v>3796125</v>
      </c>
      <c r="H605" s="1">
        <v>471655</v>
      </c>
      <c r="I605" s="1">
        <v>297746</v>
      </c>
      <c r="J605" s="1">
        <v>2458209</v>
      </c>
      <c r="K605" s="1">
        <v>956109</v>
      </c>
      <c r="L605" s="1">
        <v>1340097</v>
      </c>
      <c r="M605" s="1">
        <v>670168</v>
      </c>
      <c r="N605" s="1">
        <v>1337916</v>
      </c>
      <c r="O605" s="1">
        <v>1337916</v>
      </c>
      <c r="P605" s="1">
        <v>1017916</v>
      </c>
      <c r="Q605" s="1">
        <v>14217</v>
      </c>
      <c r="R605" s="1">
        <v>17</v>
      </c>
      <c r="T605">
        <f>E605/G605</f>
        <v>1.2649741512726794E-3</v>
      </c>
      <c r="U605">
        <f>D605/C605</f>
        <v>6.7794848442851774E-2</v>
      </c>
      <c r="V605">
        <f>(E605-F605)/O605</f>
        <v>3.589164043183578E-3</v>
      </c>
      <c r="W605">
        <f>H605/K605</f>
        <v>0.49330672548841187</v>
      </c>
      <c r="X605">
        <f>(H605-I605)/K605</f>
        <v>0.18189244113380379</v>
      </c>
      <c r="Y605">
        <f>(H605-K605)/G605</f>
        <v>-0.12761803154532583</v>
      </c>
      <c r="Z605">
        <f>J605/N605</f>
        <v>1.8373418062120492</v>
      </c>
      <c r="AA605">
        <f>J605/G605</f>
        <v>0.64755744344561894</v>
      </c>
      <c r="AB605">
        <f>C605/G605</f>
        <v>0.53221640488656197</v>
      </c>
      <c r="AC605">
        <f>C605/(G605-K605)</f>
        <v>0.71139035836417819</v>
      </c>
      <c r="AD605">
        <f>Q605/E605</f>
        <v>2.9606413994169096</v>
      </c>
      <c r="AE605">
        <f>Q605/J605</f>
        <v>5.7834789474776145E-3</v>
      </c>
      <c r="AF605">
        <f>Q605/G605</f>
        <v>3.7451348414501628E-3</v>
      </c>
      <c r="AG605">
        <f>Q605/K605</f>
        <v>1.4869643523907839E-2</v>
      </c>
      <c r="AH605">
        <f>Q605/L605</f>
        <v>1.06089335324234E-2</v>
      </c>
      <c r="AI605" s="1">
        <f>R605</f>
        <v>17</v>
      </c>
      <c r="AJ605" s="1">
        <f>P605</f>
        <v>1017916</v>
      </c>
    </row>
    <row r="606" spans="1:36" x14ac:dyDescent="0.25">
      <c r="A606" t="s">
        <v>102</v>
      </c>
      <c r="B606">
        <v>2020</v>
      </c>
      <c r="C606" s="1">
        <v>1762154</v>
      </c>
      <c r="D606" s="1">
        <v>-324002</v>
      </c>
      <c r="E606" s="1">
        <v>-494868</v>
      </c>
      <c r="G606" s="1">
        <v>3721394</v>
      </c>
      <c r="H606" s="1">
        <v>336828</v>
      </c>
      <c r="I606" s="1">
        <v>184678</v>
      </c>
      <c r="J606" s="1">
        <v>2909816</v>
      </c>
      <c r="K606" s="1">
        <v>1225156</v>
      </c>
      <c r="L606" s="1">
        <v>1694579</v>
      </c>
      <c r="M606" s="1">
        <v>735490</v>
      </c>
      <c r="N606" s="1">
        <v>811578</v>
      </c>
      <c r="O606" s="1">
        <v>811578</v>
      </c>
      <c r="P606" s="1">
        <v>491578</v>
      </c>
      <c r="Q606" s="1">
        <v>-152285</v>
      </c>
      <c r="R606" s="1">
        <v>17</v>
      </c>
      <c r="T606">
        <f>E606/G606</f>
        <v>-0.13297920080485967</v>
      </c>
      <c r="U606">
        <f>D606/C606</f>
        <v>-0.18386701729814761</v>
      </c>
      <c r="V606">
        <f>(E606-F606)/O606</f>
        <v>-0.60976024485631697</v>
      </c>
      <c r="W606">
        <f>H606/K606</f>
        <v>0.27492662158941394</v>
      </c>
      <c r="X606">
        <f>(H606-I606)/K606</f>
        <v>0.12418826663706499</v>
      </c>
      <c r="Y606">
        <f>(H606-K606)/G606</f>
        <v>-0.23870839798204652</v>
      </c>
      <c r="Z606">
        <f>J606/N606</f>
        <v>3.5853805795622846</v>
      </c>
      <c r="AA606">
        <f>J606/G606</f>
        <v>0.78191559399515342</v>
      </c>
      <c r="AB606">
        <f>C606/G606</f>
        <v>0.47351986916730665</v>
      </c>
      <c r="AC606">
        <f>C606/(G606-K606)</f>
        <v>0.70592387424596537</v>
      </c>
      <c r="AD606">
        <f>Q606/E606</f>
        <v>0.30772852558662106</v>
      </c>
      <c r="AE606">
        <f>Q606/J606</f>
        <v>-5.233492427012567E-2</v>
      </c>
      <c r="AF606">
        <f>Q606/G606</f>
        <v>-4.0921493397366684E-2</v>
      </c>
      <c r="AG606">
        <f>Q606/K606</f>
        <v>-0.12429845668633219</v>
      </c>
      <c r="AH606">
        <f>Q606/L606</f>
        <v>-8.9865978511476888E-2</v>
      </c>
      <c r="AI606" s="1">
        <f>R606</f>
        <v>17</v>
      </c>
      <c r="AJ606" s="1">
        <f>P606</f>
        <v>491578</v>
      </c>
    </row>
    <row r="607" spans="1:36" x14ac:dyDescent="0.25">
      <c r="A607" t="s">
        <v>102</v>
      </c>
      <c r="B607">
        <v>2021</v>
      </c>
      <c r="C607" s="1">
        <v>2125306</v>
      </c>
      <c r="D607" s="1">
        <v>60830</v>
      </c>
      <c r="E607" s="1">
        <v>-77872</v>
      </c>
      <c r="G607" s="1">
        <v>3789536</v>
      </c>
      <c r="H607" s="1">
        <v>426587</v>
      </c>
      <c r="I607" s="1">
        <v>255625</v>
      </c>
      <c r="J607" s="1">
        <v>3041726</v>
      </c>
      <c r="K607" s="1">
        <v>995263</v>
      </c>
      <c r="L607" s="1">
        <v>1786861</v>
      </c>
      <c r="M607" s="1">
        <v>1081523</v>
      </c>
      <c r="N607" s="1">
        <v>747810</v>
      </c>
      <c r="O607" s="1">
        <v>747810</v>
      </c>
      <c r="P607" s="1">
        <v>497810</v>
      </c>
      <c r="Q607" s="1">
        <v>113363</v>
      </c>
      <c r="R607" s="1">
        <v>23.2</v>
      </c>
      <c r="T607">
        <f>E607/G607</f>
        <v>-2.0549217635087779E-2</v>
      </c>
      <c r="U607">
        <f>D607/C607</f>
        <v>2.8621760819383186E-2</v>
      </c>
      <c r="V607">
        <f>(E607-F607)/O607</f>
        <v>-0.1041334028697129</v>
      </c>
      <c r="W607">
        <f>H607/K607</f>
        <v>0.42861736043638715</v>
      </c>
      <c r="X607">
        <f>(H607-I607)/K607</f>
        <v>0.17177570149799601</v>
      </c>
      <c r="Y607">
        <f>(H607-K607)/G607</f>
        <v>-0.15006481004534591</v>
      </c>
      <c r="Z607">
        <f>J607/N607</f>
        <v>4.0675118011259546</v>
      </c>
      <c r="AA607">
        <f>J607/G607</f>
        <v>0.80266449507274773</v>
      </c>
      <c r="AB607">
        <f>C607/G607</f>
        <v>0.5608354162620437</v>
      </c>
      <c r="AC607">
        <f>C607/(G607-K607)</f>
        <v>0.76059354257798006</v>
      </c>
      <c r="AD607">
        <f>Q607/E607</f>
        <v>-1.4557607355660571</v>
      </c>
      <c r="AE607">
        <f>Q607/J607</f>
        <v>3.7269300390633475E-2</v>
      </c>
      <c r="AF607">
        <f>Q607/G607</f>
        <v>2.9914744179762379E-2</v>
      </c>
      <c r="AG607">
        <f>Q607/K607</f>
        <v>0.11390255640971281</v>
      </c>
      <c r="AH607">
        <f>Q607/L607</f>
        <v>6.3442539738681414E-2</v>
      </c>
      <c r="AI607" s="1">
        <f>R607</f>
        <v>23.2</v>
      </c>
      <c r="AJ607" s="1">
        <f>P607</f>
        <v>497810</v>
      </c>
    </row>
    <row r="608" spans="1:36" x14ac:dyDescent="0.25">
      <c r="A608" t="s">
        <v>102</v>
      </c>
      <c r="B608">
        <v>2022</v>
      </c>
      <c r="C608" s="1">
        <v>2563636</v>
      </c>
      <c r="D608" s="1">
        <v>208685</v>
      </c>
      <c r="E608" s="1">
        <v>42454</v>
      </c>
      <c r="G608" s="1">
        <v>3964205</v>
      </c>
      <c r="H608" s="1">
        <v>558164</v>
      </c>
      <c r="I608" s="1">
        <v>350398</v>
      </c>
      <c r="J608" s="1">
        <v>3168081</v>
      </c>
      <c r="K608" s="1">
        <v>1463981</v>
      </c>
      <c r="L608" s="1">
        <v>1902588</v>
      </c>
      <c r="M608" s="1">
        <v>796364</v>
      </c>
      <c r="N608" s="1">
        <v>796124</v>
      </c>
      <c r="O608" s="1">
        <v>796124</v>
      </c>
      <c r="P608" s="1">
        <v>546124</v>
      </c>
      <c r="Q608" s="1">
        <v>245805</v>
      </c>
      <c r="R608" s="1">
        <v>21.9</v>
      </c>
      <c r="T608">
        <f>E608/G608</f>
        <v>1.0709335163040257E-2</v>
      </c>
      <c r="U608">
        <f>D608/C608</f>
        <v>8.1401961900987502E-2</v>
      </c>
      <c r="V608">
        <f>(E608-F608)/O608</f>
        <v>5.3325863810160225E-2</v>
      </c>
      <c r="W608">
        <f>H608/K608</f>
        <v>0.38126451094652186</v>
      </c>
      <c r="X608">
        <f>(H608-I608)/K608</f>
        <v>0.14191850850523333</v>
      </c>
      <c r="Y608">
        <f>(H608-K608)/G608</f>
        <v>-0.22849903070098546</v>
      </c>
      <c r="Z608">
        <f>J608/N608</f>
        <v>3.9793813526536068</v>
      </c>
      <c r="AA608">
        <f>J608/G608</f>
        <v>0.7991718389941993</v>
      </c>
      <c r="AB608">
        <f>C608/G608</f>
        <v>0.64669612192104087</v>
      </c>
      <c r="AC608">
        <f>C608/(G608-K608)</f>
        <v>1.0253625275175344</v>
      </c>
      <c r="AD608">
        <f>Q608/E608</f>
        <v>5.7899137890422576</v>
      </c>
      <c r="AE608">
        <f>Q608/J608</f>
        <v>7.7587978337675084E-2</v>
      </c>
      <c r="AF608">
        <f>Q608/G608</f>
        <v>6.2006127331961897E-2</v>
      </c>
      <c r="AG608">
        <f>Q608/K608</f>
        <v>0.16790176921695021</v>
      </c>
      <c r="AH608">
        <f>Q608/L608</f>
        <v>0.12919507533948496</v>
      </c>
      <c r="AI608" s="1">
        <f>R608</f>
        <v>21.9</v>
      </c>
      <c r="AJ608" s="1">
        <f>P608</f>
        <v>546124</v>
      </c>
    </row>
    <row r="609" spans="1:36" x14ac:dyDescent="0.25">
      <c r="A609" t="s">
        <v>102</v>
      </c>
      <c r="B609">
        <v>2023</v>
      </c>
      <c r="C609" s="1">
        <v>3794035</v>
      </c>
      <c r="D609" s="1">
        <v>986510</v>
      </c>
      <c r="E609" s="1">
        <v>170062</v>
      </c>
      <c r="G609" s="1">
        <v>4355171</v>
      </c>
      <c r="H609" s="1">
        <v>730556</v>
      </c>
      <c r="I609" s="1">
        <v>476386</v>
      </c>
      <c r="J609" s="1">
        <v>3425217</v>
      </c>
      <c r="K609" s="1">
        <v>1346952</v>
      </c>
      <c r="L609" s="1">
        <v>1687817</v>
      </c>
      <c r="M609" s="1">
        <v>745939</v>
      </c>
      <c r="N609" s="1">
        <v>929954</v>
      </c>
      <c r="O609" s="1">
        <v>929954</v>
      </c>
      <c r="P609" s="1">
        <v>679954</v>
      </c>
      <c r="Q609" s="1">
        <v>681563</v>
      </c>
      <c r="R609" s="1">
        <v>52.5</v>
      </c>
      <c r="T609">
        <f>E609/G609</f>
        <v>3.9048294544577013E-2</v>
      </c>
      <c r="U609">
        <f>D609/C609</f>
        <v>0.26001605151243995</v>
      </c>
      <c r="V609">
        <f>(E609-F609)/O609</f>
        <v>0.18287141084397723</v>
      </c>
      <c r="W609">
        <f>H609/K609</f>
        <v>0.54237715969091693</v>
      </c>
      <c r="X609">
        <f>(H609-I609)/K609</f>
        <v>0.18870011700491182</v>
      </c>
      <c r="Y609">
        <f>(H609-K609)/G609</f>
        <v>-0.14153198577047835</v>
      </c>
      <c r="Z609">
        <f>J609/N609</f>
        <v>3.6832112125976124</v>
      </c>
      <c r="AA609">
        <f>J609/G609</f>
        <v>0.78647130043803104</v>
      </c>
      <c r="AB609">
        <f>C609/G609</f>
        <v>0.87115637939359902</v>
      </c>
      <c r="AC609">
        <f>C609/(G609-K609)</f>
        <v>1.2612230027135658</v>
      </c>
      <c r="AD609">
        <f>Q609/E609</f>
        <v>4.00773247403888</v>
      </c>
      <c r="AE609">
        <f>Q609/J609</f>
        <v>0.19898388919592538</v>
      </c>
      <c r="AF609">
        <f>Q609/G609</f>
        <v>0.15649511810213651</v>
      </c>
      <c r="AG609">
        <f>Q609/K609</f>
        <v>0.50600392590084875</v>
      </c>
      <c r="AH609">
        <f>Q609/L609</f>
        <v>0.40381332810369847</v>
      </c>
      <c r="AI609" s="1">
        <f>R609</f>
        <v>52.5</v>
      </c>
      <c r="AJ609" s="1">
        <f>P609</f>
        <v>679954</v>
      </c>
    </row>
    <row r="610" spans="1:36" s="8" customFormat="1" x14ac:dyDescent="0.25">
      <c r="A610" s="8" t="s">
        <v>102</v>
      </c>
      <c r="B610" s="8">
        <v>2024</v>
      </c>
      <c r="C610" s="9">
        <v>3385735</v>
      </c>
      <c r="D610" s="9">
        <v>461103</v>
      </c>
      <c r="E610" s="9">
        <v>104505</v>
      </c>
      <c r="F610" s="9"/>
      <c r="G610" s="9">
        <v>4700389</v>
      </c>
      <c r="H610" s="9">
        <v>760984</v>
      </c>
      <c r="I610" s="9">
        <v>524435</v>
      </c>
      <c r="J610" s="9">
        <v>3819993</v>
      </c>
      <c r="K610" s="9">
        <v>1136302</v>
      </c>
      <c r="L610" s="9">
        <v>1869483</v>
      </c>
      <c r="M610" s="9">
        <v>1098862</v>
      </c>
      <c r="N610" s="9">
        <v>880396</v>
      </c>
      <c r="O610" s="9">
        <v>880396</v>
      </c>
      <c r="P610" s="9">
        <v>630396</v>
      </c>
      <c r="Q610" s="9">
        <v>362914</v>
      </c>
      <c r="R610" s="9">
        <v>39.5</v>
      </c>
      <c r="T610" s="8">
        <f>E610/G610</f>
        <v>2.2233266225412409E-2</v>
      </c>
      <c r="U610" s="8">
        <f>D610/C610</f>
        <v>0.13618992626416421</v>
      </c>
      <c r="V610" s="8">
        <f>(E610-F610)/O610</f>
        <v>0.11870226579857246</v>
      </c>
      <c r="W610" s="8">
        <f>H610/K610</f>
        <v>0.66970224464974981</v>
      </c>
      <c r="X610" s="8">
        <f>(H610-I610)/K610</f>
        <v>0.20817441138007325</v>
      </c>
      <c r="Y610" s="8">
        <f>(H610-K610)/G610</f>
        <v>-7.9848284897271263E-2</v>
      </c>
      <c r="Z610" s="8">
        <f>J610/N610</f>
        <v>4.3389486094893659</v>
      </c>
      <c r="AA610" s="8">
        <f>J610/G610</f>
        <v>0.81269720442286797</v>
      </c>
      <c r="AB610" s="8">
        <f>C610/G610</f>
        <v>0.72030953182811042</v>
      </c>
      <c r="AC610" s="8">
        <f>C610/(G610-K610)</f>
        <v>0.9499585728406742</v>
      </c>
      <c r="AD610" s="8">
        <f>Q610/E610</f>
        <v>3.4726950863595043</v>
      </c>
      <c r="AE610" s="8">
        <f>Q610/J610</f>
        <v>9.5003839012270441E-2</v>
      </c>
      <c r="AF610" s="8">
        <f>Q610/G610</f>
        <v>7.7209354374712394E-2</v>
      </c>
      <c r="AG610" s="8">
        <f>Q610/K610</f>
        <v>0.31938164326033042</v>
      </c>
      <c r="AH610" s="8">
        <f>Q610/L610</f>
        <v>0.19412532769755061</v>
      </c>
      <c r="AI610" s="9">
        <f>R610</f>
        <v>39.5</v>
      </c>
      <c r="AJ610" s="9">
        <f>P610</f>
        <v>630396</v>
      </c>
    </row>
    <row r="611" spans="1:36" x14ac:dyDescent="0.25">
      <c r="A611" s="15" t="s">
        <v>141</v>
      </c>
      <c r="B611" s="15">
        <v>2018</v>
      </c>
      <c r="C611" s="6">
        <v>192691446</v>
      </c>
      <c r="D611" s="6">
        <v>42409742</v>
      </c>
      <c r="E611" s="6">
        <v>16784850</v>
      </c>
      <c r="F611" s="6"/>
      <c r="G611" s="6">
        <v>795971846</v>
      </c>
      <c r="H611" s="6">
        <v>68805164</v>
      </c>
      <c r="I611" s="6">
        <v>12499272</v>
      </c>
      <c r="J611" s="6">
        <v>167605385</v>
      </c>
      <c r="K611" s="6">
        <v>46246070</v>
      </c>
      <c r="L611" s="6">
        <v>80570000</v>
      </c>
      <c r="M611" s="6">
        <v>50570000</v>
      </c>
      <c r="N611" s="6">
        <v>628366461</v>
      </c>
      <c r="O611" s="6">
        <v>628366461</v>
      </c>
      <c r="P611" s="6">
        <v>27353472</v>
      </c>
      <c r="Q611" s="6">
        <v>116247174</v>
      </c>
      <c r="R611" s="6">
        <v>5.2</v>
      </c>
      <c r="S611" s="15"/>
      <c r="T611" s="15">
        <f>E611/G611</f>
        <v>2.1087240816806477E-2</v>
      </c>
      <c r="U611" s="15">
        <f>D611/C611</f>
        <v>0.22009146166249643</v>
      </c>
      <c r="V611" s="15">
        <f>(E611-F611)/O611</f>
        <v>2.6711880792122673E-2</v>
      </c>
      <c r="W611" s="15">
        <f>H611/K611</f>
        <v>1.487805644890474</v>
      </c>
      <c r="X611" s="15">
        <f>(H611-I611)/K611</f>
        <v>1.2175281488783805</v>
      </c>
      <c r="Y611" s="15">
        <f>(H611-K611)/G611</f>
        <v>2.8341572774673238E-2</v>
      </c>
      <c r="Z611" s="15">
        <f>J611/N611</f>
        <v>0.26673190789538337</v>
      </c>
      <c r="AA611" s="15">
        <f>J611/G611</f>
        <v>0.21056697651087525</v>
      </c>
      <c r="AB611" s="15">
        <f>C611/G611</f>
        <v>0.24208324323069086</v>
      </c>
      <c r="AC611" s="15">
        <f>C611/(G611-K611)</f>
        <v>0.25701590123800144</v>
      </c>
      <c r="AD611" s="15">
        <f>Q611/E611</f>
        <v>6.9257201583570902</v>
      </c>
      <c r="AE611" s="15">
        <f>Q611/J611</f>
        <v>0.69357660554880141</v>
      </c>
      <c r="AF611" s="15">
        <f>Q611/G611</f>
        <v>0.14604432880908705</v>
      </c>
      <c r="AG611" s="15">
        <f>Q611/K611</f>
        <v>2.5136660044842731</v>
      </c>
      <c r="AH611" s="15">
        <f>Q611/L611</f>
        <v>1.442809656199578</v>
      </c>
      <c r="AI611" s="6">
        <f>R611</f>
        <v>5.2</v>
      </c>
      <c r="AJ611" s="6">
        <f>P611</f>
        <v>27353472</v>
      </c>
    </row>
    <row r="612" spans="1:36" x14ac:dyDescent="0.25">
      <c r="A612" t="s">
        <v>141</v>
      </c>
      <c r="B612">
        <v>2019</v>
      </c>
      <c r="C612" s="1">
        <v>257458111</v>
      </c>
      <c r="D612" s="1">
        <v>122867364</v>
      </c>
      <c r="E612" s="1">
        <v>105207398</v>
      </c>
      <c r="G612" s="1">
        <v>867156551</v>
      </c>
      <c r="H612" s="1">
        <v>204225412</v>
      </c>
      <c r="I612" s="1">
        <v>12453874</v>
      </c>
      <c r="J612" s="1">
        <v>133756888</v>
      </c>
      <c r="K612" s="1">
        <v>45549204</v>
      </c>
      <c r="L612" s="1">
        <v>50570000</v>
      </c>
      <c r="M612" s="1">
        <v>20570000</v>
      </c>
      <c r="N612" s="1">
        <v>733399663</v>
      </c>
      <c r="O612" s="1">
        <v>733399663</v>
      </c>
      <c r="P612" s="1">
        <v>147213047</v>
      </c>
      <c r="Q612" s="1">
        <v>143988956</v>
      </c>
      <c r="R612" s="1">
        <v>5.2</v>
      </c>
      <c r="T612">
        <f>E612/G612</f>
        <v>0.12132457268376215</v>
      </c>
      <c r="U612">
        <f>D612/C612</f>
        <v>0.47723244578610302</v>
      </c>
      <c r="V612">
        <f>(E612-F612)/O612</f>
        <v>0.14345165849905769</v>
      </c>
      <c r="W612">
        <f>H612/K612</f>
        <v>4.4836219750404416</v>
      </c>
      <c r="X612">
        <f>(H612-I612)/K612</f>
        <v>4.2102061322520585</v>
      </c>
      <c r="Y612">
        <f>(H612-K612)/G612</f>
        <v>0.18298450010787037</v>
      </c>
      <c r="Z612">
        <f>J612/N612</f>
        <v>0.18237926024244711</v>
      </c>
      <c r="AA612">
        <f>J612/G612</f>
        <v>0.1542476820889519</v>
      </c>
      <c r="AB612">
        <f>C612/G612</f>
        <v>0.29689922852234785</v>
      </c>
      <c r="AC612">
        <f>C612/(G612-K612)</f>
        <v>0.31335906615255715</v>
      </c>
      <c r="AD612">
        <f>Q612/E612</f>
        <v>1.3686200660527694</v>
      </c>
      <c r="AE612">
        <f>Q612/J612</f>
        <v>1.07649750344072</v>
      </c>
      <c r="AF612">
        <f>Q612/G612</f>
        <v>0.16604724468027457</v>
      </c>
      <c r="AG612">
        <f>Q612/K612</f>
        <v>3.1611739252347855</v>
      </c>
      <c r="AH612">
        <f>Q612/L612</f>
        <v>2.8473196756970536</v>
      </c>
      <c r="AI612" s="1">
        <f>R612</f>
        <v>5.2</v>
      </c>
      <c r="AJ612" s="1">
        <f>P612</f>
        <v>147213047</v>
      </c>
    </row>
    <row r="613" spans="1:36" x14ac:dyDescent="0.25">
      <c r="A613" t="s">
        <v>141</v>
      </c>
      <c r="B613">
        <v>2020</v>
      </c>
      <c r="C613" s="1">
        <v>206102016</v>
      </c>
      <c r="D613" s="1">
        <v>48650664</v>
      </c>
      <c r="E613" s="1">
        <v>3951162</v>
      </c>
      <c r="G613" s="1">
        <v>982099791</v>
      </c>
      <c r="H613" s="1">
        <v>237260506</v>
      </c>
      <c r="I613" s="1">
        <v>12069466</v>
      </c>
      <c r="J613" s="1">
        <v>230636325</v>
      </c>
      <c r="K613" s="1">
        <v>46910836</v>
      </c>
      <c r="L613" s="1">
        <v>42481687</v>
      </c>
      <c r="M613" s="1">
        <v>14150000</v>
      </c>
      <c r="N613" s="1">
        <v>751463466</v>
      </c>
      <c r="O613" s="1">
        <v>751463466</v>
      </c>
      <c r="P613" s="1">
        <v>78353319</v>
      </c>
      <c r="Q613" s="1">
        <v>46422059</v>
      </c>
      <c r="R613" s="1">
        <v>4.5</v>
      </c>
      <c r="T613">
        <f>E613/G613</f>
        <v>4.0231777220691824E-3</v>
      </c>
      <c r="U613">
        <f>D613/C613</f>
        <v>0.2360513737041757</v>
      </c>
      <c r="V613">
        <f>(E613-F613)/O613</f>
        <v>5.2579562131367811E-3</v>
      </c>
      <c r="W613">
        <f>H613/K613</f>
        <v>5.0576908499349704</v>
      </c>
      <c r="X613">
        <f>(H613-I613)/K613</f>
        <v>4.8004056035155713</v>
      </c>
      <c r="Y613">
        <f>(H613-K613)/G613</f>
        <v>0.19381907189510847</v>
      </c>
      <c r="Z613">
        <f>J613/N613</f>
        <v>0.30691621806668112</v>
      </c>
      <c r="AA613">
        <f>J613/G613</f>
        <v>0.23484001026531121</v>
      </c>
      <c r="AB613">
        <f>C613/G613</f>
        <v>0.20985852750273112</v>
      </c>
      <c r="AC613">
        <f>C613/(G613-K613)</f>
        <v>0.22038542574532438</v>
      </c>
      <c r="AD613">
        <f>Q613/E613</f>
        <v>11.748963722570727</v>
      </c>
      <c r="AE613">
        <f>Q613/J613</f>
        <v>0.20127817680064058</v>
      </c>
      <c r="AF613">
        <f>Q613/G613</f>
        <v>4.726816910604556E-2</v>
      </c>
      <c r="AG613">
        <f>Q613/K613</f>
        <v>0.98958072288458043</v>
      </c>
      <c r="AH613">
        <f>Q613/L613</f>
        <v>1.0927546027068087</v>
      </c>
      <c r="AI613" s="1">
        <f>R613</f>
        <v>4.5</v>
      </c>
      <c r="AJ613" s="1">
        <f>P613</f>
        <v>78353319</v>
      </c>
    </row>
    <row r="614" spans="1:36" x14ac:dyDescent="0.25">
      <c r="A614" t="s">
        <v>141</v>
      </c>
      <c r="B614">
        <v>2021</v>
      </c>
      <c r="C614" s="1">
        <v>238076629</v>
      </c>
      <c r="D614" s="1">
        <v>109440317</v>
      </c>
      <c r="E614" s="1">
        <v>139913099</v>
      </c>
      <c r="G614" s="1">
        <v>950326139</v>
      </c>
      <c r="H614" s="1">
        <v>253920514</v>
      </c>
      <c r="I614" s="1">
        <v>8505883</v>
      </c>
      <c r="J614" s="1">
        <v>131532809</v>
      </c>
      <c r="K614" s="1">
        <v>31863713</v>
      </c>
      <c r="L614" s="1">
        <v>18580000</v>
      </c>
      <c r="M614" s="1">
        <v>7850000</v>
      </c>
      <c r="N614" s="1">
        <v>818793330</v>
      </c>
      <c r="O614" s="1">
        <v>818793330</v>
      </c>
      <c r="P614" s="1">
        <v>119990557</v>
      </c>
      <c r="Q614" s="1">
        <v>110997822</v>
      </c>
      <c r="R614" s="1">
        <v>9.6999999999999993</v>
      </c>
      <c r="T614">
        <f>E614/G614</f>
        <v>0.14722640287178296</v>
      </c>
      <c r="U614">
        <f>D614/C614</f>
        <v>0.45968525957245471</v>
      </c>
      <c r="V614">
        <f>(E614-F614)/O614</f>
        <v>0.17087718460041681</v>
      </c>
      <c r="W614">
        <f>H614/K614</f>
        <v>7.9689555953507361</v>
      </c>
      <c r="X614">
        <f>(H614-I614)/K614</f>
        <v>7.7020098379620734</v>
      </c>
      <c r="Y614">
        <f>(H614-K614)/G614</f>
        <v>0.23366378329197993</v>
      </c>
      <c r="Z614">
        <f>J614/N614</f>
        <v>0.16064225755234229</v>
      </c>
      <c r="AA614">
        <f>J614/G614</f>
        <v>0.13840807234704505</v>
      </c>
      <c r="AB614">
        <f>C614/G614</f>
        <v>0.25052097298988424</v>
      </c>
      <c r="AC614">
        <f>C614/(G614-K614)</f>
        <v>0.25921215964908728</v>
      </c>
      <c r="AD614">
        <f>Q614/E614</f>
        <v>0.79333402514370721</v>
      </c>
      <c r="AE614">
        <f>Q614/J614</f>
        <v>0.84387935484598375</v>
      </c>
      <c r="AF614">
        <f>Q614/G614</f>
        <v>0.11679971479770063</v>
      </c>
      <c r="AG614">
        <f>Q614/K614</f>
        <v>3.4835181323658042</v>
      </c>
      <c r="AH614">
        <f>Q614/L614</f>
        <v>5.9740485468245428</v>
      </c>
      <c r="AI614" s="1">
        <f>R614</f>
        <v>9.6999999999999993</v>
      </c>
      <c r="AJ614" s="1">
        <f>P614</f>
        <v>119990557</v>
      </c>
    </row>
    <row r="615" spans="1:36" x14ac:dyDescent="0.25">
      <c r="A615" t="s">
        <v>141</v>
      </c>
      <c r="B615">
        <v>2022</v>
      </c>
      <c r="C615" s="1">
        <v>223736214</v>
      </c>
      <c r="D615" s="1">
        <v>96255754</v>
      </c>
      <c r="E615" s="1">
        <v>81813425</v>
      </c>
      <c r="G615" s="1">
        <v>899408796</v>
      </c>
      <c r="H615" s="1">
        <v>246736657</v>
      </c>
      <c r="I615" s="1">
        <v>7474152</v>
      </c>
      <c r="J615" s="1">
        <v>106410298</v>
      </c>
      <c r="K615" s="1">
        <v>16410527</v>
      </c>
      <c r="L615" s="1">
        <v>2420000</v>
      </c>
      <c r="M615" s="1">
        <v>0</v>
      </c>
      <c r="N615" s="1">
        <v>792998498</v>
      </c>
      <c r="O615" s="1">
        <v>792998498</v>
      </c>
      <c r="P615" s="1">
        <v>105585239</v>
      </c>
      <c r="Q615" s="1">
        <v>74064713</v>
      </c>
      <c r="R615" s="1">
        <v>8.9</v>
      </c>
      <c r="T615">
        <f>E615/G615</f>
        <v>9.0963558910980458E-2</v>
      </c>
      <c r="U615">
        <f>D615/C615</f>
        <v>0.43021982127578151</v>
      </c>
      <c r="V615">
        <f>(E615-F615)/O615</f>
        <v>0.10316970991286796</v>
      </c>
      <c r="W615">
        <f>H615/K615</f>
        <v>15.035267118478279</v>
      </c>
      <c r="X615">
        <f>(H615-I615)/K615</f>
        <v>14.579818490899164</v>
      </c>
      <c r="Y615">
        <f>(H615-K615)/G615</f>
        <v>0.25608614350264813</v>
      </c>
      <c r="Z615">
        <f>J615/N615</f>
        <v>0.1341872629877289</v>
      </c>
      <c r="AA615">
        <f>J615/G615</f>
        <v>0.1183113824028023</v>
      </c>
      <c r="AB615">
        <f>C615/G615</f>
        <v>0.24875920159446607</v>
      </c>
      <c r="AC615">
        <f>C615/(G615-K615)</f>
        <v>0.25338239253105488</v>
      </c>
      <c r="AD615">
        <f>Q615/E615</f>
        <v>0.90528801355034338</v>
      </c>
      <c r="AE615">
        <f>Q615/J615</f>
        <v>0.69602956097350654</v>
      </c>
      <c r="AF615">
        <f>Q615/G615</f>
        <v>8.2348219551991134E-2</v>
      </c>
      <c r="AG615">
        <f>Q615/K615</f>
        <v>4.5132440292746239</v>
      </c>
      <c r="AH615">
        <f>Q615/L615</f>
        <v>30.605253305785123</v>
      </c>
      <c r="AI615" s="1">
        <f>R615</f>
        <v>8.9</v>
      </c>
      <c r="AJ615" s="1">
        <f>P615</f>
        <v>105585239</v>
      </c>
    </row>
    <row r="616" spans="1:36" x14ac:dyDescent="0.25">
      <c r="A616" t="s">
        <v>141</v>
      </c>
      <c r="B616">
        <v>2023</v>
      </c>
      <c r="C616" s="1">
        <v>200234291</v>
      </c>
      <c r="D616" s="1">
        <v>62132843</v>
      </c>
      <c r="E616" s="1">
        <v>43709694</v>
      </c>
      <c r="G616" s="1">
        <v>968768702</v>
      </c>
      <c r="H616" s="1">
        <v>360739471</v>
      </c>
      <c r="I616" s="1">
        <v>7499846</v>
      </c>
      <c r="J616" s="1">
        <v>174476944</v>
      </c>
      <c r="K616" s="1">
        <v>24232660</v>
      </c>
      <c r="L616" s="1">
        <v>0</v>
      </c>
      <c r="M616" s="1">
        <v>0</v>
      </c>
      <c r="N616" s="1">
        <v>794291758</v>
      </c>
      <c r="O616" s="1">
        <v>794291758</v>
      </c>
      <c r="P616" s="1">
        <v>154290664</v>
      </c>
      <c r="Q616" s="1">
        <v>-233766634</v>
      </c>
      <c r="R616" s="1">
        <v>7.8</v>
      </c>
      <c r="T616">
        <f>E616/G616</f>
        <v>4.5118813097246406E-2</v>
      </c>
      <c r="U616">
        <f>D616/C616</f>
        <v>0.31030071167979917</v>
      </c>
      <c r="V616">
        <f>(E616-F616)/O616</f>
        <v>5.5029771566633828E-2</v>
      </c>
      <c r="W616">
        <f>H616/K616</f>
        <v>14.886499088420338</v>
      </c>
      <c r="X616">
        <f>(H616-I616)/K616</f>
        <v>14.577005784754954</v>
      </c>
      <c r="Y616">
        <f>(H616-K616)/G616</f>
        <v>0.34735516362707597</v>
      </c>
      <c r="Z616">
        <f>J616/N616</f>
        <v>0.219663545847847</v>
      </c>
      <c r="AA616">
        <f>J616/G616</f>
        <v>0.18010175559944958</v>
      </c>
      <c r="AB616">
        <f>C616/G616</f>
        <v>0.20668947147716588</v>
      </c>
      <c r="AC616">
        <f>C616/(G616-K616)</f>
        <v>0.21199221850339936</v>
      </c>
      <c r="AD616">
        <f>Q616/E616</f>
        <v>-5.3481645055671176</v>
      </c>
      <c r="AE616">
        <f>Q616/J616</f>
        <v>-1.3398138954107313</v>
      </c>
      <c r="AF616">
        <f>Q616/G616</f>
        <v>-0.24130283474000999</v>
      </c>
      <c r="AG616">
        <f>Q616/K616</f>
        <v>-9.6467591259069376</v>
      </c>
      <c r="AH616" t="e">
        <f>Q616/L616</f>
        <v>#DIV/0!</v>
      </c>
      <c r="AI616" s="1">
        <f>R616</f>
        <v>7.8</v>
      </c>
      <c r="AJ616" s="1">
        <f>P616</f>
        <v>154290664</v>
      </c>
    </row>
    <row r="617" spans="1:36" s="8" customFormat="1" x14ac:dyDescent="0.25">
      <c r="A617" s="8" t="s">
        <v>141</v>
      </c>
      <c r="B617" s="8">
        <v>2024</v>
      </c>
      <c r="C617" s="9">
        <v>221656786</v>
      </c>
      <c r="D617" s="9">
        <v>65990279</v>
      </c>
      <c r="E617" s="9">
        <v>65008250</v>
      </c>
      <c r="F617" s="9"/>
      <c r="G617" s="9">
        <v>879778012</v>
      </c>
      <c r="H617" s="9">
        <v>309173787</v>
      </c>
      <c r="I617" s="9">
        <v>22115105</v>
      </c>
      <c r="J617" s="9">
        <v>172862069</v>
      </c>
      <c r="K617" s="9">
        <v>28077638</v>
      </c>
      <c r="L617" s="9">
        <v>0</v>
      </c>
      <c r="M617" s="9">
        <v>0</v>
      </c>
      <c r="N617" s="9">
        <v>706915943</v>
      </c>
      <c r="O617" s="9">
        <v>706915943</v>
      </c>
      <c r="P617" s="9">
        <v>76185384</v>
      </c>
      <c r="Q617" s="9">
        <v>216374412</v>
      </c>
      <c r="R617" s="9">
        <v>9.5</v>
      </c>
      <c r="T617" s="8">
        <f>E617/G617</f>
        <v>7.3891651204394962E-2</v>
      </c>
      <c r="U617" s="8">
        <f>D617/C617</f>
        <v>0.29771377719065184</v>
      </c>
      <c r="V617" s="8">
        <f>(E617-F617)/O617</f>
        <v>9.1960367627470521E-2</v>
      </c>
      <c r="W617" s="8">
        <f>H617/K617</f>
        <v>11.011388742884996</v>
      </c>
      <c r="X617" s="8">
        <f>(H617-I617)/K617</f>
        <v>10.223747524631523</v>
      </c>
      <c r="Y617" s="8">
        <f>(H617-K617)/G617</f>
        <v>0.31950804085337836</v>
      </c>
      <c r="Z617" s="8">
        <f>J617/N617</f>
        <v>0.24452987757838698</v>
      </c>
      <c r="AA617" s="8">
        <f>J617/G617</f>
        <v>0.19648373412633094</v>
      </c>
      <c r="AB617" s="8">
        <f>C617/G617</f>
        <v>0.25194626709993295</v>
      </c>
      <c r="AC617" s="8">
        <f>C617/(G617-K617)</f>
        <v>0.26025207075933487</v>
      </c>
      <c r="AD617" s="8">
        <f>Q617/E617</f>
        <v>3.3284146550630114</v>
      </c>
      <c r="AE617" s="8">
        <f>Q617/J617</f>
        <v>1.2517171248251113</v>
      </c>
      <c r="AF617" s="8">
        <f>Q617/G617</f>
        <v>0.24594205475551256</v>
      </c>
      <c r="AG617" s="8">
        <f>Q617/K617</f>
        <v>7.70628968148959</v>
      </c>
      <c r="AH617" s="8" t="e">
        <f>Q617/L617</f>
        <v>#DIV/0!</v>
      </c>
      <c r="AI617" s="9">
        <f>R617</f>
        <v>9.5</v>
      </c>
      <c r="AJ617" s="9">
        <f>P617</f>
        <v>76185384</v>
      </c>
    </row>
    <row r="618" spans="1:36" x14ac:dyDescent="0.25">
      <c r="A618" s="15" t="s">
        <v>94</v>
      </c>
      <c r="B618" s="15">
        <v>2018</v>
      </c>
      <c r="C618" s="6">
        <v>2317027</v>
      </c>
      <c r="D618" s="6">
        <v>416607</v>
      </c>
      <c r="E618" s="6">
        <v>240831</v>
      </c>
      <c r="F618" s="6"/>
      <c r="G618" s="6">
        <v>3829756</v>
      </c>
      <c r="H618" s="6">
        <v>1139511</v>
      </c>
      <c r="I618" s="6">
        <v>678439</v>
      </c>
      <c r="J618" s="6">
        <v>1878101</v>
      </c>
      <c r="K618" s="6">
        <v>642406</v>
      </c>
      <c r="L618" s="6">
        <f>101824+M618</f>
        <v>253702</v>
      </c>
      <c r="M618" s="6">
        <v>151878</v>
      </c>
      <c r="N618" s="6">
        <v>1951655</v>
      </c>
      <c r="O618" s="6">
        <v>1951655</v>
      </c>
      <c r="P618" s="6">
        <v>95457</v>
      </c>
      <c r="Q618" s="6">
        <v>488375</v>
      </c>
      <c r="R618" s="6">
        <v>7.8</v>
      </c>
      <c r="S618" s="15"/>
      <c r="T618" s="15">
        <f>E618/G618</f>
        <v>6.2884162855283726E-2</v>
      </c>
      <c r="U618" s="15">
        <f>D618/C618</f>
        <v>0.1798023933255849</v>
      </c>
      <c r="V618" s="15">
        <f>(E618-F618)/O618</f>
        <v>0.12339834653153349</v>
      </c>
      <c r="W618" s="15">
        <f>H618/K618</f>
        <v>1.7738174923646417</v>
      </c>
      <c r="X618" s="15">
        <f>(H618-I618)/K618</f>
        <v>0.7177267958269381</v>
      </c>
      <c r="Y618" s="15">
        <f>(H618-K618)/G618</f>
        <v>0.12980069748568837</v>
      </c>
      <c r="Z618" s="15">
        <f>J618/N618</f>
        <v>0.96231198649351446</v>
      </c>
      <c r="AA618" s="15">
        <f>J618/G618</f>
        <v>0.49039703834917941</v>
      </c>
      <c r="AB618" s="15">
        <f>C618/G618</f>
        <v>0.60500642860798437</v>
      </c>
      <c r="AC618" s="15">
        <f>C618/(G618-K618)</f>
        <v>0.7269446405321035</v>
      </c>
      <c r="AD618" s="15">
        <f>Q618/E618</f>
        <v>2.0278743185055079</v>
      </c>
      <c r="AE618" s="15">
        <f>Q618/J618</f>
        <v>0.2600366008004894</v>
      </c>
      <c r="AF618" s="15">
        <f>Q618/G618</f>
        <v>0.12752117889494788</v>
      </c>
      <c r="AG618" s="15">
        <f>Q618/K618</f>
        <v>0.76022795552968059</v>
      </c>
      <c r="AH618" s="15">
        <f>Q618/L618</f>
        <v>1.9249946787963832</v>
      </c>
      <c r="AI618" s="6">
        <f>R618</f>
        <v>7.8</v>
      </c>
      <c r="AJ618" s="6">
        <f>P618</f>
        <v>95457</v>
      </c>
    </row>
    <row r="619" spans="1:36" x14ac:dyDescent="0.25">
      <c r="A619" t="s">
        <v>94</v>
      </c>
      <c r="B619">
        <v>2019</v>
      </c>
      <c r="C619" s="1">
        <v>4039996</v>
      </c>
      <c r="D619" s="1">
        <v>-55414</v>
      </c>
      <c r="E619" s="1">
        <v>-112589</v>
      </c>
      <c r="G619" s="1">
        <v>3421416</v>
      </c>
      <c r="H619" s="1">
        <v>873853</v>
      </c>
      <c r="I619" s="1">
        <v>440351</v>
      </c>
      <c r="J619" s="1">
        <v>1857729</v>
      </c>
      <c r="K619" s="1">
        <v>430419</v>
      </c>
      <c r="L619" s="1">
        <f>96277+M619</f>
        <v>146818</v>
      </c>
      <c r="M619" s="1">
        <v>50541</v>
      </c>
      <c r="N619" s="1">
        <v>1563687</v>
      </c>
      <c r="O619" s="1">
        <v>1563687</v>
      </c>
      <c r="P619" s="1">
        <v>-242754</v>
      </c>
      <c r="Q619" s="1">
        <v>152939</v>
      </c>
      <c r="R619" s="1">
        <v>6.7</v>
      </c>
      <c r="T619">
        <f>E619/G619</f>
        <v>-3.2907135525174373E-2</v>
      </c>
      <c r="U619">
        <f>D619/C619</f>
        <v>-1.3716350214208133E-2</v>
      </c>
      <c r="V619">
        <f>(E619-F619)/O619</f>
        <v>-7.2002261322118816E-2</v>
      </c>
      <c r="W619">
        <f>H619/K619</f>
        <v>2.0302379774127073</v>
      </c>
      <c r="X619">
        <f>(H619-I619)/K619</f>
        <v>1.0071627878880811</v>
      </c>
      <c r="Y619">
        <f>(H619-K619)/G619</f>
        <v>0.12960540314302615</v>
      </c>
      <c r="Z619">
        <f>J619/N619</f>
        <v>1.1880440267137862</v>
      </c>
      <c r="AA619">
        <f>J619/G619</f>
        <v>0.54297080507018147</v>
      </c>
      <c r="AB619">
        <f>C619/G619</f>
        <v>1.1807964889390825</v>
      </c>
      <c r="AC619">
        <f>C619/(G619-K619)</f>
        <v>1.3507188405738957</v>
      </c>
      <c r="AD619">
        <f>Q619/E619</f>
        <v>-1.3583831457780067</v>
      </c>
      <c r="AE619">
        <f>Q619/J619</f>
        <v>8.2325785946174068E-2</v>
      </c>
      <c r="AF619">
        <f>Q619/G619</f>
        <v>4.4700498273229562E-2</v>
      </c>
      <c r="AG619">
        <f>Q619/K619</f>
        <v>0.35532585689758117</v>
      </c>
      <c r="AH619">
        <f>Q619/L619</f>
        <v>1.0416910733016387</v>
      </c>
      <c r="AI619" s="1">
        <f>R619</f>
        <v>6.7</v>
      </c>
      <c r="AJ619" s="1">
        <f>P619</f>
        <v>-242754</v>
      </c>
    </row>
    <row r="620" spans="1:36" x14ac:dyDescent="0.25">
      <c r="A620" t="s">
        <v>94</v>
      </c>
      <c r="B620">
        <v>2020</v>
      </c>
      <c r="C620" s="1">
        <v>4184464</v>
      </c>
      <c r="D620" s="1">
        <v>-78704</v>
      </c>
      <c r="E620" s="1">
        <v>-121832</v>
      </c>
      <c r="G620" s="1">
        <v>3583863</v>
      </c>
      <c r="H620" s="1">
        <v>998639</v>
      </c>
      <c r="I620" s="1">
        <v>356016</v>
      </c>
      <c r="J620" s="1">
        <v>1992331</v>
      </c>
      <c r="K620" s="1">
        <v>393010</v>
      </c>
      <c r="L620" s="1">
        <f>141658+M620</f>
        <v>338358</v>
      </c>
      <c r="M620" s="1">
        <v>196700</v>
      </c>
      <c r="N620" s="1">
        <v>1591532</v>
      </c>
      <c r="O620" s="1">
        <v>1591532</v>
      </c>
      <c r="P620" s="1">
        <v>-218692</v>
      </c>
      <c r="Q620" s="1">
        <v>113730</v>
      </c>
      <c r="R620" s="1">
        <v>4.2</v>
      </c>
      <c r="T620">
        <f>E620/G620</f>
        <v>-3.3994603030305569E-2</v>
      </c>
      <c r="U620">
        <f>D620/C620</f>
        <v>-1.8808621606016925E-2</v>
      </c>
      <c r="V620">
        <f>(E620-F620)/O620</f>
        <v>-7.6550141624547915E-2</v>
      </c>
      <c r="W620">
        <f>H620/K620</f>
        <v>2.5410015012340654</v>
      </c>
      <c r="X620">
        <f>(H620-I620)/K620</f>
        <v>1.6351314215923258</v>
      </c>
      <c r="Y620">
        <f>(H620-K620)/G620</f>
        <v>0.16898776543634619</v>
      </c>
      <c r="Z620">
        <f>J620/N620</f>
        <v>1.2518321969021045</v>
      </c>
      <c r="AA620">
        <f>J620/G620</f>
        <v>0.55591717652153561</v>
      </c>
      <c r="AB620">
        <f>C620/G620</f>
        <v>1.167584810022035</v>
      </c>
      <c r="AC620">
        <f>C620/(G620-K620)</f>
        <v>1.3113935364618803</v>
      </c>
      <c r="AD620">
        <f>Q620/E620</f>
        <v>-0.93349858821984377</v>
      </c>
      <c r="AE620">
        <f>Q620/J620</f>
        <v>5.7083888169184742E-2</v>
      </c>
      <c r="AF620">
        <f>Q620/G620</f>
        <v>3.1733913935884268E-2</v>
      </c>
      <c r="AG620">
        <f>Q620/K620</f>
        <v>0.28938194956871327</v>
      </c>
      <c r="AH620">
        <f>Q620/L620</f>
        <v>0.33612327771177275</v>
      </c>
      <c r="AI620" s="1">
        <f>R620</f>
        <v>4.2</v>
      </c>
      <c r="AJ620" s="1">
        <f>P620</f>
        <v>-218692</v>
      </c>
    </row>
    <row r="621" spans="1:36" x14ac:dyDescent="0.25">
      <c r="A621" t="s">
        <v>94</v>
      </c>
      <c r="B621">
        <v>2021</v>
      </c>
      <c r="C621" s="1">
        <v>5635888</v>
      </c>
      <c r="D621" s="1">
        <v>535922</v>
      </c>
      <c r="E621" s="1">
        <v>441173</v>
      </c>
      <c r="G621" s="1">
        <v>4173221</v>
      </c>
      <c r="H621" s="1">
        <v>1524239</v>
      </c>
      <c r="I621" s="1">
        <v>590550</v>
      </c>
      <c r="J621" s="1">
        <v>1947329</v>
      </c>
      <c r="K621" s="1">
        <v>653236</v>
      </c>
      <c r="L621" s="1">
        <f>101138+M621</f>
        <v>229855</v>
      </c>
      <c r="M621" s="1">
        <v>128717</v>
      </c>
      <c r="N621" s="1">
        <v>2225892</v>
      </c>
      <c r="O621" s="1">
        <v>2225892</v>
      </c>
      <c r="P621" s="1">
        <v>401198</v>
      </c>
      <c r="Q621" s="1">
        <v>556814</v>
      </c>
      <c r="R621" s="1">
        <v>8.6999999999999993</v>
      </c>
      <c r="T621">
        <f>E621/G621</f>
        <v>0.10571522572133131</v>
      </c>
      <c r="U621">
        <f>D621/C621</f>
        <v>9.5090959933909258E-2</v>
      </c>
      <c r="V621">
        <f>(E621-F621)/O621</f>
        <v>0.19820054162555956</v>
      </c>
      <c r="W621">
        <f>H621/K621</f>
        <v>2.3333665015400253</v>
      </c>
      <c r="X621">
        <f>(H621-I621)/K621</f>
        <v>1.42932875714137</v>
      </c>
      <c r="Y621">
        <f>(H621-K621)/G621</f>
        <v>0.2087124070352373</v>
      </c>
      <c r="Z621">
        <f>J621/N621</f>
        <v>0.87485331723192317</v>
      </c>
      <c r="AA621">
        <f>J621/G621</f>
        <v>0.46662494030390433</v>
      </c>
      <c r="AB621">
        <f>C621/G621</f>
        <v>1.3504887471811342</v>
      </c>
      <c r="AC621">
        <f>C621/(G621-K621)</f>
        <v>1.6011113683723084</v>
      </c>
      <c r="AD621">
        <f>Q621/E621</f>
        <v>1.2621216620237412</v>
      </c>
      <c r="AE621">
        <f>Q621/J621</f>
        <v>0.28593730181186638</v>
      </c>
      <c r="AF621">
        <f>Q621/G621</f>
        <v>0.13342547638862165</v>
      </c>
      <c r="AG621">
        <f>Q621/K621</f>
        <v>0.85239331573887533</v>
      </c>
      <c r="AH621">
        <f>Q621/L621</f>
        <v>2.4224576363359511</v>
      </c>
      <c r="AI621" s="1">
        <f>R621</f>
        <v>8.6999999999999993</v>
      </c>
      <c r="AJ621" s="1">
        <f>P621</f>
        <v>401198</v>
      </c>
    </row>
    <row r="622" spans="1:36" x14ac:dyDescent="0.25">
      <c r="A622" t="s">
        <v>94</v>
      </c>
      <c r="B622">
        <v>2022</v>
      </c>
      <c r="C622" s="1">
        <v>5392519</v>
      </c>
      <c r="D622" s="1">
        <v>454619</v>
      </c>
      <c r="E622" s="1">
        <v>532767</v>
      </c>
      <c r="G622" s="1">
        <v>5555336</v>
      </c>
      <c r="H622" s="1">
        <v>1179068</v>
      </c>
      <c r="I622" s="1">
        <v>452925</v>
      </c>
      <c r="J622" s="1">
        <v>2287811</v>
      </c>
      <c r="K622" s="1">
        <v>765046</v>
      </c>
      <c r="L622" s="1">
        <f>371430+M622</f>
        <v>680767</v>
      </c>
      <c r="M622" s="1">
        <v>309337</v>
      </c>
      <c r="N622" s="1">
        <v>3247227</v>
      </c>
      <c r="O622" s="1">
        <v>3267525</v>
      </c>
      <c r="P622" s="1">
        <v>1432546</v>
      </c>
      <c r="Q622" s="1">
        <v>498123</v>
      </c>
      <c r="R622" s="1">
        <v>8.4</v>
      </c>
      <c r="T622">
        <f>E622/G622</f>
        <v>9.5901850041113623E-2</v>
      </c>
      <c r="U622">
        <f>D622/C622</f>
        <v>8.4305498042751448E-2</v>
      </c>
      <c r="V622">
        <f>(E622-F622)/O622</f>
        <v>0.16304909679344459</v>
      </c>
      <c r="W622">
        <f>H622/K622</f>
        <v>1.5411726876553828</v>
      </c>
      <c r="X622">
        <f>(H622-I622)/K622</f>
        <v>0.94914946290811275</v>
      </c>
      <c r="Y622">
        <f>(H622-K622)/G622</f>
        <v>7.4526905303297586E-2</v>
      </c>
      <c r="Z622">
        <f>J622/N622</f>
        <v>0.70454298390596037</v>
      </c>
      <c r="AA622">
        <f>J622/G622</f>
        <v>0.41182225521552612</v>
      </c>
      <c r="AB622">
        <f>C622/G622</f>
        <v>0.97069178173921433</v>
      </c>
      <c r="AC622">
        <f>C622/(G622-K622)</f>
        <v>1.1257186934402719</v>
      </c>
      <c r="AD622">
        <f>Q622/E622</f>
        <v>0.93497344993214671</v>
      </c>
      <c r="AE622">
        <f>Q622/J622</f>
        <v>0.21772908688698497</v>
      </c>
      <c r="AF622">
        <f>Q622/G622</f>
        <v>8.966568358781539E-2</v>
      </c>
      <c r="AG622">
        <f>Q622/K622</f>
        <v>0.65110202523769811</v>
      </c>
      <c r="AH622">
        <f>Q622/L622</f>
        <v>0.73170849938378324</v>
      </c>
      <c r="AI622" s="1">
        <f>R622</f>
        <v>8.4</v>
      </c>
      <c r="AJ622" s="1">
        <f>P622</f>
        <v>1432546</v>
      </c>
    </row>
    <row r="623" spans="1:36" x14ac:dyDescent="0.25">
      <c r="A623" t="s">
        <v>94</v>
      </c>
      <c r="B623">
        <v>2023</v>
      </c>
      <c r="C623" s="1">
        <v>7708019</v>
      </c>
      <c r="D623" s="1">
        <v>2089793</v>
      </c>
      <c r="E623" s="1">
        <v>1669553</v>
      </c>
      <c r="G623" s="1">
        <v>7105531</v>
      </c>
      <c r="H623" s="1">
        <v>2188468</v>
      </c>
      <c r="I623" s="1">
        <v>832524</v>
      </c>
      <c r="J623" s="1">
        <v>2580040</v>
      </c>
      <c r="K623" s="1">
        <v>872097</v>
      </c>
      <c r="L623" s="1">
        <f>133944+M623</f>
        <v>309337</v>
      </c>
      <c r="M623" s="1">
        <v>175393</v>
      </c>
      <c r="N623" s="1">
        <v>4506955</v>
      </c>
      <c r="O623" s="1">
        <v>4525491</v>
      </c>
      <c r="P623" s="1">
        <v>2695890</v>
      </c>
      <c r="Q623" s="1">
        <v>1145148</v>
      </c>
      <c r="R623" s="1">
        <v>18.7</v>
      </c>
      <c r="T623">
        <f>E623/G623</f>
        <v>0.23496526860554123</v>
      </c>
      <c r="U623">
        <f>D623/C623</f>
        <v>0.2711193368879864</v>
      </c>
      <c r="V623">
        <f>(E623-F623)/O623</f>
        <v>0.3689219578604841</v>
      </c>
      <c r="W623">
        <f>H623/K623</f>
        <v>2.5094318636573685</v>
      </c>
      <c r="X623">
        <f>(H623-I623)/K623</f>
        <v>1.5548086967390096</v>
      </c>
      <c r="Y623">
        <f>(H623-K623)/G623</f>
        <v>0.18526004601204329</v>
      </c>
      <c r="Z623">
        <f>J623/N623</f>
        <v>0.57245745741858967</v>
      </c>
      <c r="AA623">
        <f>J623/G623</f>
        <v>0.36310305310046498</v>
      </c>
      <c r="AB623">
        <f>C623/G623</f>
        <v>1.0847914110852517</v>
      </c>
      <c r="AC623">
        <f>C623/(G623-K623)</f>
        <v>1.2365606181119428</v>
      </c>
      <c r="AD623">
        <f>Q623/E623</f>
        <v>0.68590095672314688</v>
      </c>
      <c r="AE623">
        <f>Q623/J623</f>
        <v>0.44384893257468877</v>
      </c>
      <c r="AF623">
        <f>Q623/G623</f>
        <v>0.16116290253325191</v>
      </c>
      <c r="AG623">
        <f>Q623/K623</f>
        <v>1.3130970522774417</v>
      </c>
      <c r="AH623">
        <f>Q623/L623</f>
        <v>3.7019431881734159</v>
      </c>
      <c r="AI623" s="1">
        <f>R623</f>
        <v>18.7</v>
      </c>
      <c r="AJ623" s="1">
        <f>P623</f>
        <v>2695890</v>
      </c>
    </row>
    <row r="624" spans="1:36" s="8" customFormat="1" x14ac:dyDescent="0.25">
      <c r="A624" s="8" t="s">
        <v>94</v>
      </c>
      <c r="B624" s="8">
        <v>2024</v>
      </c>
      <c r="C624" s="9">
        <v>7724871</v>
      </c>
      <c r="D624" s="9">
        <v>1168385</v>
      </c>
      <c r="E624" s="9">
        <v>894629</v>
      </c>
      <c r="F624" s="9"/>
      <c r="G624" s="9">
        <v>7425308</v>
      </c>
      <c r="H624" s="9">
        <v>2003489</v>
      </c>
      <c r="I624" s="9">
        <v>632889</v>
      </c>
      <c r="J624" s="9">
        <v>2750911</v>
      </c>
      <c r="K624" s="9">
        <v>765710</v>
      </c>
      <c r="L624" s="9">
        <f>59631+M624</f>
        <v>175393</v>
      </c>
      <c r="M624" s="9">
        <v>115762</v>
      </c>
      <c r="N624" s="9">
        <v>4658315</v>
      </c>
      <c r="O624" s="9">
        <v>4674397</v>
      </c>
      <c r="P624" s="9">
        <v>2838275</v>
      </c>
      <c r="Q624" s="9">
        <v>1781853</v>
      </c>
      <c r="R624" s="9">
        <v>25.7</v>
      </c>
      <c r="T624" s="8">
        <f>E624/G624</f>
        <v>0.12048375636404578</v>
      </c>
      <c r="U624" s="8">
        <f>D624/C624</f>
        <v>0.15124977491533514</v>
      </c>
      <c r="V624" s="8">
        <f>(E624-F624)/O624</f>
        <v>0.19138917811217149</v>
      </c>
      <c r="W624" s="8">
        <f>H624/K624</f>
        <v>2.6165114730119758</v>
      </c>
      <c r="X624" s="8">
        <f>(H624-I624)/K624</f>
        <v>1.7899727050711105</v>
      </c>
      <c r="Y624" s="8">
        <f>(H624-K624)/G624</f>
        <v>0.16669732757213573</v>
      </c>
      <c r="Z624" s="8">
        <f>J624/N624</f>
        <v>0.59053778029180082</v>
      </c>
      <c r="AA624" s="8">
        <f>J624/G624</f>
        <v>0.37047769600937763</v>
      </c>
      <c r="AB624" s="8">
        <f>C624/G624</f>
        <v>1.0403435116765527</v>
      </c>
      <c r="AC624" s="8">
        <f>C624/(G624-K624)</f>
        <v>1.1599605561777153</v>
      </c>
      <c r="AD624" s="8">
        <f>Q624/E624</f>
        <v>1.9917228258864847</v>
      </c>
      <c r="AE624" s="8">
        <f>Q624/J624</f>
        <v>0.64773196951846135</v>
      </c>
      <c r="AF624" s="8">
        <f>Q624/G624</f>
        <v>0.239970247698816</v>
      </c>
      <c r="AG624" s="8">
        <f>Q624/K624</f>
        <v>2.3270598529469382</v>
      </c>
      <c r="AH624" s="8">
        <f>Q624/L624</f>
        <v>10.159202476723701</v>
      </c>
      <c r="AI624" s="9">
        <f>R624</f>
        <v>25.7</v>
      </c>
      <c r="AJ624" s="9">
        <f>P624</f>
        <v>2838275</v>
      </c>
    </row>
    <row r="625" spans="1:36" x14ac:dyDescent="0.25">
      <c r="A625" t="s">
        <v>175</v>
      </c>
      <c r="B625">
        <v>2018</v>
      </c>
      <c r="C625" s="1">
        <v>408644</v>
      </c>
      <c r="D625" s="1">
        <v>248096</v>
      </c>
      <c r="E625" s="1">
        <v>116165</v>
      </c>
      <c r="G625" s="1">
        <v>2487198</v>
      </c>
      <c r="H625" s="1">
        <v>271463</v>
      </c>
      <c r="I625" s="1">
        <v>5114</v>
      </c>
      <c r="J625" s="1">
        <v>1634779</v>
      </c>
      <c r="K625" s="1">
        <v>470385</v>
      </c>
      <c r="L625" s="1">
        <v>1305803</v>
      </c>
      <c r="M625" s="1">
        <v>1055175</v>
      </c>
      <c r="O625" s="1">
        <v>852419</v>
      </c>
      <c r="P625" s="1">
        <v>557720</v>
      </c>
      <c r="Q625" s="1">
        <v>238302</v>
      </c>
      <c r="R625" s="1">
        <v>19.899999999999999</v>
      </c>
      <c r="T625">
        <f>E625/G625</f>
        <v>4.6705167823390015E-2</v>
      </c>
      <c r="U625">
        <f>D625/C625</f>
        <v>0.60712013390628516</v>
      </c>
      <c r="V625">
        <f>(E625-F625)/O625</f>
        <v>0.13627687792036544</v>
      </c>
      <c r="W625">
        <f>H625/K625</f>
        <v>0.57710811356654657</v>
      </c>
      <c r="X625">
        <f>(H625-I625)/K625</f>
        <v>0.56623616824516088</v>
      </c>
      <c r="Y625">
        <f>(H625-K625)/G625</f>
        <v>-7.9978353150814696E-2</v>
      </c>
      <c r="Z625" t="e">
        <f>J625/N625</f>
        <v>#DIV/0!</v>
      </c>
      <c r="AA625">
        <f>J625/G625</f>
        <v>0.65727738603842556</v>
      </c>
      <c r="AB625">
        <f>C625/G625</f>
        <v>0.16429894202230783</v>
      </c>
      <c r="AC625">
        <f>C625/(G625-K625)</f>
        <v>0.20261868601600644</v>
      </c>
      <c r="AD625">
        <f>Q625/E625</f>
        <v>2.0514096328498255</v>
      </c>
      <c r="AE625">
        <f>Q625/J625</f>
        <v>0.14577016220541125</v>
      </c>
      <c r="AF625">
        <f>Q625/G625</f>
        <v>9.5811431176770004E-2</v>
      </c>
      <c r="AG625">
        <f>Q625/K625</f>
        <v>0.50661054242801107</v>
      </c>
      <c r="AH625">
        <f>Q625/L625</f>
        <v>0.18249460293780914</v>
      </c>
      <c r="AI625" s="1">
        <f>R625</f>
        <v>19.899999999999999</v>
      </c>
      <c r="AJ625" s="1">
        <f>P625</f>
        <v>557720</v>
      </c>
    </row>
    <row r="626" spans="1:36" x14ac:dyDescent="0.25">
      <c r="A626" t="s">
        <v>175</v>
      </c>
      <c r="B626">
        <v>2019</v>
      </c>
      <c r="C626" s="1">
        <v>521062</v>
      </c>
      <c r="D626" s="1">
        <v>342652</v>
      </c>
      <c r="E626" s="1">
        <v>162845</v>
      </c>
      <c r="G626" s="1">
        <v>2979687</v>
      </c>
      <c r="H626" s="1">
        <v>310935</v>
      </c>
      <c r="I626" s="1">
        <v>7298</v>
      </c>
      <c r="J626" s="1">
        <v>2193117</v>
      </c>
      <c r="K626" s="1">
        <v>937493</v>
      </c>
      <c r="L626" s="1">
        <v>1657074</v>
      </c>
      <c r="M626" s="1">
        <v>1222660</v>
      </c>
      <c r="O626" s="1">
        <v>786570</v>
      </c>
      <c r="P626" s="1">
        <v>100114</v>
      </c>
      <c r="Q626" s="1">
        <v>251703</v>
      </c>
      <c r="R626" s="1">
        <v>18.5</v>
      </c>
      <c r="T626">
        <f>E626/G626</f>
        <v>5.4651713418221441E-2</v>
      </c>
      <c r="U626">
        <f>D626/C626</f>
        <v>0.65760312592359449</v>
      </c>
      <c r="V626">
        <f>(E626-F626)/O626</f>
        <v>0.20703179628005136</v>
      </c>
      <c r="W626">
        <f>H626/K626</f>
        <v>0.33166647644302411</v>
      </c>
      <c r="X626">
        <f>(H626-I626)/K626</f>
        <v>0.32388188498474124</v>
      </c>
      <c r="Y626">
        <f>(H626-K626)/G626</f>
        <v>-0.21027644849945648</v>
      </c>
      <c r="Z626" t="e">
        <f>J626/N626</f>
        <v>#DIV/0!</v>
      </c>
      <c r="AA626">
        <f>J626/G626</f>
        <v>0.73602260908612216</v>
      </c>
      <c r="AB626">
        <f>C626/G626</f>
        <v>0.17487138749808284</v>
      </c>
      <c r="AC626">
        <f>C626/(G626-K626)</f>
        <v>0.25514813969681627</v>
      </c>
      <c r="AD626">
        <f>Q626/E626</f>
        <v>1.5456599834198164</v>
      </c>
      <c r="AE626">
        <f>Q626/J626</f>
        <v>0.11476952666000036</v>
      </c>
      <c r="AF626">
        <f>Q626/G626</f>
        <v>8.4472966455872711E-2</v>
      </c>
      <c r="AG626">
        <f>Q626/K626</f>
        <v>0.26848520468952836</v>
      </c>
      <c r="AH626">
        <f>Q626/L626</f>
        <v>0.15189605292219902</v>
      </c>
      <c r="AI626" s="1">
        <f>R626</f>
        <v>18.5</v>
      </c>
      <c r="AJ626" s="1">
        <f>P626</f>
        <v>100114</v>
      </c>
    </row>
    <row r="627" spans="1:36" x14ac:dyDescent="0.25">
      <c r="A627" t="s">
        <v>175</v>
      </c>
      <c r="B627">
        <v>2020</v>
      </c>
      <c r="C627" s="1">
        <v>545560</v>
      </c>
      <c r="D627" s="1">
        <v>373403</v>
      </c>
      <c r="E627" s="1">
        <v>176305</v>
      </c>
      <c r="G627" s="1">
        <v>3481021</v>
      </c>
      <c r="H627" s="1">
        <v>363091</v>
      </c>
      <c r="I627" s="1">
        <v>8537</v>
      </c>
      <c r="J627" s="1">
        <v>2518924</v>
      </c>
      <c r="K627" s="1">
        <v>768024</v>
      </c>
      <c r="L627" s="1">
        <v>2081300</v>
      </c>
      <c r="M627" s="1">
        <v>1661556</v>
      </c>
      <c r="O627" s="1">
        <v>962097</v>
      </c>
      <c r="P627" s="1">
        <v>275641</v>
      </c>
      <c r="Q627" s="1">
        <v>-103763</v>
      </c>
      <c r="R627" s="1">
        <v>20.2</v>
      </c>
      <c r="T627">
        <f>E627/G627</f>
        <v>5.0647496811998552E-2</v>
      </c>
      <c r="U627">
        <f>D627/C627</f>
        <v>0.68443984163061811</v>
      </c>
      <c r="V627">
        <f>(E627-F627)/O627</f>
        <v>0.18325075330242169</v>
      </c>
      <c r="W627">
        <f>H627/K627</f>
        <v>0.472759965834401</v>
      </c>
      <c r="X627">
        <f>(H627-I627)/K627</f>
        <v>0.46164442777829862</v>
      </c>
      <c r="Y627">
        <f>(H627-K627)/G627</f>
        <v>-0.11632592851350222</v>
      </c>
      <c r="Z627" t="e">
        <f>J627/N627</f>
        <v>#DIV/0!</v>
      </c>
      <c r="AA627">
        <f>J627/G627</f>
        <v>0.72361643322461999</v>
      </c>
      <c r="AB627">
        <f>C627/G627</f>
        <v>0.15672413352289458</v>
      </c>
      <c r="AC627">
        <f>C627/(G627-K627)</f>
        <v>0.20109126548978859</v>
      </c>
      <c r="AD627">
        <f>Q627/E627</f>
        <v>-0.58854258245653834</v>
      </c>
      <c r="AE627">
        <f>Q627/J627</f>
        <v>-4.1193382571288378E-2</v>
      </c>
      <c r="AF627">
        <f>Q627/G627</f>
        <v>-2.9808208568692922E-2</v>
      </c>
      <c r="AG627">
        <f>Q627/K627</f>
        <v>-0.13510385092132537</v>
      </c>
      <c r="AH627">
        <f>Q627/L627</f>
        <v>-4.9854898380819683E-2</v>
      </c>
      <c r="AI627" s="1">
        <f>R627</f>
        <v>20.2</v>
      </c>
      <c r="AJ627" s="1">
        <f>P627</f>
        <v>275641</v>
      </c>
    </row>
    <row r="628" spans="1:36" x14ac:dyDescent="0.25">
      <c r="A628" t="s">
        <v>175</v>
      </c>
      <c r="B628">
        <v>2021</v>
      </c>
      <c r="C628" s="1">
        <v>666252</v>
      </c>
      <c r="D628" s="1">
        <v>470005</v>
      </c>
      <c r="E628" s="1">
        <v>330338</v>
      </c>
      <c r="G628" s="1">
        <v>3881091</v>
      </c>
      <c r="H628" s="1">
        <v>358699</v>
      </c>
      <c r="I628" s="1">
        <v>8717</v>
      </c>
      <c r="J628" s="1">
        <v>2646820</v>
      </c>
      <c r="K628" s="1">
        <v>1063070</v>
      </c>
      <c r="L628" s="1">
        <v>2078694</v>
      </c>
      <c r="M628" s="1">
        <v>1498124</v>
      </c>
      <c r="O628" s="1">
        <v>1234271</v>
      </c>
      <c r="P628" s="1">
        <v>453430</v>
      </c>
      <c r="Q628" s="1">
        <v>369058</v>
      </c>
      <c r="R628" s="1">
        <v>24.2</v>
      </c>
      <c r="T628">
        <f>E628/G628</f>
        <v>8.5114726761109177E-2</v>
      </c>
      <c r="U628">
        <f>D628/C628</f>
        <v>0.70544628759088157</v>
      </c>
      <c r="V628">
        <f>(E628-F628)/O628</f>
        <v>0.26763814429732208</v>
      </c>
      <c r="W628">
        <f>H628/K628</f>
        <v>0.33741804396700126</v>
      </c>
      <c r="X628">
        <f>(H628-I628)/K628</f>
        <v>0.32921820764389925</v>
      </c>
      <c r="Y628">
        <f>(H628-K628)/G628</f>
        <v>-0.1814878857517126</v>
      </c>
      <c r="Z628" t="e">
        <f>J628/N628</f>
        <v>#DIV/0!</v>
      </c>
      <c r="AA628">
        <f>J628/G628</f>
        <v>0.68197834062638574</v>
      </c>
      <c r="AB628">
        <f>C628/G628</f>
        <v>0.17166616294232731</v>
      </c>
      <c r="AC628">
        <f>C628/(G628-K628)</f>
        <v>0.23642549150627337</v>
      </c>
      <c r="AD628">
        <f>Q628/E628</f>
        <v>1.1172132785207878</v>
      </c>
      <c r="AE628">
        <f>Q628/J628</f>
        <v>0.13943449120076168</v>
      </c>
      <c r="AF628">
        <f>Q628/G628</f>
        <v>9.5091302935179825E-2</v>
      </c>
      <c r="AG628">
        <f>Q628/K628</f>
        <v>0.34716246343138268</v>
      </c>
      <c r="AH628">
        <f>Q628/L628</f>
        <v>0.17754320741773441</v>
      </c>
      <c r="AI628" s="1">
        <f>R628</f>
        <v>24.2</v>
      </c>
      <c r="AJ628" s="1">
        <f>P628</f>
        <v>453430</v>
      </c>
    </row>
    <row r="629" spans="1:36" x14ac:dyDescent="0.25">
      <c r="A629" t="s">
        <v>175</v>
      </c>
      <c r="B629">
        <v>2022</v>
      </c>
      <c r="C629" s="1">
        <v>837908</v>
      </c>
      <c r="D629" s="1">
        <v>623753</v>
      </c>
      <c r="E629" s="1">
        <v>473255</v>
      </c>
      <c r="G629" s="1">
        <v>5353346</v>
      </c>
      <c r="H629" s="1">
        <v>790547</v>
      </c>
      <c r="I629" s="1">
        <v>15458</v>
      </c>
      <c r="J629" s="1">
        <v>3644400</v>
      </c>
      <c r="K629" s="1">
        <v>910131</v>
      </c>
      <c r="L629" s="1">
        <v>3090443</v>
      </c>
      <c r="M629" s="1">
        <v>2623681</v>
      </c>
      <c r="O629" s="1">
        <v>1708946</v>
      </c>
      <c r="P629" s="1">
        <v>928104</v>
      </c>
      <c r="Q629" s="1">
        <v>403545</v>
      </c>
      <c r="R629" s="1">
        <v>19.5</v>
      </c>
      <c r="T629">
        <f>E629/G629</f>
        <v>8.840358908241687E-2</v>
      </c>
      <c r="U629">
        <f>D629/C629</f>
        <v>0.7444170481723531</v>
      </c>
      <c r="V629">
        <f>(E629-F629)/O629</f>
        <v>0.27692800123584949</v>
      </c>
      <c r="W629">
        <f>H629/K629</f>
        <v>0.86860792567223843</v>
      </c>
      <c r="X629">
        <f>(H629-I629)/K629</f>
        <v>0.8516235574878781</v>
      </c>
      <c r="Y629">
        <f>(H629-K629)/G629</f>
        <v>-2.2338178776413854E-2</v>
      </c>
      <c r="Z629" t="e">
        <f>J629/N629</f>
        <v>#DIV/0!</v>
      </c>
      <c r="AA629">
        <f>J629/G629</f>
        <v>0.68077049381825872</v>
      </c>
      <c r="AB629">
        <f>C629/G629</f>
        <v>0.15652042666399668</v>
      </c>
      <c r="AC629">
        <f>C629/(G629-K629)</f>
        <v>0.18858146634812856</v>
      </c>
      <c r="AD629">
        <f>Q629/E629</f>
        <v>0.85270097516138232</v>
      </c>
      <c r="AE629">
        <f>Q629/J629</f>
        <v>0.11073016134343101</v>
      </c>
      <c r="AF629">
        <f>Q629/G629</f>
        <v>7.5381826618343001E-2</v>
      </c>
      <c r="AG629">
        <f>Q629/K629</f>
        <v>0.44339221496685643</v>
      </c>
      <c r="AH629">
        <f>Q629/L629</f>
        <v>0.13057836692021177</v>
      </c>
      <c r="AI629" s="1">
        <f>R629</f>
        <v>19.5</v>
      </c>
      <c r="AJ629" s="1">
        <f>P629</f>
        <v>928104</v>
      </c>
    </row>
    <row r="630" spans="1:36" x14ac:dyDescent="0.25">
      <c r="A630" t="s">
        <v>175</v>
      </c>
      <c r="B630">
        <v>2023</v>
      </c>
      <c r="C630" s="1">
        <v>995785</v>
      </c>
      <c r="D630" s="1">
        <v>762212</v>
      </c>
      <c r="E630" s="1">
        <v>413268</v>
      </c>
      <c r="G630" s="1">
        <v>6267904</v>
      </c>
      <c r="H630" s="1">
        <v>1232080</v>
      </c>
      <c r="I630" s="1">
        <v>17418</v>
      </c>
      <c r="J630" s="1">
        <v>4186764</v>
      </c>
      <c r="K630" s="1">
        <v>1922465</v>
      </c>
      <c r="L630" s="1">
        <v>3487497</v>
      </c>
      <c r="M630" s="1">
        <v>2046071</v>
      </c>
      <c r="O630" s="1">
        <v>2081140</v>
      </c>
      <c r="P630" s="1">
        <v>1106708</v>
      </c>
      <c r="Q630" s="1">
        <v>-284381</v>
      </c>
      <c r="R630" s="1">
        <v>13.5</v>
      </c>
      <c r="T630">
        <f>E630/G630</f>
        <v>6.593400281816697E-2</v>
      </c>
      <c r="U630">
        <f>D630/C630</f>
        <v>0.76543832252946165</v>
      </c>
      <c r="V630">
        <f>(E630-F630)/O630</f>
        <v>0.19857770260530286</v>
      </c>
      <c r="W630">
        <f>H630/K630</f>
        <v>0.64088552977557456</v>
      </c>
      <c r="X630">
        <f>(H630-I630)/K630</f>
        <v>0.63182528680626171</v>
      </c>
      <c r="Y630">
        <f>(H630-K630)/G630</f>
        <v>-0.1101460711587159</v>
      </c>
      <c r="Z630" t="e">
        <f>J630/N630</f>
        <v>#DIV/0!</v>
      </c>
      <c r="AA630">
        <f>J630/G630</f>
        <v>0.66796875</v>
      </c>
      <c r="AB630">
        <f>C630/G630</f>
        <v>0.15887049323027283</v>
      </c>
      <c r="AC630">
        <f>C630/(G630-K630)</f>
        <v>0.22915636371837231</v>
      </c>
      <c r="AD630">
        <f>Q630/E630</f>
        <v>-0.6881273168984775</v>
      </c>
      <c r="AE630">
        <f>Q630/J630</f>
        <v>-6.7923818968539898E-2</v>
      </c>
      <c r="AF630">
        <f>Q630/G630</f>
        <v>-4.5370988451641892E-2</v>
      </c>
      <c r="AG630">
        <f>Q630/K630</f>
        <v>-0.1479251897953929</v>
      </c>
      <c r="AH630">
        <f>Q630/L630</f>
        <v>-8.1543009212624418E-2</v>
      </c>
      <c r="AI630" s="1">
        <f>R630</f>
        <v>13.5</v>
      </c>
      <c r="AJ630" s="1">
        <f>P630</f>
        <v>1106708</v>
      </c>
    </row>
    <row r="631" spans="1:36" s="8" customFormat="1" x14ac:dyDescent="0.25">
      <c r="A631" s="8" t="s">
        <v>175</v>
      </c>
      <c r="B631" s="8">
        <v>2024</v>
      </c>
      <c r="C631" s="9">
        <v>1119149</v>
      </c>
      <c r="D631" s="9">
        <v>800515</v>
      </c>
      <c r="E631" s="9">
        <v>373882</v>
      </c>
      <c r="F631" s="9"/>
      <c r="G631" s="9">
        <v>6222155</v>
      </c>
      <c r="H631" s="9">
        <v>645464</v>
      </c>
      <c r="I631" s="9">
        <v>99957</v>
      </c>
      <c r="J631" s="9">
        <v>3876517</v>
      </c>
      <c r="K631" s="9">
        <v>1347878</v>
      </c>
      <c r="L631" s="9">
        <v>3208170</v>
      </c>
      <c r="M631" s="9">
        <v>2252856</v>
      </c>
      <c r="N631" s="9"/>
      <c r="O631" s="9">
        <v>2345638</v>
      </c>
      <c r="P631" s="9">
        <v>1371205</v>
      </c>
      <c r="Q631" s="9">
        <v>1012249</v>
      </c>
      <c r="R631" s="9">
        <v>17.600000000000001</v>
      </c>
      <c r="T631" s="8">
        <f>E631/G631</f>
        <v>6.0088827745371179E-2</v>
      </c>
      <c r="U631" s="8">
        <f>D631/C631</f>
        <v>0.71528902764511249</v>
      </c>
      <c r="V631" s="8">
        <f>(E631-F631)/O631</f>
        <v>0.15939458688851391</v>
      </c>
      <c r="W631" s="8">
        <f>H631/K631</f>
        <v>0.47887420078078285</v>
      </c>
      <c r="X631" s="8">
        <f>(H631-I631)/K631</f>
        <v>0.40471541192897281</v>
      </c>
      <c r="Y631" s="8">
        <f>(H631-K631)/G631</f>
        <v>-0.11288918389207597</v>
      </c>
      <c r="Z631" s="8" t="e">
        <f>J631/N631</f>
        <v>#DIV/0!</v>
      </c>
      <c r="AA631" s="8">
        <f>J631/G631</f>
        <v>0.62301839153798</v>
      </c>
      <c r="AB631" s="8">
        <f>C631/G631</f>
        <v>0.17986517532912633</v>
      </c>
      <c r="AC631" s="8">
        <f>C631/(G631-K631)</f>
        <v>0.22960307754360287</v>
      </c>
      <c r="AD631" s="8">
        <f>Q631/E631</f>
        <v>2.707402335496226</v>
      </c>
      <c r="AE631" s="8">
        <f>Q631/J631</f>
        <v>0.26112332281788009</v>
      </c>
      <c r="AF631" s="8">
        <f>Q631/G631</f>
        <v>0.16268463257504837</v>
      </c>
      <c r="AG631" s="8">
        <f>Q631/K631</f>
        <v>0.75099452621082918</v>
      </c>
      <c r="AH631" s="8">
        <f>Q631/L631</f>
        <v>0.31552224476882462</v>
      </c>
      <c r="AI631" s="9">
        <f>R631</f>
        <v>17.600000000000001</v>
      </c>
      <c r="AJ631" s="9">
        <f>P631</f>
        <v>1371205</v>
      </c>
    </row>
    <row r="632" spans="1:36" x14ac:dyDescent="0.25">
      <c r="A632" s="15" t="s">
        <v>103</v>
      </c>
      <c r="B632" s="15">
        <v>2018</v>
      </c>
      <c r="C632" s="6">
        <v>325235</v>
      </c>
      <c r="D632" s="6">
        <v>40583</v>
      </c>
      <c r="E632" s="6">
        <v>27230</v>
      </c>
      <c r="F632" s="6"/>
      <c r="G632" s="6">
        <v>485765</v>
      </c>
      <c r="H632" s="6">
        <v>126570</v>
      </c>
      <c r="I632" s="6">
        <v>5846</v>
      </c>
      <c r="J632" s="6">
        <f>44654+K632</f>
        <v>118820</v>
      </c>
      <c r="K632" s="6">
        <v>74166</v>
      </c>
      <c r="L632" s="6">
        <v>0</v>
      </c>
      <c r="M632" s="6">
        <v>0</v>
      </c>
      <c r="N632" s="6">
        <v>366944</v>
      </c>
      <c r="O632" s="6">
        <v>366944</v>
      </c>
      <c r="P632" s="6">
        <v>125515</v>
      </c>
      <c r="Q632" s="6">
        <v>68779</v>
      </c>
      <c r="R632" s="6">
        <v>62.8</v>
      </c>
      <c r="S632" s="15"/>
      <c r="T632" s="15">
        <f>E632/G632</f>
        <v>5.6055911809208159E-2</v>
      </c>
      <c r="U632" s="15">
        <f>D632/C632</f>
        <v>0.12478054329946039</v>
      </c>
      <c r="V632" s="15">
        <f>(E632-F632)/O632</f>
        <v>7.4207508502659808E-2</v>
      </c>
      <c r="W632" s="15">
        <f>H632/K632</f>
        <v>1.7065771377720249</v>
      </c>
      <c r="X632" s="15">
        <f>(H632-I632)/K632</f>
        <v>1.6277539573389423</v>
      </c>
      <c r="Y632" s="15">
        <f>(H632-K632)/G632</f>
        <v>0.10787932436466192</v>
      </c>
      <c r="Z632" s="15">
        <f>J632/N632</f>
        <v>0.32380962762710386</v>
      </c>
      <c r="AA632" s="15">
        <f>J632/G632</f>
        <v>0.24460387224275112</v>
      </c>
      <c r="AB632" s="15">
        <f>C632/G632</f>
        <v>0.66953156361615185</v>
      </c>
      <c r="AC632" s="15">
        <f>C632/(G632-K632)</f>
        <v>0.79017441733337546</v>
      </c>
      <c r="AD632" s="15">
        <f>Q632/E632</f>
        <v>2.5258538376790303</v>
      </c>
      <c r="AE632" s="15">
        <f>Q632/J632</f>
        <v>0.57885036189193739</v>
      </c>
      <c r="AF632" s="15">
        <f>Q632/G632</f>
        <v>0.14158903996788572</v>
      </c>
      <c r="AG632" s="15">
        <f>Q632/K632</f>
        <v>0.92736563924170101</v>
      </c>
      <c r="AH632" s="15" t="e">
        <f>Q632/L632</f>
        <v>#DIV/0!</v>
      </c>
      <c r="AI632" s="6">
        <f>R632</f>
        <v>62.8</v>
      </c>
      <c r="AJ632" s="6">
        <f>P632</f>
        <v>125515</v>
      </c>
    </row>
    <row r="633" spans="1:36" x14ac:dyDescent="0.25">
      <c r="A633" t="s">
        <v>103</v>
      </c>
      <c r="B633">
        <v>2019</v>
      </c>
      <c r="C633" s="1">
        <v>375610</v>
      </c>
      <c r="D633" s="1">
        <v>35524</v>
      </c>
      <c r="E633" s="1">
        <v>33548</v>
      </c>
      <c r="G633" s="1">
        <v>524117</v>
      </c>
      <c r="H633" s="1">
        <v>156930</v>
      </c>
      <c r="I633" s="1">
        <v>5748</v>
      </c>
      <c r="J633" s="1">
        <f>48294+K633</f>
        <v>125217</v>
      </c>
      <c r="K633" s="1">
        <v>76923</v>
      </c>
      <c r="L633" s="1">
        <v>0</v>
      </c>
      <c r="M633" s="1">
        <v>0</v>
      </c>
      <c r="N633" s="1">
        <v>398899</v>
      </c>
      <c r="O633" s="1">
        <v>398899</v>
      </c>
      <c r="P633" s="1">
        <v>158739</v>
      </c>
      <c r="Q633" s="1">
        <v>55961</v>
      </c>
      <c r="R633" s="1">
        <v>59.1</v>
      </c>
      <c r="T633">
        <f>E633/G633</f>
        <v>6.4008608764836855E-2</v>
      </c>
      <c r="U633">
        <f>D633/C633</f>
        <v>9.4576821703362526E-2</v>
      </c>
      <c r="V633">
        <f>(E633-F633)/O633</f>
        <v>8.4101489349434316E-2</v>
      </c>
      <c r="W633">
        <f>H633/K633</f>
        <v>2.0400920400920399</v>
      </c>
      <c r="X633">
        <f>(H633-I633)/K633</f>
        <v>1.9653679653679654</v>
      </c>
      <c r="Y633">
        <f>(H633-K633)/G633</f>
        <v>0.15265103020890375</v>
      </c>
      <c r="Z633">
        <f>J633/N633</f>
        <v>0.31390652771754252</v>
      </c>
      <c r="AA633">
        <f>J633/G633</f>
        <v>0.23891039596120714</v>
      </c>
      <c r="AB633">
        <f>C633/G633</f>
        <v>0.71665296107548504</v>
      </c>
      <c r="AC633">
        <f>C633/(G633-K633)</f>
        <v>0.8399262959699817</v>
      </c>
      <c r="AD633">
        <f>Q633/E633</f>
        <v>1.66808751639442</v>
      </c>
      <c r="AE633">
        <f>Q633/J633</f>
        <v>0.44691216048939042</v>
      </c>
      <c r="AF633">
        <f>Q633/G633</f>
        <v>0.10677196122239882</v>
      </c>
      <c r="AG633">
        <f>Q633/K633</f>
        <v>0.72749372749372754</v>
      </c>
      <c r="AH633" t="e">
        <f>Q633/L633</f>
        <v>#DIV/0!</v>
      </c>
      <c r="AI633" s="1">
        <f>R633</f>
        <v>59.1</v>
      </c>
      <c r="AJ633" s="1">
        <f>P633</f>
        <v>158739</v>
      </c>
    </row>
    <row r="634" spans="1:36" x14ac:dyDescent="0.25">
      <c r="A634" t="s">
        <v>103</v>
      </c>
      <c r="B634">
        <v>2020</v>
      </c>
      <c r="C634" s="1">
        <v>271874</v>
      </c>
      <c r="D634" s="1">
        <v>4849</v>
      </c>
      <c r="E634" s="1">
        <v>3848</v>
      </c>
      <c r="G634" s="1">
        <v>535821</v>
      </c>
      <c r="H634" s="1">
        <v>83000</v>
      </c>
      <c r="I634" s="1">
        <v>6387</v>
      </c>
      <c r="J634" s="1">
        <f>70835+K634</f>
        <v>134057</v>
      </c>
      <c r="K634" s="1">
        <v>63222</v>
      </c>
      <c r="L634" s="1">
        <f>4371+M634</f>
        <v>22389</v>
      </c>
      <c r="M634" s="1">
        <v>18018</v>
      </c>
      <c r="N634" s="1">
        <v>401763</v>
      </c>
      <c r="O634" s="1">
        <v>401763</v>
      </c>
      <c r="P634" s="1">
        <v>161851</v>
      </c>
      <c r="Q634" s="1">
        <v>27256</v>
      </c>
      <c r="R634" s="1">
        <v>36.4</v>
      </c>
      <c r="T634">
        <f>E634/G634</f>
        <v>7.1815027779799593E-3</v>
      </c>
      <c r="U634">
        <f>D634/C634</f>
        <v>1.7835467900571587E-2</v>
      </c>
      <c r="V634">
        <f>(E634-F634)/O634</f>
        <v>9.5777859086078106E-3</v>
      </c>
      <c r="W634">
        <f>H634/K634</f>
        <v>1.3128341400145518</v>
      </c>
      <c r="X634">
        <f>(H634-I634)/K634</f>
        <v>1.2118091803486128</v>
      </c>
      <c r="Y634">
        <f>(H634-K634)/G634</f>
        <v>3.6911580546488472E-2</v>
      </c>
      <c r="Z634">
        <f>J634/N634</f>
        <v>0.3336718413592093</v>
      </c>
      <c r="AA634">
        <f>J634/G634</f>
        <v>0.25018989550614851</v>
      </c>
      <c r="AB634">
        <f>C634/G634</f>
        <v>0.5073970598390134</v>
      </c>
      <c r="AC634">
        <f>C634/(G634-K634)</f>
        <v>0.57527417535796732</v>
      </c>
      <c r="AD634">
        <f>Q634/E634</f>
        <v>7.0831600831600827</v>
      </c>
      <c r="AE634">
        <f>Q634/J634</f>
        <v>0.2033164996978897</v>
      </c>
      <c r="AF634">
        <f>Q634/G634</f>
        <v>5.0867733814090897E-2</v>
      </c>
      <c r="AG634">
        <f>Q634/K634</f>
        <v>0.43111575084622439</v>
      </c>
      <c r="AH634">
        <f>Q634/L634</f>
        <v>1.2173835365581311</v>
      </c>
      <c r="AI634" s="1">
        <f>R634</f>
        <v>36.4</v>
      </c>
      <c r="AJ634" s="1">
        <f>P634</f>
        <v>161851</v>
      </c>
    </row>
    <row r="635" spans="1:36" x14ac:dyDescent="0.25">
      <c r="A635" t="s">
        <v>103</v>
      </c>
      <c r="B635">
        <v>2021</v>
      </c>
      <c r="C635" s="1">
        <v>111549</v>
      </c>
      <c r="D635" s="1">
        <v>-56907</v>
      </c>
      <c r="E635" s="1">
        <v>-42702</v>
      </c>
      <c r="G635" s="1">
        <v>568167</v>
      </c>
      <c r="H635" s="1">
        <v>139883</v>
      </c>
      <c r="I635" s="1">
        <v>5293</v>
      </c>
      <c r="J635" s="1">
        <f>63151+K635</f>
        <v>133993</v>
      </c>
      <c r="K635" s="1">
        <v>70842</v>
      </c>
      <c r="L635" s="1">
        <f>19418+M635</f>
        <v>37984</v>
      </c>
      <c r="M635" s="1">
        <v>18566</v>
      </c>
      <c r="N635" s="1">
        <v>434172</v>
      </c>
      <c r="O635" s="1">
        <v>434172</v>
      </c>
      <c r="P635" s="1">
        <v>120914</v>
      </c>
      <c r="Q635" s="1">
        <v>-8399</v>
      </c>
      <c r="R635" s="1">
        <v>56.6</v>
      </c>
      <c r="T635">
        <f>E635/G635</f>
        <v>-7.515748010708119E-2</v>
      </c>
      <c r="U635">
        <f>D635/C635</f>
        <v>-0.51015248904069066</v>
      </c>
      <c r="V635">
        <f>(E635-F635)/O635</f>
        <v>-9.8352726569193777E-2</v>
      </c>
      <c r="W635">
        <f>H635/K635</f>
        <v>1.9745772281979617</v>
      </c>
      <c r="X635">
        <f>(H635-I635)/K635</f>
        <v>1.899861663984642</v>
      </c>
      <c r="Y635">
        <f>(H635-K635)/G635</f>
        <v>0.12151532911978344</v>
      </c>
      <c r="Z635">
        <f>J635/N635</f>
        <v>0.30861732216725168</v>
      </c>
      <c r="AA635">
        <f>J635/G635</f>
        <v>0.23583383054630064</v>
      </c>
      <c r="AB635">
        <f>C635/G635</f>
        <v>0.1963313603218772</v>
      </c>
      <c r="AC635">
        <f>C635/(G635-K635)</f>
        <v>0.22429799426934097</v>
      </c>
      <c r="AD635">
        <f>Q635/E635</f>
        <v>0.1966886796871341</v>
      </c>
      <c r="AE635">
        <f>Q635/J635</f>
        <v>-6.268237893024263E-2</v>
      </c>
      <c r="AF635">
        <f>Q635/G635</f>
        <v>-1.4782625530873846E-2</v>
      </c>
      <c r="AG635">
        <f>Q635/K635</f>
        <v>-0.1185596115298834</v>
      </c>
      <c r="AH635">
        <f>Q635/L635</f>
        <v>-0.22111941870261162</v>
      </c>
      <c r="AI635" s="1">
        <f>R635</f>
        <v>56.6</v>
      </c>
      <c r="AJ635" s="1">
        <f>P635</f>
        <v>120914</v>
      </c>
    </row>
    <row r="636" spans="1:36" x14ac:dyDescent="0.25">
      <c r="A636" t="s">
        <v>103</v>
      </c>
      <c r="B636">
        <v>2022</v>
      </c>
      <c r="C636" s="1">
        <v>103771</v>
      </c>
      <c r="D636" s="1">
        <v>-62696</v>
      </c>
      <c r="E636" s="1">
        <v>-59805</v>
      </c>
      <c r="G636" s="1">
        <v>852759</v>
      </c>
      <c r="H636" s="1">
        <v>162110</v>
      </c>
      <c r="I636" s="1">
        <v>7917</v>
      </c>
      <c r="J636" s="1">
        <f>91679+K636</f>
        <v>323433</v>
      </c>
      <c r="K636" s="1">
        <v>231754</v>
      </c>
      <c r="L636" s="1">
        <f>5140+M636</f>
        <v>25351</v>
      </c>
      <c r="M636" s="1">
        <v>20211</v>
      </c>
      <c r="N636" s="1">
        <v>529326</v>
      </c>
      <c r="O636" s="1">
        <v>529326</v>
      </c>
      <c r="P636" s="1">
        <v>52665</v>
      </c>
      <c r="Q636" s="1">
        <v>100608</v>
      </c>
      <c r="R636" s="1">
        <v>88</v>
      </c>
      <c r="T636">
        <f>E636/G636</f>
        <v>-7.0131185950544059E-2</v>
      </c>
      <c r="U636">
        <f>D636/C636</f>
        <v>-0.60417650403291867</v>
      </c>
      <c r="V636">
        <f>(E636-F636)/O636</f>
        <v>-0.11298330329513381</v>
      </c>
      <c r="W636">
        <f>H636/K636</f>
        <v>0.69949170240858838</v>
      </c>
      <c r="X636">
        <f>(H636-I636)/K636</f>
        <v>0.66533047973282011</v>
      </c>
      <c r="Y636">
        <f>(H636-K636)/G636</f>
        <v>-8.166902958514656E-2</v>
      </c>
      <c r="Z636">
        <f>J636/N636</f>
        <v>0.61102798653381851</v>
      </c>
      <c r="AA636">
        <f>J636/G636</f>
        <v>0.37927831896233283</v>
      </c>
      <c r="AB636">
        <f>C636/G636</f>
        <v>0.12168854271839992</v>
      </c>
      <c r="AC636">
        <f>C636/(G636-K636)</f>
        <v>0.16710171415689085</v>
      </c>
      <c r="AD636">
        <f>Q636/E636</f>
        <v>-1.6822673689490846</v>
      </c>
      <c r="AE636">
        <f>Q636/J636</f>
        <v>0.31106287855599152</v>
      </c>
      <c r="AF636">
        <f>Q636/G636</f>
        <v>0.11797940567030075</v>
      </c>
      <c r="AG636">
        <f>Q636/K636</f>
        <v>0.43411548452238147</v>
      </c>
      <c r="AH636">
        <f>Q636/L636</f>
        <v>3.9686008441481597</v>
      </c>
      <c r="AI636" s="1">
        <f>R636</f>
        <v>88</v>
      </c>
      <c r="AJ636" s="1">
        <f>P636</f>
        <v>52665</v>
      </c>
    </row>
    <row r="637" spans="1:36" x14ac:dyDescent="0.25">
      <c r="A637" t="s">
        <v>103</v>
      </c>
      <c r="B637">
        <v>2023</v>
      </c>
      <c r="C637" s="1">
        <v>245494</v>
      </c>
      <c r="D637" s="1">
        <v>-45586</v>
      </c>
      <c r="E637" s="1">
        <v>-3600</v>
      </c>
      <c r="G637" s="1">
        <v>1069015</v>
      </c>
      <c r="H637" s="1">
        <v>381785</v>
      </c>
      <c r="I637" s="1">
        <v>12180</v>
      </c>
      <c r="J637" s="1">
        <f>122095+K637</f>
        <v>243123</v>
      </c>
      <c r="K637" s="1">
        <v>121028</v>
      </c>
      <c r="L637" s="1">
        <v>0</v>
      </c>
      <c r="M637" s="1">
        <v>0</v>
      </c>
      <c r="N637" s="1">
        <v>825891</v>
      </c>
      <c r="O637" s="1">
        <v>825891</v>
      </c>
      <c r="P637" s="1">
        <v>59105</v>
      </c>
      <c r="Q637" s="1">
        <v>-102810</v>
      </c>
      <c r="R637" s="1">
        <v>33.299999999999997</v>
      </c>
      <c r="T637">
        <f>E637/G637</f>
        <v>-3.3675860488393519E-3</v>
      </c>
      <c r="U637">
        <f>D637/C637</f>
        <v>-0.18569089264910751</v>
      </c>
      <c r="V637">
        <f>(E637-F637)/O637</f>
        <v>-4.3589287206180962E-3</v>
      </c>
      <c r="W637">
        <f>H637/K637</f>
        <v>3.1545179627854711</v>
      </c>
      <c r="X637">
        <f>(H637-I637)/K637</f>
        <v>3.0538800938625772</v>
      </c>
      <c r="Y637">
        <f>(H637-K637)/G637</f>
        <v>0.24392267648255636</v>
      </c>
      <c r="Z637">
        <f>J637/N637</f>
        <v>0.29437661870634263</v>
      </c>
      <c r="AA637">
        <f>J637/G637</f>
        <v>0.22742711748665828</v>
      </c>
      <c r="AB637">
        <f>C637/G637</f>
        <v>0.22964504707604663</v>
      </c>
      <c r="AC637">
        <f>C637/(G637-K637)</f>
        <v>0.25896346679859533</v>
      </c>
      <c r="AD637">
        <f>Q637/E637</f>
        <v>28.558333333333334</v>
      </c>
      <c r="AE637">
        <f>Q637/J637</f>
        <v>-0.42287237324317323</v>
      </c>
      <c r="AF637">
        <f>Q637/G637</f>
        <v>-9.6172644911437163E-2</v>
      </c>
      <c r="AG637">
        <f>Q637/K637</f>
        <v>-0.84947284925802291</v>
      </c>
      <c r="AH637" t="e">
        <f>Q637/L637</f>
        <v>#DIV/0!</v>
      </c>
      <c r="AI637" s="1">
        <f>R637</f>
        <v>33.299999999999997</v>
      </c>
      <c r="AJ637" s="1">
        <f>P637</f>
        <v>59105</v>
      </c>
    </row>
    <row r="638" spans="1:36" s="8" customFormat="1" x14ac:dyDescent="0.25">
      <c r="A638" s="8" t="s">
        <v>103</v>
      </c>
      <c r="B638" s="8">
        <v>2024</v>
      </c>
      <c r="C638" s="9">
        <v>491955</v>
      </c>
      <c r="D638" s="9">
        <v>60808</v>
      </c>
      <c r="E638" s="9">
        <v>101309</v>
      </c>
      <c r="F638" s="9"/>
      <c r="G638" s="9">
        <v>1238980</v>
      </c>
      <c r="H638" s="9">
        <v>576816</v>
      </c>
      <c r="I638" s="9">
        <v>13429</v>
      </c>
      <c r="J638" s="9">
        <f>134224+K638</f>
        <v>311060</v>
      </c>
      <c r="K638" s="9">
        <v>176836</v>
      </c>
      <c r="L638" s="9">
        <v>0</v>
      </c>
      <c r="M638" s="9">
        <v>0</v>
      </c>
      <c r="N638" s="9">
        <v>927918</v>
      </c>
      <c r="O638" s="9">
        <v>927918</v>
      </c>
      <c r="P638" s="9">
        <v>160407</v>
      </c>
      <c r="Q638" s="9">
        <v>-19019</v>
      </c>
      <c r="R638" s="9">
        <v>51</v>
      </c>
      <c r="T638" s="8">
        <f>E638/G638</f>
        <v>8.176806728115063E-2</v>
      </c>
      <c r="U638" s="8">
        <f>D638/C638</f>
        <v>0.12360480125214704</v>
      </c>
      <c r="V638" s="8">
        <f>(E638-F638)/O638</f>
        <v>0.10917882830163872</v>
      </c>
      <c r="W638" s="8">
        <f>H638/K638</f>
        <v>3.2618697550272571</v>
      </c>
      <c r="X638" s="8">
        <f>(H638-I638)/K638</f>
        <v>3.1859293356556355</v>
      </c>
      <c r="Y638" s="8">
        <f>(H638-K638)/G638</f>
        <v>0.32283006989620494</v>
      </c>
      <c r="Z638" s="8">
        <f>J638/N638</f>
        <v>0.33522358656691648</v>
      </c>
      <c r="AA638" s="8">
        <f>J638/G638</f>
        <v>0.25106135692262993</v>
      </c>
      <c r="AB638" s="8">
        <f>C638/G638</f>
        <v>0.39706452081550953</v>
      </c>
      <c r="AC638" s="8">
        <f>C638/(G638-K638)</f>
        <v>0.46317166033984092</v>
      </c>
      <c r="AD638" s="8">
        <f>Q638/E638</f>
        <v>-0.18773258052098038</v>
      </c>
      <c r="AE638" s="8">
        <f>Q638/J638</f>
        <v>-6.1142544846653379E-2</v>
      </c>
      <c r="AF638" s="8">
        <f>Q638/G638</f>
        <v>-1.5350530274903549E-2</v>
      </c>
      <c r="AG638" s="8">
        <f>Q638/K638</f>
        <v>-0.10755162975864643</v>
      </c>
      <c r="AH638" s="8" t="e">
        <f>Q638/L638</f>
        <v>#DIV/0!</v>
      </c>
      <c r="AI638" s="9">
        <f>R638</f>
        <v>51</v>
      </c>
      <c r="AJ638" s="9">
        <f>P638</f>
        <v>160407</v>
      </c>
    </row>
    <row r="639" spans="1:36" x14ac:dyDescent="0.25">
      <c r="A639" s="15" t="s">
        <v>104</v>
      </c>
      <c r="B639" s="15">
        <v>2018</v>
      </c>
      <c r="C639" s="6">
        <v>124749.117</v>
      </c>
      <c r="D639" s="6">
        <f>(-9412147-2104780+15242)/1000</f>
        <v>-11501.684999999999</v>
      </c>
      <c r="E639" s="6">
        <v>-12876.188</v>
      </c>
      <c r="F639" s="6">
        <v>0</v>
      </c>
      <c r="G639" s="6">
        <v>408497.92499999999</v>
      </c>
      <c r="H639" s="6">
        <v>52594.536999999997</v>
      </c>
      <c r="I639" s="6">
        <v>3887.893</v>
      </c>
      <c r="J639" s="6">
        <f>(46095469+K639)/1000</f>
        <v>46117.028863</v>
      </c>
      <c r="K639" s="6">
        <v>21559.863000000001</v>
      </c>
      <c r="L639" s="6">
        <v>0</v>
      </c>
      <c r="M639" s="6">
        <v>0</v>
      </c>
      <c r="N639" s="6">
        <v>340842.59299999999</v>
      </c>
      <c r="O639" s="6">
        <v>340842.59299999999</v>
      </c>
      <c r="P639" s="6">
        <v>206246.64499999999</v>
      </c>
      <c r="Q639" s="6">
        <v>11034.983</v>
      </c>
      <c r="R639" s="6">
        <v>141</v>
      </c>
      <c r="S639" s="15"/>
      <c r="T639" s="15">
        <f>E639/G639</f>
        <v>-3.1520816170608458E-2</v>
      </c>
      <c r="U639" s="15">
        <f>D639/C639</f>
        <v>-9.2198528347098435E-2</v>
      </c>
      <c r="V639" s="15">
        <f>(E639-F639)/O639</f>
        <v>-3.777752036993804E-2</v>
      </c>
      <c r="W639" s="15">
        <f>H639/K639</f>
        <v>2.4394652693294012</v>
      </c>
      <c r="X639" s="15">
        <f>(H639-I639)/K639</f>
        <v>2.2591351345785453</v>
      </c>
      <c r="Y639" s="15">
        <f>(H639-K639)/G639</f>
        <v>7.5972660081443488E-2</v>
      </c>
      <c r="Z639" s="15">
        <f>J639/N639</f>
        <v>0.13530301027547928</v>
      </c>
      <c r="AA639" s="15">
        <f>J639/G639</f>
        <v>0.11289415696052801</v>
      </c>
      <c r="AB639" s="15">
        <f>C639/G639</f>
        <v>0.30538494656980203</v>
      </c>
      <c r="AC639" s="15">
        <f>C639/(G639-K639)</f>
        <v>0.3224007386484507</v>
      </c>
      <c r="AD639" s="15">
        <f>Q639/E639</f>
        <v>-0.85700698063743708</v>
      </c>
      <c r="AE639" s="15">
        <f>Q639/J639</f>
        <v>0.23928217563151474</v>
      </c>
      <c r="AF639" s="15">
        <f>Q639/G639</f>
        <v>2.7013559493600858E-2</v>
      </c>
      <c r="AG639" s="15">
        <f>Q639/K639</f>
        <v>0.51182992211035849</v>
      </c>
      <c r="AH639" s="15" t="e">
        <f>Q639/L639</f>
        <v>#DIV/0!</v>
      </c>
      <c r="AI639" s="6">
        <f>R639</f>
        <v>141</v>
      </c>
      <c r="AJ639" s="6">
        <f>P639</f>
        <v>206246.64499999999</v>
      </c>
    </row>
    <row r="640" spans="1:36" x14ac:dyDescent="0.25">
      <c r="A640" t="s">
        <v>104</v>
      </c>
      <c r="B640">
        <v>2019</v>
      </c>
      <c r="C640" s="1">
        <v>142148.34700000001</v>
      </c>
      <c r="D640" s="1">
        <f>(2336766-3735372)/1000</f>
        <v>-1398.606</v>
      </c>
      <c r="E640" s="1">
        <v>1232.5360000000001</v>
      </c>
      <c r="F640" s="1">
        <v>0</v>
      </c>
      <c r="G640" s="1">
        <v>466591.4</v>
      </c>
      <c r="H640" s="1">
        <v>76525.5</v>
      </c>
      <c r="I640" s="1">
        <v>4257.1850000000004</v>
      </c>
      <c r="J640" s="1">
        <f>(53868815+K640)/1000</f>
        <v>53895.798053000006</v>
      </c>
      <c r="K640" s="1">
        <v>26983.053</v>
      </c>
      <c r="L640" s="1">
        <v>0</v>
      </c>
      <c r="M640" s="1">
        <v>0</v>
      </c>
      <c r="N640" s="1">
        <v>385739.53200000001</v>
      </c>
      <c r="O640" s="1">
        <v>385739.53200000001</v>
      </c>
      <c r="P640" s="1">
        <v>207365.28400000001</v>
      </c>
      <c r="Q640" s="1">
        <v>13918.418</v>
      </c>
      <c r="R640" s="1">
        <v>152</v>
      </c>
      <c r="T640">
        <f>E640/G640</f>
        <v>2.6415746196779451E-3</v>
      </c>
      <c r="U640">
        <f>D640/C640</f>
        <v>-9.8390591907480986E-3</v>
      </c>
      <c r="V640">
        <f>(E640-F640)/O640</f>
        <v>3.1952545636416648E-3</v>
      </c>
      <c r="W640">
        <f>H640/K640</f>
        <v>2.8360578767717648</v>
      </c>
      <c r="X640">
        <f>(H640-I640)/K640</f>
        <v>2.6782853296845248</v>
      </c>
      <c r="Y640">
        <f>(H640-K640)/G640</f>
        <v>0.10617951166695314</v>
      </c>
      <c r="Z640">
        <f>J640/N640</f>
        <v>0.13972070161841749</v>
      </c>
      <c r="AA640">
        <f>J640/G640</f>
        <v>0.11550962588037414</v>
      </c>
      <c r="AB640">
        <f>C640/G640</f>
        <v>0.30465273684855743</v>
      </c>
      <c r="AC640">
        <f>C640/(G640-K640)</f>
        <v>0.32335224744947805</v>
      </c>
      <c r="AD640">
        <f>Q640/E640</f>
        <v>11.292504235170412</v>
      </c>
      <c r="AE640">
        <f>Q640/J640</f>
        <v>0.25824681149192591</v>
      </c>
      <c r="AF640">
        <f>Q640/G640</f>
        <v>2.9829992580231866E-2</v>
      </c>
      <c r="AG640">
        <f>Q640/K640</f>
        <v>0.5158207264389244</v>
      </c>
      <c r="AH640" t="e">
        <f>Q640/L640</f>
        <v>#DIV/0!</v>
      </c>
      <c r="AI640" s="1">
        <f>R640</f>
        <v>152</v>
      </c>
      <c r="AJ640" s="1">
        <f>P640</f>
        <v>207365.28400000001</v>
      </c>
    </row>
    <row r="641" spans="1:36" x14ac:dyDescent="0.25">
      <c r="A641" t="s">
        <v>104</v>
      </c>
      <c r="B641">
        <v>2020</v>
      </c>
      <c r="C641" s="1">
        <v>101448.776</v>
      </c>
      <c r="D641" s="1">
        <f>(-32999551+180028-395710)/1000</f>
        <v>-33215.233</v>
      </c>
      <c r="E641" s="1">
        <v>-28022.615000000002</v>
      </c>
      <c r="F641" s="1">
        <v>0</v>
      </c>
      <c r="G641" s="1">
        <v>536244.24600000004</v>
      </c>
      <c r="H641" s="1">
        <v>160339.62899999999</v>
      </c>
      <c r="I641" s="1">
        <v>3913.7660000000001</v>
      </c>
      <c r="J641" s="1">
        <f>(149927098+K641)/1000</f>
        <v>149956.01275299999</v>
      </c>
      <c r="K641" s="1">
        <v>28914.753000000001</v>
      </c>
      <c r="L641" s="1">
        <f>(6674665+M641)/1000</f>
        <v>6774.0748760000006</v>
      </c>
      <c r="M641" s="1">
        <v>99409.876000000004</v>
      </c>
      <c r="N641" s="1">
        <v>357402.39500000002</v>
      </c>
      <c r="O641" s="1">
        <v>357402.39500000002</v>
      </c>
      <c r="P641" s="1">
        <v>179028.147</v>
      </c>
      <c r="Q641" s="1">
        <v>-45363.455999999998</v>
      </c>
      <c r="R641" s="1">
        <v>1950</v>
      </c>
      <c r="T641">
        <f>E641/G641</f>
        <v>-5.2257185431878739E-2</v>
      </c>
      <c r="U641">
        <f>D641/C641</f>
        <v>-0.32740890831447783</v>
      </c>
      <c r="V641">
        <f>(E641-F641)/O641</f>
        <v>-7.8406343639639012E-2</v>
      </c>
      <c r="W641">
        <f>H641/K641</f>
        <v>5.5452532829867156</v>
      </c>
      <c r="X641">
        <f>(H641-I641)/K641</f>
        <v>5.4098979507104898</v>
      </c>
      <c r="Y641">
        <f>(H641-K641)/G641</f>
        <v>0.24508398361443673</v>
      </c>
      <c r="Z641">
        <f>J641/N641</f>
        <v>0.41957193026924172</v>
      </c>
      <c r="AA641">
        <f>J641/G641</f>
        <v>0.27964125279024432</v>
      </c>
      <c r="AB641">
        <f>C641/G641</f>
        <v>0.18918389662310706</v>
      </c>
      <c r="AC641">
        <f>C641/(G641-K641)</f>
        <v>0.19996624954741196</v>
      </c>
      <c r="AD641">
        <f>Q641/E641</f>
        <v>1.6188159456210633</v>
      </c>
      <c r="AE641">
        <f>Q641/J641</f>
        <v>-0.30251175106076211</v>
      </c>
      <c r="AF641">
        <f>Q641/G641</f>
        <v>-8.4594765050402046E-2</v>
      </c>
      <c r="AG641">
        <f>Q641/K641</f>
        <v>-1.5688688746537105</v>
      </c>
      <c r="AH641">
        <f>Q641/L641</f>
        <v>-6.6966274849897296</v>
      </c>
      <c r="AI641" s="1">
        <f>R641</f>
        <v>1950</v>
      </c>
      <c r="AJ641" s="1">
        <f>P641</f>
        <v>179028.147</v>
      </c>
    </row>
    <row r="642" spans="1:36" x14ac:dyDescent="0.25">
      <c r="A642" t="s">
        <v>104</v>
      </c>
      <c r="B642">
        <v>2021</v>
      </c>
      <c r="C642" s="1">
        <v>24704.695</v>
      </c>
      <c r="D642" s="1">
        <f>(-56497681+625027-150982)/1000</f>
        <v>-56023.635999999999</v>
      </c>
      <c r="E642" s="1">
        <v>-49501.052000000003</v>
      </c>
      <c r="F642" s="1">
        <v>0</v>
      </c>
      <c r="G642" s="1">
        <v>523251.34899999999</v>
      </c>
      <c r="H642" s="1">
        <v>49998.036999999997</v>
      </c>
      <c r="I642" s="1">
        <v>3036.933</v>
      </c>
      <c r="J642" s="1">
        <f>(160400107+K642)/1000</f>
        <v>160454.917151</v>
      </c>
      <c r="K642" s="1">
        <v>54810.150999999998</v>
      </c>
      <c r="L642" s="1">
        <f>(13932961+M642)/1000</f>
        <v>14048.907448</v>
      </c>
      <c r="M642" s="1">
        <v>115946.448</v>
      </c>
      <c r="N642" s="1">
        <v>308041.09100000001</v>
      </c>
      <c r="O642" s="1">
        <v>308041.09100000001</v>
      </c>
      <c r="P642" s="1">
        <v>129666.84299999999</v>
      </c>
      <c r="Q642" s="1">
        <v>-9818.7379999999994</v>
      </c>
      <c r="R642" s="1">
        <v>30</v>
      </c>
      <c r="T642">
        <f>E642/G642</f>
        <v>-9.4602817736834932E-2</v>
      </c>
      <c r="U642">
        <f>D642/C642</f>
        <v>-2.2677323480415361</v>
      </c>
      <c r="V642">
        <f>(E642-F642)/O642</f>
        <v>-0.1606962624346763</v>
      </c>
      <c r="W642">
        <f>H642/K642</f>
        <v>0.91220396382414637</v>
      </c>
      <c r="X642">
        <f>(H642-I642)/K642</f>
        <v>0.85679574208799392</v>
      </c>
      <c r="Y642">
        <f>(H642-K642)/G642</f>
        <v>-9.1965630078098496E-3</v>
      </c>
      <c r="Z642">
        <f>J642/N642</f>
        <v>0.52088803032774611</v>
      </c>
      <c r="AA642">
        <f>J642/G642</f>
        <v>0.3066497916491755</v>
      </c>
      <c r="AB642">
        <f>C642/G642</f>
        <v>4.7213819987686263E-2</v>
      </c>
      <c r="AC642">
        <f>C642/(G642-K642)</f>
        <v>5.2738092007014292E-2</v>
      </c>
      <c r="AD642">
        <f>Q642/E642</f>
        <v>0.19835412790823109</v>
      </c>
      <c r="AE642">
        <f>Q642/J642</f>
        <v>-6.1193126233456824E-2</v>
      </c>
      <c r="AF642">
        <f>Q642/G642</f>
        <v>-1.8764859409851228E-2</v>
      </c>
      <c r="AG642">
        <f>Q642/K642</f>
        <v>-0.17914086753747493</v>
      </c>
      <c r="AH642">
        <f>Q642/L642</f>
        <v>-0.69889690969512319</v>
      </c>
      <c r="AI642" s="1">
        <f>R642</f>
        <v>30</v>
      </c>
      <c r="AJ642" s="1">
        <f>P642</f>
        <v>129666.84299999999</v>
      </c>
    </row>
    <row r="643" spans="1:36" x14ac:dyDescent="0.25">
      <c r="A643" t="s">
        <v>104</v>
      </c>
      <c r="B643">
        <v>2022</v>
      </c>
      <c r="C643" s="1">
        <v>225748.67199999999</v>
      </c>
      <c r="D643" s="1">
        <f>(-2141864659+10814025-750365)/1000</f>
        <v>-2131800.9989999998</v>
      </c>
      <c r="E643" s="1">
        <v>-2142049.25</v>
      </c>
      <c r="F643" s="1">
        <v>0</v>
      </c>
      <c r="G643" s="1">
        <v>5065880.46</v>
      </c>
      <c r="H643" s="1">
        <v>246004.60699999999</v>
      </c>
      <c r="I643" s="1">
        <v>102419.946</v>
      </c>
      <c r="J643" s="1">
        <f>(955280267+K643)/1000</f>
        <v>956914.911188</v>
      </c>
      <c r="K643" s="1">
        <v>1634644.1880000001</v>
      </c>
      <c r="L643" s="1">
        <f>(243684072+M643)/1000</f>
        <v>244544.37318299999</v>
      </c>
      <c r="M643" s="1">
        <v>860301.18299999996</v>
      </c>
      <c r="N643" s="1">
        <v>2475956.0049999999</v>
      </c>
      <c r="O643" s="1">
        <v>2475956.0049999999</v>
      </c>
      <c r="P643" s="1">
        <v>-2009079.5970000001</v>
      </c>
      <c r="Q643" s="1">
        <v>11291.448</v>
      </c>
      <c r="R643" s="1">
        <v>26.9</v>
      </c>
      <c r="T643">
        <f>E643/G643</f>
        <v>-0.42283849113960342</v>
      </c>
      <c r="U643">
        <f>D643/C643</f>
        <v>-9.4432493450061141</v>
      </c>
      <c r="V643">
        <f>(E643-F643)/O643</f>
        <v>-0.86514027134339166</v>
      </c>
      <c r="W643">
        <f>H643/K643</f>
        <v>0.15049428420321156</v>
      </c>
      <c r="X643">
        <f>(H643-I643)/K643</f>
        <v>8.7838480113324818E-2</v>
      </c>
      <c r="Y643">
        <f>(H643-K643)/G643</f>
        <v>-0.27411613676332192</v>
      </c>
      <c r="Z643">
        <f>J643/N643</f>
        <v>0.38648300262831209</v>
      </c>
      <c r="AA643">
        <f>J643/G643</f>
        <v>0.18889409624719017</v>
      </c>
      <c r="AB643">
        <f>C643/G643</f>
        <v>4.4562573827492166E-2</v>
      </c>
      <c r="AC643">
        <f>C643/(G643-K643)</f>
        <v>6.5792225922237504E-2</v>
      </c>
      <c r="AD643">
        <f>Q643/E643</f>
        <v>-5.2713297791822482E-3</v>
      </c>
      <c r="AE643">
        <f>Q643/J643</f>
        <v>1.1799845386442754E-2</v>
      </c>
      <c r="AF643">
        <f>Q643/G643</f>
        <v>2.2289211301286804E-3</v>
      </c>
      <c r="AG643">
        <f>Q643/K643</f>
        <v>6.9075876468353489E-3</v>
      </c>
      <c r="AH643">
        <f>Q643/L643</f>
        <v>4.6173411610457571E-2</v>
      </c>
      <c r="AI643" s="1">
        <f>R643</f>
        <v>26.9</v>
      </c>
      <c r="AJ643" s="1">
        <f>P643</f>
        <v>-2009079.5970000001</v>
      </c>
    </row>
    <row r="644" spans="1:36" x14ac:dyDescent="0.25">
      <c r="A644" t="s">
        <v>104</v>
      </c>
      <c r="B644">
        <v>2023</v>
      </c>
      <c r="C644" s="1">
        <v>906184.24600000004</v>
      </c>
      <c r="D644" s="1">
        <f>(-398331412+137075322-5186223)/1000</f>
        <v>-266442.31300000002</v>
      </c>
      <c r="E644" s="1">
        <v>-411853.22</v>
      </c>
      <c r="F644" s="1">
        <v>0</v>
      </c>
      <c r="G644" s="1">
        <v>5550034.29</v>
      </c>
      <c r="H644" s="1">
        <v>242516.09299999999</v>
      </c>
      <c r="I644" s="1">
        <v>29120.437000000002</v>
      </c>
      <c r="J644" s="1">
        <f>(1151401764+K644)/1000</f>
        <v>1153299.9719700001</v>
      </c>
      <c r="K644" s="1">
        <v>1898207.97</v>
      </c>
      <c r="L644" s="1">
        <f>(262252058+M644)/1000</f>
        <v>263066.21222400002</v>
      </c>
      <c r="M644" s="1">
        <v>814154.22400000005</v>
      </c>
      <c r="N644" s="1">
        <v>2500424.5559999999</v>
      </c>
      <c r="O644" s="1">
        <v>2500424.5559999999</v>
      </c>
      <c r="P644" s="1">
        <v>-2401378.1839999999</v>
      </c>
      <c r="Q644" s="1">
        <v>61530.027999999998</v>
      </c>
      <c r="R644" s="1">
        <v>30</v>
      </c>
      <c r="T644">
        <f>E644/G644</f>
        <v>-7.4207328906430947E-2</v>
      </c>
      <c r="U644">
        <f>D644/C644</f>
        <v>-0.29402664433431347</v>
      </c>
      <c r="V644">
        <f>(E644-F644)/O644</f>
        <v>-0.16471331598936673</v>
      </c>
      <c r="W644">
        <f>H644/K644</f>
        <v>0.12776054933538183</v>
      </c>
      <c r="X644">
        <f>(H644-I644)/K644</f>
        <v>0.11241953430424169</v>
      </c>
      <c r="Y644">
        <f>(H644-K644)/G644</f>
        <v>-0.29832101758059587</v>
      </c>
      <c r="Z644">
        <f>J644/N644</f>
        <v>0.461241659622383</v>
      </c>
      <c r="AA644">
        <f>J644/G644</f>
        <v>0.20780051288115556</v>
      </c>
      <c r="AB644">
        <f>C644/G644</f>
        <v>0.16327543194332228</v>
      </c>
      <c r="AC644">
        <f>C644/(G644-K644)</f>
        <v>0.24814549395109239</v>
      </c>
      <c r="AD644">
        <f>Q644/E644</f>
        <v>-0.14939795298917416</v>
      </c>
      <c r="AE644">
        <f>Q644/J644</f>
        <v>5.3351278501202054E-2</v>
      </c>
      <c r="AF644">
        <f>Q644/G644</f>
        <v>1.1086423035415155E-2</v>
      </c>
      <c r="AG644">
        <f>Q644/K644</f>
        <v>3.2414798047655444E-2</v>
      </c>
      <c r="AH644">
        <f>Q644/L644</f>
        <v>0.23389559411608277</v>
      </c>
      <c r="AI644" s="1">
        <f>R644</f>
        <v>30</v>
      </c>
      <c r="AJ644" s="1">
        <f>P644</f>
        <v>-2401378.1839999999</v>
      </c>
    </row>
    <row r="645" spans="1:36" s="8" customFormat="1" x14ac:dyDescent="0.25">
      <c r="A645" s="8" t="s">
        <v>104</v>
      </c>
      <c r="B645" s="8">
        <v>2024</v>
      </c>
      <c r="C645" s="9">
        <v>799407.223</v>
      </c>
      <c r="D645" s="9">
        <f>(-436214706+186000903-48465582)/1000</f>
        <v>-298679.38500000001</v>
      </c>
      <c r="E645" s="9">
        <v>-474064.5</v>
      </c>
      <c r="F645" s="9">
        <v>0</v>
      </c>
      <c r="G645" s="9">
        <v>6562989.0999999996</v>
      </c>
      <c r="H645" s="9">
        <v>312168.78000000003</v>
      </c>
      <c r="I645" s="9">
        <v>138909.65</v>
      </c>
      <c r="J645" s="9">
        <f>(1261744036+K645)/1000</f>
        <v>1264464.23875</v>
      </c>
      <c r="K645" s="9">
        <v>2720202.75</v>
      </c>
      <c r="L645" s="9">
        <f>(552700278+M645)/1000</f>
        <v>553580.21718299994</v>
      </c>
      <c r="M645" s="9">
        <v>879939.18299999996</v>
      </c>
      <c r="N645" s="9">
        <v>2581042.3139999998</v>
      </c>
      <c r="O645" s="9">
        <v>2581042.3139999998</v>
      </c>
      <c r="P645" s="9">
        <v>-2838319.9010000001</v>
      </c>
      <c r="Q645" s="9">
        <v>284445.549</v>
      </c>
      <c r="R645" s="9">
        <v>26.9</v>
      </c>
      <c r="T645" s="8">
        <f>E645/G645</f>
        <v>-7.2233016507676356E-2</v>
      </c>
      <c r="U645" s="8">
        <f>D645/C645</f>
        <v>-0.37362607743162712</v>
      </c>
      <c r="V645" s="8">
        <f>(E645-F645)/O645</f>
        <v>-0.18367172728187983</v>
      </c>
      <c r="W645" s="8">
        <f>H645/K645</f>
        <v>0.11475937960874424</v>
      </c>
      <c r="X645" s="8">
        <f>(H645-I645)/K645</f>
        <v>6.3693461820079414E-2</v>
      </c>
      <c r="Y645" s="8">
        <f>(H645-K645)/G645</f>
        <v>-0.36691116399995238</v>
      </c>
      <c r="Z645" s="8">
        <f>J645/N645</f>
        <v>0.48990449784233958</v>
      </c>
      <c r="AA645" s="8">
        <f>J645/G645</f>
        <v>0.19266590565417824</v>
      </c>
      <c r="AB645" s="8">
        <f>C645/G645</f>
        <v>0.12180535588578077</v>
      </c>
      <c r="AC645" s="8">
        <f>C645/(G645-K645)</f>
        <v>0.20802801670199544</v>
      </c>
      <c r="AD645" s="8">
        <f>Q645/E645</f>
        <v>-0.60001444740114473</v>
      </c>
      <c r="AE645" s="8">
        <f>Q645/J645</f>
        <v>0.22495341527506682</v>
      </c>
      <c r="AF645" s="8">
        <f>Q645/G645</f>
        <v>4.3340853483971202E-2</v>
      </c>
      <c r="AG645" s="8">
        <f>Q645/K645</f>
        <v>0.10456777495721596</v>
      </c>
      <c r="AH645" s="8">
        <f>Q645/L645</f>
        <v>0.51382896312201365</v>
      </c>
      <c r="AI645" s="9">
        <f>R645</f>
        <v>26.9</v>
      </c>
      <c r="AJ645" s="9">
        <f>P645</f>
        <v>-2838319.9010000001</v>
      </c>
    </row>
    <row r="646" spans="1:36" x14ac:dyDescent="0.25">
      <c r="A646" s="15" t="s">
        <v>105</v>
      </c>
      <c r="B646" s="15">
        <v>2018</v>
      </c>
      <c r="C646" s="6">
        <v>3344233</v>
      </c>
      <c r="D646" s="6">
        <v>134275</v>
      </c>
      <c r="E646" s="6">
        <v>81960</v>
      </c>
      <c r="F646" s="6"/>
      <c r="G646" s="6">
        <v>14736002</v>
      </c>
      <c r="H646" s="6">
        <v>2162094</v>
      </c>
      <c r="I646" s="6">
        <v>888365</v>
      </c>
      <c r="J646" s="6">
        <f>3619257+K646</f>
        <v>4407922</v>
      </c>
      <c r="K646" s="6">
        <v>788665</v>
      </c>
      <c r="L646" s="6">
        <f>38338+M646</f>
        <v>200524</v>
      </c>
      <c r="M646" s="6">
        <v>162186</v>
      </c>
      <c r="N646" s="6">
        <v>9379138</v>
      </c>
      <c r="O646" s="6">
        <v>10328079</v>
      </c>
      <c r="P646" s="6">
        <v>1248258</v>
      </c>
      <c r="Q646" s="6">
        <v>32069</v>
      </c>
      <c r="R646" s="6">
        <v>495</v>
      </c>
      <c r="S646" s="15"/>
      <c r="T646" s="15">
        <f>E646/G646</f>
        <v>5.5618884959434721E-3</v>
      </c>
      <c r="U646" s="15">
        <f>D646/C646</f>
        <v>4.0151209559860214E-2</v>
      </c>
      <c r="V646" s="15">
        <f>(E646-F646)/O646</f>
        <v>7.9356480522660595E-3</v>
      </c>
      <c r="W646" s="15">
        <f>H646/K646</f>
        <v>2.7414605694432996</v>
      </c>
      <c r="X646" s="15">
        <f>(H646-I646)/K646</f>
        <v>1.6150444104911463</v>
      </c>
      <c r="Y646" s="15">
        <f>(H646-K646)/G646</f>
        <v>9.3202281052893451E-2</v>
      </c>
      <c r="Z646" s="15">
        <f>J646/N646</f>
        <v>0.46997090777425388</v>
      </c>
      <c r="AA646" s="15">
        <f>J646/G646</f>
        <v>0.29912604517833263</v>
      </c>
      <c r="AB646" s="15">
        <f>C646/G646</f>
        <v>0.22694303380251984</v>
      </c>
      <c r="AC646" s="15">
        <f>C646/(G646-K646)</f>
        <v>0.23977573640043257</v>
      </c>
      <c r="AD646" s="15">
        <f>Q646/E646</f>
        <v>0.39127623230844316</v>
      </c>
      <c r="AE646" s="15">
        <f>Q646/J646</f>
        <v>7.2753102255439187E-3</v>
      </c>
      <c r="AF646" s="15">
        <f>Q646/G646</f>
        <v>2.1762347752124355E-3</v>
      </c>
      <c r="AG646" s="15">
        <f>Q646/K646</f>
        <v>4.0662385169875678E-2</v>
      </c>
      <c r="AH646" s="15">
        <f>Q646/L646</f>
        <v>0.15992599389599249</v>
      </c>
      <c r="AI646" s="6">
        <f>R646</f>
        <v>495</v>
      </c>
      <c r="AJ646" s="6">
        <f>P646</f>
        <v>1248258</v>
      </c>
    </row>
    <row r="647" spans="1:36" x14ac:dyDescent="0.25">
      <c r="A647" t="s">
        <v>105</v>
      </c>
      <c r="B647">
        <v>2019</v>
      </c>
      <c r="C647" s="1">
        <v>3485374</v>
      </c>
      <c r="D647" s="1">
        <v>79222</v>
      </c>
      <c r="E647" s="1">
        <v>-5008</v>
      </c>
      <c r="G647" s="1">
        <v>14810761</v>
      </c>
      <c r="H647" s="1">
        <v>2229567</v>
      </c>
      <c r="I647" s="1">
        <v>802762</v>
      </c>
      <c r="J647" s="1">
        <f>3598466+K647</f>
        <v>4501932</v>
      </c>
      <c r="K647" s="1">
        <v>903466</v>
      </c>
      <c r="L647" s="1">
        <f>39271+M647</f>
        <v>164126</v>
      </c>
      <c r="M647" s="1">
        <v>124855</v>
      </c>
      <c r="N647" s="1">
        <v>9369341</v>
      </c>
      <c r="O647" s="1">
        <v>10308828</v>
      </c>
      <c r="P647" s="1">
        <v>1238462</v>
      </c>
      <c r="Q647" s="1">
        <v>148095</v>
      </c>
      <c r="R647" s="1">
        <v>400</v>
      </c>
      <c r="T647">
        <f>E647/G647</f>
        <v>-3.3813252404788651E-4</v>
      </c>
      <c r="U647">
        <f>D647/C647</f>
        <v>2.2729841905058109E-2</v>
      </c>
      <c r="V647">
        <f>(E647-F647)/O647</f>
        <v>-4.8579722156582688E-4</v>
      </c>
      <c r="W647">
        <f>H647/K647</f>
        <v>2.4677929219251196</v>
      </c>
      <c r="X647">
        <f>(H647-I647)/K647</f>
        <v>1.5792569947291875</v>
      </c>
      <c r="Y647">
        <f>(H647-K647)/G647</f>
        <v>8.9536317546411018E-2</v>
      </c>
      <c r="Z647">
        <f>J647/N647</f>
        <v>0.48049612027142569</v>
      </c>
      <c r="AA647">
        <f>J647/G647</f>
        <v>0.3039635843154852</v>
      </c>
      <c r="AB647">
        <f>C647/G647</f>
        <v>0.23532713815313069</v>
      </c>
      <c r="AC647">
        <f>C647/(G647-K647)</f>
        <v>0.25061480323815666</v>
      </c>
      <c r="AD647">
        <f>Q647/E647</f>
        <v>-29.571685303514379</v>
      </c>
      <c r="AE647">
        <f>Q647/J647</f>
        <v>3.2895876703601917E-2</v>
      </c>
      <c r="AF647">
        <f>Q647/G647</f>
        <v>9.9991485920271073E-3</v>
      </c>
      <c r="AG647">
        <f>Q647/K647</f>
        <v>0.16391873075467145</v>
      </c>
      <c r="AH647">
        <f>Q647/L647</f>
        <v>0.90232504295480298</v>
      </c>
      <c r="AI647" s="1">
        <f>R647</f>
        <v>400</v>
      </c>
      <c r="AJ647" s="1">
        <f>P647</f>
        <v>1238462</v>
      </c>
    </row>
    <row r="648" spans="1:36" x14ac:dyDescent="0.25">
      <c r="A648" t="s">
        <v>105</v>
      </c>
      <c r="B648">
        <v>2020</v>
      </c>
      <c r="C648" s="1">
        <v>3193245</v>
      </c>
      <c r="D648" s="1">
        <v>34457</v>
      </c>
      <c r="E648" s="1">
        <v>2280</v>
      </c>
      <c r="G648" s="1">
        <v>14729692</v>
      </c>
      <c r="H648" s="1">
        <v>2170393</v>
      </c>
      <c r="I648" s="1">
        <v>944985</v>
      </c>
      <c r="J648" s="1">
        <f>2811219+K648</f>
        <v>3678553</v>
      </c>
      <c r="K648" s="1">
        <v>867334</v>
      </c>
      <c r="L648" s="1">
        <f>37279+M648</f>
        <v>125161</v>
      </c>
      <c r="M648" s="1">
        <v>87882</v>
      </c>
      <c r="N648" s="1">
        <v>10020227</v>
      </c>
      <c r="O648" s="1">
        <v>11051137</v>
      </c>
      <c r="P648" s="1">
        <v>1223001</v>
      </c>
      <c r="Q648" s="1">
        <v>233944</v>
      </c>
      <c r="R648" s="1">
        <v>352.4</v>
      </c>
      <c r="T648">
        <f>E648/G648</f>
        <v>1.5478938731373337E-4</v>
      </c>
      <c r="U648">
        <f>D648/C648</f>
        <v>1.0790590762688112E-2</v>
      </c>
      <c r="V648">
        <f>(E648-F648)/O648</f>
        <v>2.0631361279839351E-4</v>
      </c>
      <c r="W648">
        <f>H648/K648</f>
        <v>2.5023727883375955</v>
      </c>
      <c r="X648">
        <f>(H648-I648)/K648</f>
        <v>1.4128444174908397</v>
      </c>
      <c r="Y648">
        <f>(H648-K648)/G648</f>
        <v>8.8464782563002678E-2</v>
      </c>
      <c r="Z648">
        <f>J648/N648</f>
        <v>0.36711274105866065</v>
      </c>
      <c r="AA648">
        <f>J648/G648</f>
        <v>0.24973726538205959</v>
      </c>
      <c r="AB648">
        <f>C648/G648</f>
        <v>0.21678966539150987</v>
      </c>
      <c r="AC648">
        <f>C648/(G648-K648)</f>
        <v>0.23035366710338889</v>
      </c>
      <c r="AD648">
        <f>Q648/E648</f>
        <v>102.60701754385966</v>
      </c>
      <c r="AE648">
        <f>Q648/J648</f>
        <v>6.3596745785639078E-2</v>
      </c>
      <c r="AF648">
        <f>Q648/G648</f>
        <v>1.5882477379703528E-2</v>
      </c>
      <c r="AG648">
        <f>Q648/K648</f>
        <v>0.2697276942907807</v>
      </c>
      <c r="AH648">
        <f>Q648/L648</f>
        <v>1.8691445418301229</v>
      </c>
      <c r="AI648" s="1">
        <f>R648</f>
        <v>352.4</v>
      </c>
      <c r="AJ648" s="1">
        <f>P648</f>
        <v>1223001</v>
      </c>
    </row>
    <row r="649" spans="1:36" x14ac:dyDescent="0.25">
      <c r="A649" t="s">
        <v>105</v>
      </c>
      <c r="B649">
        <v>2021</v>
      </c>
      <c r="C649" s="1">
        <v>4036200</v>
      </c>
      <c r="D649" s="1">
        <v>485160</v>
      </c>
      <c r="E649" s="1">
        <v>389567</v>
      </c>
      <c r="G649" s="1">
        <v>15258788</v>
      </c>
      <c r="H649" s="1">
        <v>2739052</v>
      </c>
      <c r="I649" s="1">
        <v>821319</v>
      </c>
      <c r="J649" s="1">
        <v>3821617</v>
      </c>
      <c r="K649" s="1">
        <v>989149</v>
      </c>
      <c r="L649" s="1">
        <f>174320+M649</f>
        <v>269657</v>
      </c>
      <c r="M649" s="1">
        <v>95337</v>
      </c>
      <c r="N649" s="1">
        <v>10349792</v>
      </c>
      <c r="O649" s="1">
        <v>11437171</v>
      </c>
      <c r="P649" s="1">
        <v>1552565</v>
      </c>
      <c r="Q649" s="1">
        <v>516423</v>
      </c>
      <c r="R649" s="1">
        <v>581</v>
      </c>
      <c r="T649">
        <f>E649/G649</f>
        <v>2.5530664689751244E-2</v>
      </c>
      <c r="U649">
        <f>D649/C649</f>
        <v>0.12020217035825777</v>
      </c>
      <c r="V649">
        <f>(E649-F649)/O649</f>
        <v>3.4061482511715528E-2</v>
      </c>
      <c r="W649">
        <f>H649/K649</f>
        <v>2.7690994986599593</v>
      </c>
      <c r="X649">
        <f>(H649-I649)/K649</f>
        <v>1.9387705997781932</v>
      </c>
      <c r="Y649">
        <f>(H649-K649)/G649</f>
        <v>0.11468165099351273</v>
      </c>
      <c r="Z649">
        <f>J649/N649</f>
        <v>0.3692457780794049</v>
      </c>
      <c r="AA649">
        <f>J649/G649</f>
        <v>0.25045350915157877</v>
      </c>
      <c r="AB649">
        <f>C649/G649</f>
        <v>0.26451642161880745</v>
      </c>
      <c r="AC649">
        <f>C649/(G649-K649)</f>
        <v>0.28285228519095684</v>
      </c>
      <c r="AD649">
        <f>Q649/E649</f>
        <v>1.3256333313653363</v>
      </c>
      <c r="AE649">
        <f>Q649/J649</f>
        <v>0.13513206582449261</v>
      </c>
      <c r="AF649">
        <f>Q649/G649</f>
        <v>3.3844300084646305E-2</v>
      </c>
      <c r="AG649">
        <f>Q649/K649</f>
        <v>0.5220881788284677</v>
      </c>
      <c r="AH649">
        <f>Q649/L649</f>
        <v>1.9151106776386297</v>
      </c>
      <c r="AI649" s="1">
        <f>R649</f>
        <v>581</v>
      </c>
      <c r="AJ649" s="1">
        <f>P649</f>
        <v>1552565</v>
      </c>
    </row>
    <row r="650" spans="1:36" x14ac:dyDescent="0.25">
      <c r="A650" t="s">
        <v>105</v>
      </c>
      <c r="B650">
        <v>2022</v>
      </c>
      <c r="C650" s="1">
        <v>4390974</v>
      </c>
      <c r="D650" s="1">
        <v>716403</v>
      </c>
      <c r="E650" s="1">
        <v>634010</v>
      </c>
      <c r="G650" s="1">
        <v>15896989</v>
      </c>
      <c r="H650" s="1">
        <v>3321713</v>
      </c>
      <c r="I650" s="1">
        <v>1162365</v>
      </c>
      <c r="J650" s="1">
        <v>3887076</v>
      </c>
      <c r="K650" s="1">
        <v>1105235</v>
      </c>
      <c r="L650" s="1">
        <f>122521+M650</f>
        <v>205456</v>
      </c>
      <c r="M650" s="1">
        <v>82935</v>
      </c>
      <c r="N650" s="1">
        <v>10836327</v>
      </c>
      <c r="O650" s="1">
        <v>12009912</v>
      </c>
      <c r="P650" s="1">
        <v>2039101</v>
      </c>
      <c r="Q650" s="1">
        <v>244705</v>
      </c>
      <c r="R650" s="1">
        <v>510</v>
      </c>
      <c r="T650">
        <f>E650/G650</f>
        <v>3.9882395339142528E-2</v>
      </c>
      <c r="U650">
        <f>D650/C650</f>
        <v>0.16315355089781902</v>
      </c>
      <c r="V650">
        <f>(E650-F650)/O650</f>
        <v>5.279056166273325E-2</v>
      </c>
      <c r="W650">
        <f>H650/K650</f>
        <v>3.0054359480110566</v>
      </c>
      <c r="X650">
        <f>(H650-I650)/K650</f>
        <v>1.9537455835184372</v>
      </c>
      <c r="Y650">
        <f>(H650-K650)/G650</f>
        <v>0.13942753561696494</v>
      </c>
      <c r="Z650">
        <f>J650/N650</f>
        <v>0.35870789059798586</v>
      </c>
      <c r="AA650">
        <f>J650/G650</f>
        <v>0.24451649302896292</v>
      </c>
      <c r="AB650">
        <f>C650/G650</f>
        <v>0.27621419376965034</v>
      </c>
      <c r="AC650">
        <f>C650/(G650-K650)</f>
        <v>0.29685282759569959</v>
      </c>
      <c r="AD650">
        <f>Q650/E650</f>
        <v>0.38596394378637561</v>
      </c>
      <c r="AE650">
        <f>Q650/J650</f>
        <v>6.2953489975498295E-2</v>
      </c>
      <c r="AF650">
        <f>Q650/G650</f>
        <v>1.5393166592742815E-2</v>
      </c>
      <c r="AG650">
        <f>Q650/K650</f>
        <v>0.22140540247096771</v>
      </c>
      <c r="AH650">
        <f>Q650/L650</f>
        <v>1.1910336033019235</v>
      </c>
      <c r="AI650" s="1">
        <f>R650</f>
        <v>510</v>
      </c>
      <c r="AJ650" s="1">
        <f>P650</f>
        <v>2039101</v>
      </c>
    </row>
    <row r="651" spans="1:36" x14ac:dyDescent="0.25">
      <c r="A651" t="s">
        <v>105</v>
      </c>
      <c r="B651">
        <v>2023</v>
      </c>
      <c r="C651" s="1">
        <v>5896028</v>
      </c>
      <c r="D651" s="1">
        <v>483455</v>
      </c>
      <c r="E651" s="1">
        <v>459952</v>
      </c>
      <c r="G651" s="1">
        <v>18219665</v>
      </c>
      <c r="H651" s="1">
        <v>3708914</v>
      </c>
      <c r="I651" s="1">
        <v>1559731</v>
      </c>
      <c r="J651" s="1">
        <v>5639666</v>
      </c>
      <c r="K651" s="1">
        <v>1334984</v>
      </c>
      <c r="L651" s="1">
        <f>281468+M651</f>
        <v>403095</v>
      </c>
      <c r="M651" s="1">
        <v>121627</v>
      </c>
      <c r="N651" s="1">
        <v>11155004</v>
      </c>
      <c r="O651" s="1">
        <v>12579999</v>
      </c>
      <c r="P651" s="1">
        <v>2370040</v>
      </c>
      <c r="Q651" s="1">
        <v>-325900</v>
      </c>
      <c r="R651" s="1">
        <v>710</v>
      </c>
      <c r="T651">
        <f>E651/G651</f>
        <v>2.5244811032475077E-2</v>
      </c>
      <c r="U651">
        <f>D651/C651</f>
        <v>8.1996727288269317E-2</v>
      </c>
      <c r="V651">
        <f>(E651-F651)/O651</f>
        <v>3.6562165068534581E-2</v>
      </c>
      <c r="W651">
        <f>H651/K651</f>
        <v>2.7782460314131106</v>
      </c>
      <c r="X651">
        <f>(H651-I651)/K651</f>
        <v>1.6098942009791877</v>
      </c>
      <c r="Y651">
        <f>(H651-K651)/G651</f>
        <v>0.13029493132832026</v>
      </c>
      <c r="Z651">
        <f>J651/N651</f>
        <v>0.50557274564849997</v>
      </c>
      <c r="AA651">
        <f>J651/G651</f>
        <v>0.30953730488458486</v>
      </c>
      <c r="AB651">
        <f>C651/G651</f>
        <v>0.32360792583178671</v>
      </c>
      <c r="AC651">
        <f>C651/(G651-K651)</f>
        <v>0.34919392317805709</v>
      </c>
      <c r="AD651">
        <f>Q651/E651</f>
        <v>-0.70855219675096537</v>
      </c>
      <c r="AE651">
        <f>Q651/J651</f>
        <v>-5.7787110087725052E-2</v>
      </c>
      <c r="AF651">
        <f>Q651/G651</f>
        <v>-1.788726631362322E-2</v>
      </c>
      <c r="AG651">
        <f>Q651/K651</f>
        <v>-0.2441227760033079</v>
      </c>
      <c r="AH651">
        <f>Q651/L651</f>
        <v>-0.80849427554298614</v>
      </c>
      <c r="AI651" s="1">
        <f>R651</f>
        <v>710</v>
      </c>
      <c r="AJ651" s="1">
        <f>P651</f>
        <v>2370040</v>
      </c>
    </row>
    <row r="652" spans="1:36" s="8" customFormat="1" x14ac:dyDescent="0.25">
      <c r="A652" s="8" t="s">
        <v>105</v>
      </c>
      <c r="B652" s="8">
        <v>2024</v>
      </c>
      <c r="C652" s="9">
        <v>5694918</v>
      </c>
      <c r="D652" s="9">
        <v>25932</v>
      </c>
      <c r="E652" s="9">
        <v>-37456</v>
      </c>
      <c r="F652" s="9"/>
      <c r="G652" s="9">
        <v>18419203</v>
      </c>
      <c r="H652" s="9">
        <v>3978441</v>
      </c>
      <c r="I652" s="9">
        <v>1663630</v>
      </c>
      <c r="J652" s="9">
        <v>5903349</v>
      </c>
      <c r="K652" s="9">
        <v>1648877</v>
      </c>
      <c r="L652" s="9">
        <f>353935+M652</f>
        <v>436547</v>
      </c>
      <c r="M652" s="9">
        <v>82612</v>
      </c>
      <c r="N652" s="9">
        <v>11113637</v>
      </c>
      <c r="O652" s="9">
        <v>12515854</v>
      </c>
      <c r="P652" s="9">
        <v>2328674</v>
      </c>
      <c r="Q652" s="9">
        <v>-280449</v>
      </c>
      <c r="R652" s="9">
        <v>590</v>
      </c>
      <c r="T652" s="8">
        <f>E652/G652</f>
        <v>-2.0335298981177417E-3</v>
      </c>
      <c r="U652" s="8">
        <f>D652/C652</f>
        <v>4.5535335188320531E-3</v>
      </c>
      <c r="V652" s="8">
        <f>(E652-F652)/O652</f>
        <v>-2.9926843186250016E-3</v>
      </c>
      <c r="W652" s="8">
        <f>H652/K652</f>
        <v>2.4128185425595725</v>
      </c>
      <c r="X652" s="8">
        <f>(H652-I652)/K652</f>
        <v>1.4038712408505911</v>
      </c>
      <c r="Y652" s="8">
        <f>(H652-K652)/G652</f>
        <v>0.12647474486273919</v>
      </c>
      <c r="Z652" s="8">
        <f>J652/N652</f>
        <v>0.53118065670131209</v>
      </c>
      <c r="AA652" s="8">
        <f>J652/G652</f>
        <v>0.32049969805968259</v>
      </c>
      <c r="AB652" s="8">
        <f>C652/G652</f>
        <v>0.30918373612582478</v>
      </c>
      <c r="AC652" s="8">
        <f>C652/(G652-K652)</f>
        <v>0.33958302301338689</v>
      </c>
      <c r="AD652" s="8">
        <f>Q652/E652</f>
        <v>7.4874252456215293</v>
      </c>
      <c r="AE652" s="8">
        <f>Q652/J652</f>
        <v>-4.750676268673934E-2</v>
      </c>
      <c r="AF652" s="8">
        <f>Q652/G652</f>
        <v>-1.5225903096892954E-2</v>
      </c>
      <c r="AG652" s="8">
        <f>Q652/K652</f>
        <v>-0.1700848516899684</v>
      </c>
      <c r="AH652" s="8">
        <f>Q652/L652</f>
        <v>-0.64242567237891912</v>
      </c>
      <c r="AI652" s="9">
        <f>R652</f>
        <v>590</v>
      </c>
      <c r="AJ652" s="9">
        <f>P652</f>
        <v>2328674</v>
      </c>
    </row>
    <row r="653" spans="1:36" x14ac:dyDescent="0.25">
      <c r="A653" s="15" t="s">
        <v>106</v>
      </c>
      <c r="B653" s="15">
        <v>2018</v>
      </c>
      <c r="C653" s="6">
        <v>1274401.4669999999</v>
      </c>
      <c r="D653" s="6">
        <v>71161.603000000003</v>
      </c>
      <c r="E653" s="6">
        <v>44121.754000000001</v>
      </c>
      <c r="F653" s="6">
        <v>0</v>
      </c>
      <c r="G653" s="6">
        <v>1511572.3970000001</v>
      </c>
      <c r="H653" s="6">
        <v>1065539.1270000001</v>
      </c>
      <c r="I653" s="6">
        <v>88168.441999999995</v>
      </c>
      <c r="J653" s="6">
        <v>960515.28300000005</v>
      </c>
      <c r="K653" s="6">
        <v>900797.86</v>
      </c>
      <c r="L653" s="6">
        <f>(716971348+M653)/1000</f>
        <v>716982.20103</v>
      </c>
      <c r="M653" s="6">
        <v>10853.03</v>
      </c>
      <c r="N653" s="6">
        <v>551057.11399999994</v>
      </c>
      <c r="O653" s="6">
        <v>551057.11399999994</v>
      </c>
      <c r="P653" s="6">
        <v>-2056.277</v>
      </c>
      <c r="Q653" s="6">
        <v>-151118.25899999999</v>
      </c>
      <c r="R653" s="6">
        <v>6.4</v>
      </c>
      <c r="S653" s="15"/>
      <c r="T653" s="15">
        <f>E653/G653</f>
        <v>2.9189309150900032E-2</v>
      </c>
      <c r="U653" s="15">
        <f>D653/C653</f>
        <v>5.5839234999876225E-2</v>
      </c>
      <c r="V653" s="15">
        <f>(E653-F653)/O653</f>
        <v>8.0067479176033296E-2</v>
      </c>
      <c r="W653" s="15">
        <f>H653/K653</f>
        <v>1.1828837237690597</v>
      </c>
      <c r="X653" s="15">
        <f>(H653-I653)/K653</f>
        <v>1.0850055582947322</v>
      </c>
      <c r="Y653" s="15">
        <f>(H653-K653)/G653</f>
        <v>0.10898668653050304</v>
      </c>
      <c r="Z653" s="15">
        <f>J653/N653</f>
        <v>1.7430412539778957</v>
      </c>
      <c r="AA653" s="15">
        <f>J653/G653</f>
        <v>0.63544113725966644</v>
      </c>
      <c r="AB653" s="15">
        <f>C653/G653</f>
        <v>0.84309654603993134</v>
      </c>
      <c r="AC653" s="15">
        <f>C653/(G653-K653)</f>
        <v>2.0865333929269543</v>
      </c>
      <c r="AD653" s="15">
        <f>Q653/E653</f>
        <v>-3.4250283658260727</v>
      </c>
      <c r="AE653" s="15">
        <f>Q653/J653</f>
        <v>-0.15733040553816985</v>
      </c>
      <c r="AF653" s="15">
        <f>Q653/G653</f>
        <v>-9.9974211820699169E-2</v>
      </c>
      <c r="AG653" s="15">
        <f>Q653/K653</f>
        <v>-0.16776045515916299</v>
      </c>
      <c r="AH653" s="15">
        <f>Q653/L653</f>
        <v>-0.21076988910311442</v>
      </c>
      <c r="AI653" s="6">
        <f>R653</f>
        <v>6.4</v>
      </c>
      <c r="AJ653" s="6">
        <f>P653</f>
        <v>-2056.277</v>
      </c>
    </row>
    <row r="654" spans="1:36" x14ac:dyDescent="0.25">
      <c r="A654" t="s">
        <v>106</v>
      </c>
      <c r="B654">
        <v>2019</v>
      </c>
      <c r="C654" s="1">
        <v>1096941.6410000001</v>
      </c>
      <c r="D654" s="1">
        <v>-302492.09999999998</v>
      </c>
      <c r="E654" s="1">
        <v>-366994.103</v>
      </c>
      <c r="F654" s="1">
        <v>0</v>
      </c>
      <c r="G654" s="1">
        <v>1070349.9790000001</v>
      </c>
      <c r="H654" s="1">
        <v>640854.78599999996</v>
      </c>
      <c r="I654" s="1">
        <v>95718.528000000006</v>
      </c>
      <c r="J654" s="1">
        <v>1010001.5919999999</v>
      </c>
      <c r="K654" s="1">
        <v>842455.42099999997</v>
      </c>
      <c r="L654" s="1">
        <f>(724822057+M654)/1000</f>
        <v>724952.31976500002</v>
      </c>
      <c r="M654" s="1">
        <v>130262.765</v>
      </c>
      <c r="N654" s="1">
        <v>60348.387000000002</v>
      </c>
      <c r="O654" s="1">
        <v>60348.387000000002</v>
      </c>
      <c r="P654" s="1">
        <v>-511122.24</v>
      </c>
      <c r="Q654" s="1">
        <v>-123008.14200000001</v>
      </c>
      <c r="R654" s="1">
        <v>2.9</v>
      </c>
      <c r="T654">
        <f>E654/G654</f>
        <v>-0.34287299500194596</v>
      </c>
      <c r="U654">
        <f>D654/C654</f>
        <v>-0.27575951964430889</v>
      </c>
      <c r="V654">
        <f>(E654-F654)/O654</f>
        <v>-6.0812578636111683</v>
      </c>
      <c r="W654">
        <f>H654/K654</f>
        <v>0.76069875037340406</v>
      </c>
      <c r="X654">
        <f>(H654-I654)/K654</f>
        <v>0.64708024236216521</v>
      </c>
      <c r="Y654">
        <f>(H654-K654)/G654</f>
        <v>-0.18835020222857407</v>
      </c>
      <c r="Z654">
        <f>J654/N654</f>
        <v>16.736182062330844</v>
      </c>
      <c r="AA654">
        <f>J654/G654</f>
        <v>0.9436180798953423</v>
      </c>
      <c r="AB654">
        <f>C654/G654</f>
        <v>1.0248438945407781</v>
      </c>
      <c r="AC654">
        <f>C654/(G654-K654)</f>
        <v>4.8133735646289528</v>
      </c>
      <c r="AD654">
        <f>Q654/E654</f>
        <v>0.33517743471752737</v>
      </c>
      <c r="AE654">
        <f>Q654/J654</f>
        <v>-0.12179004763390514</v>
      </c>
      <c r="AF654">
        <f>Q654/G654</f>
        <v>-0.11492329089866783</v>
      </c>
      <c r="AG654">
        <f>Q654/K654</f>
        <v>-0.14601145524589129</v>
      </c>
      <c r="AH654">
        <f>Q654/L654</f>
        <v>-0.16967756174623214</v>
      </c>
      <c r="AI654" s="1">
        <f>R654</f>
        <v>2.9</v>
      </c>
      <c r="AJ654" s="1">
        <f>P654</f>
        <v>-511122.24</v>
      </c>
    </row>
    <row r="655" spans="1:36" x14ac:dyDescent="0.25">
      <c r="A655" t="s">
        <v>106</v>
      </c>
      <c r="B655">
        <v>2020</v>
      </c>
      <c r="C655" s="1">
        <v>850380.04099999997</v>
      </c>
      <c r="D655" s="1">
        <v>-25956.710999999999</v>
      </c>
      <c r="E655" s="1">
        <v>-125628.255</v>
      </c>
      <c r="F655" s="1">
        <v>0</v>
      </c>
      <c r="G655" s="1">
        <v>890241.53599999996</v>
      </c>
      <c r="H655" s="1">
        <v>465711.01400000002</v>
      </c>
      <c r="I655" s="1">
        <v>112854.431</v>
      </c>
      <c r="J655" s="1">
        <v>953126.022</v>
      </c>
      <c r="K655" s="1">
        <v>660731.27500000002</v>
      </c>
      <c r="L655" s="1">
        <f>(515674913+M655)/1000</f>
        <v>515937.86896600004</v>
      </c>
      <c r="M655" s="1">
        <v>262955.96600000001</v>
      </c>
      <c r="N655" s="1">
        <v>-62884.485999999997</v>
      </c>
      <c r="O655" s="1">
        <v>-62884.485999999997</v>
      </c>
      <c r="P655" s="1">
        <v>-634355.11300000001</v>
      </c>
      <c r="Q655" s="1">
        <v>27949.302</v>
      </c>
      <c r="R655" s="1">
        <v>1.9</v>
      </c>
      <c r="S655" s="14"/>
      <c r="T655">
        <f>E655/G655</f>
        <v>-0.14111704511616946</v>
      </c>
      <c r="U655">
        <f>D655/C655</f>
        <v>-3.052365971510378E-2</v>
      </c>
      <c r="V655">
        <f>(E655-F655)/O655</f>
        <v>1.9977622938668849</v>
      </c>
      <c r="W655">
        <f>H655/K655</f>
        <v>0.70484178912221163</v>
      </c>
      <c r="X655">
        <f>(H655-I655)/K655</f>
        <v>0.53403947467145407</v>
      </c>
      <c r="Y655">
        <f>(H655-K655)/G655</f>
        <v>-0.21906443713720408</v>
      </c>
      <c r="Z655">
        <f>J655/N655</f>
        <v>-15.156775265683176</v>
      </c>
      <c r="AA655">
        <f>J655/G655</f>
        <v>1.0706375556037862</v>
      </c>
      <c r="AB655">
        <f>C655/G655</f>
        <v>0.95522395508627445</v>
      </c>
      <c r="AC655">
        <f>C655/(G655-K655)</f>
        <v>3.7051939956619204</v>
      </c>
      <c r="AD655">
        <f>Q655/E655</f>
        <v>-0.22247624151111547</v>
      </c>
      <c r="AE655">
        <f>Q655/J655</f>
        <v>2.9323826393232184E-2</v>
      </c>
      <c r="AF655">
        <f>Q655/G655</f>
        <v>3.1395189810599897E-2</v>
      </c>
      <c r="AG655">
        <f>Q655/K655</f>
        <v>4.2300558574285739E-2</v>
      </c>
      <c r="AH655">
        <f>Q655/L655</f>
        <v>5.4171836729127246E-2</v>
      </c>
      <c r="AI655" s="1">
        <f>R655</f>
        <v>1.9</v>
      </c>
      <c r="AJ655" s="1">
        <f>P655</f>
        <v>-634355.11300000001</v>
      </c>
    </row>
    <row r="656" spans="1:36" x14ac:dyDescent="0.25">
      <c r="A656" t="s">
        <v>106</v>
      </c>
      <c r="B656">
        <v>2021</v>
      </c>
      <c r="C656" s="1">
        <v>1164440.585</v>
      </c>
      <c r="D656" s="1">
        <v>164603.70800000001</v>
      </c>
      <c r="E656" s="1">
        <v>78590.107000000004</v>
      </c>
      <c r="F656" s="1">
        <v>0</v>
      </c>
      <c r="G656" s="1">
        <v>1285775.659</v>
      </c>
      <c r="H656" s="1">
        <v>613240.40300000005</v>
      </c>
      <c r="I656" s="1">
        <v>154790.22200000001</v>
      </c>
      <c r="J656" s="1">
        <v>1269997.014</v>
      </c>
      <c r="K656" s="1">
        <v>1006969.906</v>
      </c>
      <c r="L656" s="1">
        <f>(696369563+M656)/1000</f>
        <v>696616.10347700003</v>
      </c>
      <c r="M656" s="1">
        <v>246540.47700000001</v>
      </c>
      <c r="N656" s="1">
        <v>15778.645</v>
      </c>
      <c r="O656" s="1">
        <v>15778.645</v>
      </c>
      <c r="P656" s="1">
        <v>-555691.98199999996</v>
      </c>
      <c r="Q656" s="1">
        <v>249120.361</v>
      </c>
      <c r="R656" s="1">
        <v>5</v>
      </c>
      <c r="T656">
        <f>E656/G656</f>
        <v>6.1122721098268981E-2</v>
      </c>
      <c r="U656">
        <f>D656/C656</f>
        <v>0.14135861470338568</v>
      </c>
      <c r="V656">
        <f>(E656-F656)/O656</f>
        <v>4.9807893516838737</v>
      </c>
      <c r="W656">
        <f>H656/K656</f>
        <v>0.60899575979979692</v>
      </c>
      <c r="X656">
        <f>(H656-I656)/K656</f>
        <v>0.45527694349983888</v>
      </c>
      <c r="Y656">
        <f>(H656-K656)/G656</f>
        <v>-0.30621944057194189</v>
      </c>
      <c r="Z656">
        <f>J656/N656</f>
        <v>80.488344468108636</v>
      </c>
      <c r="AA656">
        <f>J656/G656</f>
        <v>0.98772830634212527</v>
      </c>
      <c r="AB656">
        <f>C656/G656</f>
        <v>0.90563278037603601</v>
      </c>
      <c r="AC656">
        <f>C656/(G656-K656)</f>
        <v>4.1765299764097756</v>
      </c>
      <c r="AD656">
        <f>Q656/E656</f>
        <v>3.1698692177629941</v>
      </c>
      <c r="AE656">
        <f>Q656/J656</f>
        <v>0.19615822577044265</v>
      </c>
      <c r="AF656">
        <f>Q656/G656</f>
        <v>0.19375103211531555</v>
      </c>
      <c r="AG656">
        <f>Q656/K656</f>
        <v>0.24739603389895151</v>
      </c>
      <c r="AH656">
        <f>Q656/L656</f>
        <v>0.35761499017403225</v>
      </c>
      <c r="AI656" s="1">
        <f>R656</f>
        <v>5</v>
      </c>
      <c r="AJ656" s="1">
        <f>P656</f>
        <v>-555691.98199999996</v>
      </c>
    </row>
    <row r="657" spans="1:36" x14ac:dyDescent="0.25">
      <c r="A657" t="s">
        <v>106</v>
      </c>
      <c r="B657">
        <v>2022</v>
      </c>
      <c r="C657" s="1">
        <v>1261234.4809999999</v>
      </c>
      <c r="D657" s="1">
        <v>-192450.655</v>
      </c>
      <c r="E657" s="1">
        <v>-229045.291</v>
      </c>
      <c r="F657" s="1">
        <v>0</v>
      </c>
      <c r="G657" s="1">
        <v>1220554.4269999999</v>
      </c>
      <c r="H657" s="1">
        <v>787908.51500000001</v>
      </c>
      <c r="I657" s="1">
        <v>166504.06099999999</v>
      </c>
      <c r="J657" s="1">
        <v>1397432.706</v>
      </c>
      <c r="K657" s="1">
        <v>844603.71200000006</v>
      </c>
      <c r="L657" s="1">
        <f>(270202758+M657)/1000</f>
        <v>270739.598</v>
      </c>
      <c r="M657" s="1">
        <v>536840</v>
      </c>
      <c r="N657" s="1">
        <v>-176878.27900000001</v>
      </c>
      <c r="O657" s="1">
        <v>-176878.27900000001</v>
      </c>
      <c r="P657" s="1">
        <v>-527436.93799999997</v>
      </c>
      <c r="Q657" s="1">
        <v>-213580.465</v>
      </c>
      <c r="R657" s="1">
        <v>4.0999999999999996</v>
      </c>
      <c r="S657" s="14"/>
      <c r="T657">
        <f>E657/G657</f>
        <v>-0.18765676149565103</v>
      </c>
      <c r="U657">
        <f>D657/C657</f>
        <v>-0.15258911637700462</v>
      </c>
      <c r="V657">
        <f>(E657-F657)/O657</f>
        <v>1.2949317027219605</v>
      </c>
      <c r="W657">
        <f>H657/K657</f>
        <v>0.93287361138190206</v>
      </c>
      <c r="X657">
        <f>(H657-I657)/K657</f>
        <v>0.735734931271531</v>
      </c>
      <c r="Y657">
        <f>(H657-K657)/G657</f>
        <v>-4.6450363659202923E-2</v>
      </c>
      <c r="Z657">
        <f>J657/N657</f>
        <v>-7.9005331457346433</v>
      </c>
      <c r="AA657">
        <f>J657/G657</f>
        <v>1.14491633890899</v>
      </c>
      <c r="AB657">
        <f>C657/G657</f>
        <v>1.0333291601751735</v>
      </c>
      <c r="AC657">
        <f>C657/(G657-K657)</f>
        <v>3.3547867597485497</v>
      </c>
      <c r="AD657">
        <f>Q657/E657</f>
        <v>0.93248136238696999</v>
      </c>
      <c r="AE657">
        <f>Q657/J657</f>
        <v>-0.15283774602023661</v>
      </c>
      <c r="AF657">
        <f>Q657/G657</f>
        <v>-0.17498643262059138</v>
      </c>
      <c r="AG657">
        <f>Q657/K657</f>
        <v>-0.25287654075571953</v>
      </c>
      <c r="AH657">
        <f>Q657/L657</f>
        <v>-0.78887782421838415</v>
      </c>
      <c r="AI657" s="1">
        <f>R657</f>
        <v>4.0999999999999996</v>
      </c>
      <c r="AJ657" s="1">
        <f>P657</f>
        <v>-527436.93799999997</v>
      </c>
    </row>
    <row r="658" spans="1:36" x14ac:dyDescent="0.25">
      <c r="A658" t="s">
        <v>106</v>
      </c>
      <c r="B658">
        <v>2023</v>
      </c>
      <c r="C658" s="1">
        <v>2353909.14</v>
      </c>
      <c r="D658" s="1">
        <v>80178.327999999994</v>
      </c>
      <c r="E658" s="1">
        <v>-45617.055999999997</v>
      </c>
      <c r="F658" s="1">
        <v>0</v>
      </c>
      <c r="G658" s="1">
        <v>1445723.827</v>
      </c>
      <c r="H658" s="1">
        <v>882840.72699999996</v>
      </c>
      <c r="I658" s="1">
        <v>460443.48300000001</v>
      </c>
      <c r="J658" s="1">
        <v>1420791.368</v>
      </c>
      <c r="K658" s="1">
        <v>920522.07799999998</v>
      </c>
      <c r="L658" s="1">
        <f>(486119259+M658)/1000</f>
        <v>486603.179779</v>
      </c>
      <c r="M658" s="1">
        <v>483920.77899999998</v>
      </c>
      <c r="N658" s="1">
        <v>24932.458999999999</v>
      </c>
      <c r="O658" s="1">
        <v>24932.458999999999</v>
      </c>
      <c r="P658" s="1">
        <v>-573046.32200000004</v>
      </c>
      <c r="Q658" s="1">
        <v>-662278.98400000005</v>
      </c>
      <c r="R658" s="1">
        <v>4.2</v>
      </c>
      <c r="T658">
        <f>E658/G658</f>
        <v>-3.1553091363693761E-2</v>
      </c>
      <c r="U658">
        <f>D658/C658</f>
        <v>3.4061776912935555E-2</v>
      </c>
      <c r="V658">
        <f>(E658-F658)/O658</f>
        <v>-1.8296252287028727</v>
      </c>
      <c r="W658">
        <f>H658/K658</f>
        <v>0.95906523928044229</v>
      </c>
      <c r="X658">
        <f>(H658-I658)/K658</f>
        <v>0.4588670430564078</v>
      </c>
      <c r="Y658">
        <f>(H658-K658)/G658</f>
        <v>-2.606400357818826E-2</v>
      </c>
      <c r="Z658">
        <f>J658/N658</f>
        <v>56.985609321567523</v>
      </c>
      <c r="AA658">
        <f>J658/G658</f>
        <v>0.98275434178065879</v>
      </c>
      <c r="AB658">
        <f>C658/G658</f>
        <v>1.6281872761857719</v>
      </c>
      <c r="AC658">
        <f>C658/(G658-K658)</f>
        <v>4.4819141301069809</v>
      </c>
      <c r="AD658">
        <f>Q658/E658</f>
        <v>14.518231601793858</v>
      </c>
      <c r="AE658">
        <f>Q658/J658</f>
        <v>-0.46613387363991926</v>
      </c>
      <c r="AF658">
        <f>Q658/G658</f>
        <v>-0.45809508817066763</v>
      </c>
      <c r="AG658">
        <f>Q658/K658</f>
        <v>-0.71946018441938997</v>
      </c>
      <c r="AH658">
        <f>Q658/L658</f>
        <v>-1.3610247764940346</v>
      </c>
      <c r="AI658" s="1">
        <f>R658</f>
        <v>4.2</v>
      </c>
      <c r="AJ658" s="1">
        <f>P658</f>
        <v>-573046.32200000004</v>
      </c>
    </row>
    <row r="659" spans="1:36" s="8" customFormat="1" x14ac:dyDescent="0.25">
      <c r="A659" s="8" t="s">
        <v>106</v>
      </c>
      <c r="B659" s="8">
        <v>2024</v>
      </c>
      <c r="C659" s="9">
        <v>1842864.051</v>
      </c>
      <c r="D659" s="9">
        <v>-87581.524999999994</v>
      </c>
      <c r="E659" s="9">
        <v>-326229.96399999998</v>
      </c>
      <c r="F659" s="9">
        <v>0</v>
      </c>
      <c r="G659" s="9">
        <v>1355539.933</v>
      </c>
      <c r="H659" s="9">
        <v>792515.50600000005</v>
      </c>
      <c r="I659" s="9">
        <v>400758.99699999997</v>
      </c>
      <c r="J659" s="9">
        <v>1658465.1629999999</v>
      </c>
      <c r="K659" s="9">
        <v>1276070.27</v>
      </c>
      <c r="L659" s="9">
        <f>(487914358+M659)/1000</f>
        <v>488280.21472300001</v>
      </c>
      <c r="M659" s="9">
        <v>365856.723</v>
      </c>
      <c r="N659" s="9">
        <v>-302925.23</v>
      </c>
      <c r="O659" s="9">
        <v>-302925.23</v>
      </c>
      <c r="P659" s="9">
        <v>-900904.01100000006</v>
      </c>
      <c r="Q659" s="9">
        <v>226305.361</v>
      </c>
      <c r="R659" s="9">
        <v>3.7</v>
      </c>
      <c r="S659" s="18"/>
      <c r="T659" s="8">
        <f>E659/G659</f>
        <v>-0.24066422246816979</v>
      </c>
      <c r="U659" s="8">
        <f>D659/C659</f>
        <v>-4.7524680375893878E-2</v>
      </c>
      <c r="V659" s="8">
        <f>(E659-F659)/O659</f>
        <v>1.0769322977818652</v>
      </c>
      <c r="W659" s="8">
        <f>H659/K659</f>
        <v>0.62105945466467138</v>
      </c>
      <c r="X659" s="8">
        <f>(H659-I659)/K659</f>
        <v>0.30700230089993402</v>
      </c>
      <c r="Y659" s="8">
        <f>(H659-K659)/G659</f>
        <v>-0.35672483873627053</v>
      </c>
      <c r="Z659" s="8">
        <f>J659/N659</f>
        <v>-5.4748333871034776</v>
      </c>
      <c r="AA659" s="8">
        <f>J659/G659</f>
        <v>1.2234720074454641</v>
      </c>
      <c r="AB659" s="8">
        <f>C659/G659</f>
        <v>1.3595055417670237</v>
      </c>
      <c r="AC659" s="8">
        <f>C659/(G659-K659)</f>
        <v>23.189528952702382</v>
      </c>
      <c r="AD659" s="8">
        <f>Q659/E659</f>
        <v>-0.69369888107519151</v>
      </c>
      <c r="AE659" s="8">
        <f>Q659/J659</f>
        <v>0.13645469681777092</v>
      </c>
      <c r="AF659" s="8">
        <f>Q659/G659</f>
        <v>0.16694850184100035</v>
      </c>
      <c r="AG659" s="8">
        <f>Q659/K659</f>
        <v>0.1773455320763801</v>
      </c>
      <c r="AH659" s="8">
        <f>Q659/L659</f>
        <v>0.46347436200826281</v>
      </c>
      <c r="AI659" s="9">
        <f>R659</f>
        <v>3.7</v>
      </c>
      <c r="AJ659" s="9">
        <f>P659</f>
        <v>-900904.01100000006</v>
      </c>
    </row>
    <row r="660" spans="1:36" x14ac:dyDescent="0.25">
      <c r="A660" s="15" t="s">
        <v>108</v>
      </c>
      <c r="B660" s="15">
        <v>2018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15"/>
      <c r="T660" s="15" t="e">
        <f>E660/G660</f>
        <v>#DIV/0!</v>
      </c>
      <c r="U660" s="15" t="e">
        <f>D660/C660</f>
        <v>#DIV/0!</v>
      </c>
      <c r="V660" s="15" t="e">
        <f>(E660-F660)/O660</f>
        <v>#DIV/0!</v>
      </c>
      <c r="W660" s="15" t="e">
        <f>H660/K660</f>
        <v>#DIV/0!</v>
      </c>
      <c r="X660" s="15" t="e">
        <f>(H660-I660)/K660</f>
        <v>#DIV/0!</v>
      </c>
      <c r="Y660" s="15" t="e">
        <f>(H660-K660)/G660</f>
        <v>#DIV/0!</v>
      </c>
      <c r="Z660" s="15" t="e">
        <f>J660/N660</f>
        <v>#DIV/0!</v>
      </c>
      <c r="AA660" s="15" t="e">
        <f>J660/G660</f>
        <v>#DIV/0!</v>
      </c>
      <c r="AB660" s="15" t="e">
        <f>C660/G660</f>
        <v>#DIV/0!</v>
      </c>
      <c r="AC660" s="15" t="e">
        <f>C660/(G660-K660)</f>
        <v>#DIV/0!</v>
      </c>
      <c r="AD660" s="15" t="e">
        <f>Q660/E660</f>
        <v>#DIV/0!</v>
      </c>
      <c r="AE660" s="15" t="e">
        <f>Q660/J660</f>
        <v>#DIV/0!</v>
      </c>
      <c r="AF660" s="15" t="e">
        <f>Q660/G660</f>
        <v>#DIV/0!</v>
      </c>
      <c r="AG660" s="15" t="e">
        <f>Q660/K660</f>
        <v>#DIV/0!</v>
      </c>
      <c r="AH660" s="15" t="e">
        <f>Q660/L660</f>
        <v>#DIV/0!</v>
      </c>
      <c r="AI660" s="6">
        <f>R660</f>
        <v>0</v>
      </c>
      <c r="AJ660" s="6">
        <f>P660</f>
        <v>0</v>
      </c>
    </row>
    <row r="661" spans="1:36" x14ac:dyDescent="0.25">
      <c r="A661" t="s">
        <v>108</v>
      </c>
      <c r="B661">
        <v>2019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T661" t="e">
        <f>E661/G661</f>
        <v>#DIV/0!</v>
      </c>
      <c r="U661" t="e">
        <f>D661/C661</f>
        <v>#DIV/0!</v>
      </c>
      <c r="V661" t="e">
        <f>(E661-F661)/O661</f>
        <v>#DIV/0!</v>
      </c>
      <c r="W661" t="e">
        <f>H661/K661</f>
        <v>#DIV/0!</v>
      </c>
      <c r="X661" t="e">
        <f>(H661-I661)/K661</f>
        <v>#DIV/0!</v>
      </c>
      <c r="Y661" t="e">
        <f>(H661-K661)/G661</f>
        <v>#DIV/0!</v>
      </c>
      <c r="Z661" t="e">
        <f>J661/N661</f>
        <v>#DIV/0!</v>
      </c>
      <c r="AA661" t="e">
        <f>J661/G661</f>
        <v>#DIV/0!</v>
      </c>
      <c r="AB661" t="e">
        <f>C661/G661</f>
        <v>#DIV/0!</v>
      </c>
      <c r="AC661" t="e">
        <f>C661/(G661-K661)</f>
        <v>#DIV/0!</v>
      </c>
      <c r="AD661" t="e">
        <f>Q661/E661</f>
        <v>#DIV/0!</v>
      </c>
      <c r="AE661" t="e">
        <f>Q661/J661</f>
        <v>#DIV/0!</v>
      </c>
      <c r="AF661" t="e">
        <f>Q661/G661</f>
        <v>#DIV/0!</v>
      </c>
      <c r="AG661" t="e">
        <f>Q661/K661</f>
        <v>#DIV/0!</v>
      </c>
      <c r="AH661" t="e">
        <f>Q661/L661</f>
        <v>#DIV/0!</v>
      </c>
      <c r="AI661" s="1">
        <f>R661</f>
        <v>0</v>
      </c>
      <c r="AJ661" s="1">
        <f>P661</f>
        <v>0</v>
      </c>
    </row>
    <row r="662" spans="1:36" x14ac:dyDescent="0.25">
      <c r="A662" t="s">
        <v>108</v>
      </c>
      <c r="B662">
        <v>2020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T662" t="e">
        <f>E662/G662</f>
        <v>#DIV/0!</v>
      </c>
      <c r="U662" t="e">
        <f>D662/C662</f>
        <v>#DIV/0!</v>
      </c>
      <c r="V662" t="e">
        <f>(E662-F662)/O662</f>
        <v>#DIV/0!</v>
      </c>
      <c r="W662" t="e">
        <f>H662/K662</f>
        <v>#DIV/0!</v>
      </c>
      <c r="X662" t="e">
        <f>(H662-I662)/K662</f>
        <v>#DIV/0!</v>
      </c>
      <c r="Y662" t="e">
        <f>(H662-K662)/G662</f>
        <v>#DIV/0!</v>
      </c>
      <c r="Z662" t="e">
        <f>J662/N662</f>
        <v>#DIV/0!</v>
      </c>
      <c r="AA662" t="e">
        <f>J662/G662</f>
        <v>#DIV/0!</v>
      </c>
      <c r="AB662" t="e">
        <f>C662/G662</f>
        <v>#DIV/0!</v>
      </c>
      <c r="AC662" t="e">
        <f>C662/(G662-K662)</f>
        <v>#DIV/0!</v>
      </c>
      <c r="AD662" t="e">
        <f>Q662/E662</f>
        <v>#DIV/0!</v>
      </c>
      <c r="AE662" t="e">
        <f>Q662/J662</f>
        <v>#DIV/0!</v>
      </c>
      <c r="AF662" t="e">
        <f>Q662/G662</f>
        <v>#DIV/0!</v>
      </c>
      <c r="AG662" t="e">
        <f>Q662/K662</f>
        <v>#DIV/0!</v>
      </c>
      <c r="AH662" t="e">
        <f>Q662/L662</f>
        <v>#DIV/0!</v>
      </c>
      <c r="AI662" s="1">
        <f>R662</f>
        <v>0</v>
      </c>
      <c r="AJ662" s="1">
        <f>P662</f>
        <v>0</v>
      </c>
    </row>
    <row r="663" spans="1:36" x14ac:dyDescent="0.25">
      <c r="A663" t="s">
        <v>108</v>
      </c>
      <c r="B663">
        <v>2021</v>
      </c>
      <c r="C663" s="1">
        <v>5359510.1900000004</v>
      </c>
      <c r="D663" s="1">
        <v>684866.42099999997</v>
      </c>
      <c r="E663" s="1">
        <v>600437.46299999999</v>
      </c>
      <c r="F663" s="1">
        <v>0</v>
      </c>
      <c r="G663" s="1">
        <v>7057791.551</v>
      </c>
      <c r="H663" s="1">
        <v>5278549.1749999998</v>
      </c>
      <c r="I663" s="1">
        <v>1562903.81</v>
      </c>
      <c r="J663" s="1">
        <v>1717226.13</v>
      </c>
      <c r="K663" s="1">
        <v>1630477.855</v>
      </c>
      <c r="L663" s="1">
        <v>532486.74399999995</v>
      </c>
      <c r="M663" s="1">
        <v>29439.735000000001</v>
      </c>
      <c r="N663" s="1">
        <v>5344934.8030000003</v>
      </c>
      <c r="O663" s="1">
        <v>5340565.4220000003</v>
      </c>
      <c r="P663" s="1">
        <v>4451031.4910000004</v>
      </c>
      <c r="Q663" s="1">
        <v>1022469.134</v>
      </c>
      <c r="T663">
        <f>E663/G663</f>
        <v>8.5074411543781786E-2</v>
      </c>
      <c r="U663">
        <f>D663/C663</f>
        <v>0.1277852633395217</v>
      </c>
      <c r="V663">
        <f>(E663-F663)/O663</f>
        <v>0.11242956794921928</v>
      </c>
      <c r="W663">
        <f>H663/K663</f>
        <v>3.2374246352459659</v>
      </c>
      <c r="X663">
        <f>(H663-I663)/K663</f>
        <v>2.2788689546476544</v>
      </c>
      <c r="Y663">
        <f>(H663-K663)/G663</f>
        <v>0.51688567077092473</v>
      </c>
      <c r="Z663">
        <f>J663/N663</f>
        <v>0.32128102461346331</v>
      </c>
      <c r="AA663">
        <f>J663/G663</f>
        <v>0.24330927282156564</v>
      </c>
      <c r="AB663">
        <f>C663/G663</f>
        <v>0.75937496188033859</v>
      </c>
      <c r="AC663">
        <f>C663/(G663-K663)</f>
        <v>0.98750698599751618</v>
      </c>
      <c r="AD663">
        <f>Q663/E663</f>
        <v>1.7028736496410117</v>
      </c>
      <c r="AE663">
        <f>Q663/J663</f>
        <v>0.59541904012373725</v>
      </c>
      <c r="AF663">
        <f>Q663/G663</f>
        <v>0.14487097367662113</v>
      </c>
      <c r="AG663">
        <f>Q663/K663</f>
        <v>0.62709783568326971</v>
      </c>
      <c r="AH663">
        <f>Q663/L663</f>
        <v>1.9201776298115696</v>
      </c>
      <c r="AI663" s="1">
        <f>R663</f>
        <v>0</v>
      </c>
      <c r="AJ663" s="1">
        <f>P663</f>
        <v>4451031.4910000004</v>
      </c>
    </row>
    <row r="664" spans="1:36" x14ac:dyDescent="0.25">
      <c r="A664" t="s">
        <v>108</v>
      </c>
      <c r="B664">
        <v>2022</v>
      </c>
      <c r="C664" s="1">
        <v>8896808.1180000007</v>
      </c>
      <c r="D664" s="1">
        <v>1186131.327</v>
      </c>
      <c r="E664" s="1">
        <v>1210556.6839999999</v>
      </c>
      <c r="F664" s="1">
        <v>0</v>
      </c>
      <c r="G664" s="1">
        <v>11544043.732999999</v>
      </c>
      <c r="H664" s="1">
        <v>9632304.0360000003</v>
      </c>
      <c r="I664" s="1">
        <v>2253759.798</v>
      </c>
      <c r="J664" s="1">
        <v>3797442.1349999998</v>
      </c>
      <c r="K664" s="1">
        <v>3705631.352</v>
      </c>
      <c r="L664" s="1">
        <v>1289033.932</v>
      </c>
      <c r="M664" s="1">
        <v>13588.091</v>
      </c>
      <c r="N664" s="1">
        <v>7754939.3229999999</v>
      </c>
      <c r="O664" s="1">
        <v>7746601.5980000002</v>
      </c>
      <c r="P664" s="1">
        <v>5263420.7790000001</v>
      </c>
      <c r="Q664" s="1">
        <v>-795811.228</v>
      </c>
      <c r="R664" s="1">
        <v>15.9</v>
      </c>
      <c r="T664">
        <f>E664/G664</f>
        <v>0.10486418035124746</v>
      </c>
      <c r="U664">
        <f>D664/C664</f>
        <v>0.13332099684157761</v>
      </c>
      <c r="V664">
        <f>(E664-F664)/O664</f>
        <v>0.15626938712228838</v>
      </c>
      <c r="W664">
        <f>H664/K664</f>
        <v>2.5993692089207046</v>
      </c>
      <c r="X664">
        <f>(H664-I664)/K664</f>
        <v>1.9911706095690438</v>
      </c>
      <c r="Y664">
        <f>(H664-K664)/G664</f>
        <v>0.51339658971127367</v>
      </c>
      <c r="Z664">
        <f>J664/N664</f>
        <v>0.48968044453131304</v>
      </c>
      <c r="AA664">
        <f>J664/G664</f>
        <v>0.32895250770270101</v>
      </c>
      <c r="AB664">
        <f>C664/G664</f>
        <v>0.77068385426914443</v>
      </c>
      <c r="AC664">
        <f>C664/(G664-K664)</f>
        <v>1.1350267995041332</v>
      </c>
      <c r="AD664">
        <f>Q664/E664</f>
        <v>-0.65739278343450136</v>
      </c>
      <c r="AE664">
        <f>Q664/J664</f>
        <v>-0.209565070304883</v>
      </c>
      <c r="AF664">
        <f>Q664/G664</f>
        <v>-6.8936955403684108E-2</v>
      </c>
      <c r="AG664">
        <f>Q664/K664</f>
        <v>-0.21475725791516889</v>
      </c>
      <c r="AH664">
        <f>Q664/L664</f>
        <v>-0.61737027105660391</v>
      </c>
      <c r="AI664" s="1">
        <f>R664</f>
        <v>15.9</v>
      </c>
      <c r="AJ664" s="1">
        <f>P664</f>
        <v>5263420.7790000001</v>
      </c>
    </row>
    <row r="665" spans="1:36" x14ac:dyDescent="0.25">
      <c r="A665" t="s">
        <v>108</v>
      </c>
      <c r="B665">
        <v>2023</v>
      </c>
      <c r="C665" s="1">
        <v>10167326.936000001</v>
      </c>
      <c r="D665" s="1">
        <v>1931429.422</v>
      </c>
      <c r="E665" s="1">
        <v>1300921.1000000001</v>
      </c>
      <c r="F665" s="1">
        <v>0</v>
      </c>
      <c r="G665" s="1">
        <v>13009081.982999999</v>
      </c>
      <c r="H665" s="1">
        <v>9952817.1329999994</v>
      </c>
      <c r="I665" s="1">
        <v>3511755.8160000001</v>
      </c>
      <c r="J665" s="1">
        <v>4381229.3099999996</v>
      </c>
      <c r="K665" s="1">
        <v>4190824.6460000002</v>
      </c>
      <c r="L665" s="1">
        <v>1614920.87</v>
      </c>
      <c r="M665" s="1">
        <v>57376.938000000002</v>
      </c>
      <c r="N665" s="1">
        <v>8641660.0309999995</v>
      </c>
      <c r="O665" s="1">
        <v>8627852.6730000004</v>
      </c>
      <c r="P665" s="1">
        <v>6138539.3859999999</v>
      </c>
      <c r="Q665" s="1">
        <v>274480.16100000002</v>
      </c>
      <c r="R665" s="1">
        <v>16</v>
      </c>
      <c r="T665">
        <f>E665/G665</f>
        <v>0.10000099174561411</v>
      </c>
      <c r="U665">
        <f>D665/C665</f>
        <v>0.18996432731608975</v>
      </c>
      <c r="V665">
        <f>(E665-F665)/O665</f>
        <v>0.1507815616823294</v>
      </c>
      <c r="W665">
        <f>H665/K665</f>
        <v>2.3749066051951435</v>
      </c>
      <c r="X665">
        <f>(H665-I665)/K665</f>
        <v>1.5369436473911582</v>
      </c>
      <c r="Y665">
        <f>(H665-K665)/G665</f>
        <v>0.44292076062935515</v>
      </c>
      <c r="Z665">
        <f>J665/N665</f>
        <v>0.50698931620583676</v>
      </c>
      <c r="AA665">
        <f>J665/G665</f>
        <v>0.33678235833437747</v>
      </c>
      <c r="AB665">
        <f>C665/G665</f>
        <v>0.78155606593043647</v>
      </c>
      <c r="AC665">
        <f>C665/(G665-K665)</f>
        <v>1.1529859639431841</v>
      </c>
      <c r="AD665">
        <f>Q665/E665</f>
        <v>0.21098909149832376</v>
      </c>
      <c r="AE665">
        <f>Q665/J665</f>
        <v>6.2649120047998594E-2</v>
      </c>
      <c r="AF665">
        <f>Q665/G665</f>
        <v>2.1099118397338495E-2</v>
      </c>
      <c r="AG665">
        <f>Q665/K665</f>
        <v>6.5495501288029792E-2</v>
      </c>
      <c r="AH665">
        <f>Q665/L665</f>
        <v>0.16996508380005021</v>
      </c>
      <c r="AI665" s="1">
        <f>R665</f>
        <v>16</v>
      </c>
      <c r="AJ665" s="1">
        <f>P665</f>
        <v>6138539.3859999999</v>
      </c>
    </row>
    <row r="666" spans="1:36" s="8" customFormat="1" x14ac:dyDescent="0.25">
      <c r="A666" s="8" t="s">
        <v>108</v>
      </c>
      <c r="B666" s="8">
        <v>2024</v>
      </c>
      <c r="C666" s="9">
        <v>11556354.523</v>
      </c>
      <c r="D666" s="9">
        <v>1355307.9680000001</v>
      </c>
      <c r="E666" s="9">
        <v>1023243.8639999999</v>
      </c>
      <c r="F666" s="9">
        <v>0</v>
      </c>
      <c r="G666" s="9">
        <v>14449071.710999999</v>
      </c>
      <c r="H666" s="9">
        <v>9585893.6909999996</v>
      </c>
      <c r="I666" s="9">
        <v>2884443.0159999998</v>
      </c>
      <c r="J666" s="9">
        <v>5333789.3389999997</v>
      </c>
      <c r="K666" s="9">
        <v>5070708.784</v>
      </c>
      <c r="L666" s="9">
        <v>2788554.9640000002</v>
      </c>
      <c r="M666" s="9">
        <v>114115.432</v>
      </c>
      <c r="N666" s="9">
        <v>9127825.7449999992</v>
      </c>
      <c r="O666" s="9">
        <v>9115282.3719999995</v>
      </c>
      <c r="P666" s="9">
        <v>6757052.1869999999</v>
      </c>
      <c r="Q666" s="9">
        <v>204362.788</v>
      </c>
      <c r="R666" s="9">
        <v>17.3</v>
      </c>
      <c r="T666" s="8">
        <f>E666/G666</f>
        <v>7.0817273556820257E-2</v>
      </c>
      <c r="U666" s="8">
        <f>D666/C666</f>
        <v>0.11727815768394803</v>
      </c>
      <c r="V666" s="8">
        <f>(E666-F666)/O666</f>
        <v>0.11225586024006937</v>
      </c>
      <c r="W666" s="8">
        <f>H666/K666</f>
        <v>1.8904445313931482</v>
      </c>
      <c r="X666" s="8">
        <f>(H666-I666)/K666</f>
        <v>1.3216003837857158</v>
      </c>
      <c r="Y666" s="8">
        <f>(H666-K666)/G666</f>
        <v>0.31248961852425539</v>
      </c>
      <c r="Z666" s="8">
        <f>J666/N666</f>
        <v>0.58434390489123</v>
      </c>
      <c r="AA666" s="8">
        <f>J666/G666</f>
        <v>0.3691440838333867</v>
      </c>
      <c r="AB666" s="8">
        <f>C666/G666</f>
        <v>0.79979909811107175</v>
      </c>
      <c r="AC666" s="8">
        <f>C666/(G666-K666)</f>
        <v>1.232235797756305</v>
      </c>
      <c r="AD666" s="8">
        <f>Q666/E666</f>
        <v>0.19972051159057819</v>
      </c>
      <c r="AE666" s="8">
        <f>Q666/J666</f>
        <v>3.8314746798439318E-2</v>
      </c>
      <c r="AF666" s="8">
        <f>Q666/G666</f>
        <v>1.4143662104218068E-2</v>
      </c>
      <c r="AG666" s="8">
        <f>Q666/K666</f>
        <v>4.0302607920384176E-2</v>
      </c>
      <c r="AH666" s="8">
        <f>Q666/L666</f>
        <v>7.3286268565011511E-2</v>
      </c>
      <c r="AI666" s="9">
        <f>R666</f>
        <v>17.3</v>
      </c>
      <c r="AJ666" s="9">
        <f>P666</f>
        <v>6757052.1869999999</v>
      </c>
    </row>
    <row r="667" spans="1:36" x14ac:dyDescent="0.25">
      <c r="A667" s="15" t="s">
        <v>109</v>
      </c>
      <c r="B667" s="15">
        <v>2018</v>
      </c>
      <c r="C667" s="6">
        <v>1515032.4350000001</v>
      </c>
      <c r="D667" s="6">
        <v>108758.242</v>
      </c>
      <c r="E667" s="6">
        <v>-348618.36599999998</v>
      </c>
      <c r="F667" s="6">
        <v>0</v>
      </c>
      <c r="G667" s="6">
        <v>10168506.063999999</v>
      </c>
      <c r="H667" s="6">
        <v>686076.45799999998</v>
      </c>
      <c r="I667" s="6">
        <v>50935.216999999997</v>
      </c>
      <c r="J667" s="6">
        <v>4772503.0369999995</v>
      </c>
      <c r="K667" s="6">
        <v>1744709.449</v>
      </c>
      <c r="L667" s="6">
        <v>4260980.665</v>
      </c>
      <c r="M667" s="6">
        <v>2793046.8730000001</v>
      </c>
      <c r="N667" s="6">
        <v>5373459.6639999999</v>
      </c>
      <c r="O667" s="6">
        <v>5396003.0269999998</v>
      </c>
      <c r="P667" s="6">
        <v>-845143.65899999999</v>
      </c>
      <c r="Q667" s="6">
        <v>-354628.73499999999</v>
      </c>
      <c r="R667" s="6">
        <v>13.5</v>
      </c>
      <c r="S667" s="15"/>
      <c r="T667" s="15">
        <f>E667/G667</f>
        <v>-3.4284128249107176E-2</v>
      </c>
      <c r="U667" s="15">
        <f>D667/C667</f>
        <v>7.1786081596332291E-2</v>
      </c>
      <c r="V667" s="15">
        <f>(E667-F667)/O667</f>
        <v>-6.4606777323069881E-2</v>
      </c>
      <c r="W667" s="15">
        <f>H667/K667</f>
        <v>0.39323249976850444</v>
      </c>
      <c r="X667" s="15">
        <f>(H667-I667)/K667</f>
        <v>0.36403840270598548</v>
      </c>
      <c r="Y667" s="15">
        <f>(H667-K667)/G667</f>
        <v>-0.10410899932959906</v>
      </c>
      <c r="Z667" s="15">
        <f>J667/N667</f>
        <v>0.88816206604728687</v>
      </c>
      <c r="AA667" s="15">
        <f>J667/G667</f>
        <v>0.4693416129136509</v>
      </c>
      <c r="AB667" s="15">
        <f>C667/G667</f>
        <v>0.14899262737952576</v>
      </c>
      <c r="AC667" s="15">
        <f>C667/(G667-K667)</f>
        <v>0.17985149739990491</v>
      </c>
      <c r="AD667" s="15">
        <f>Q667/E667</f>
        <v>1.0172405403334372</v>
      </c>
      <c r="AE667" s="15">
        <f>Q667/J667</f>
        <v>-7.4306654652842294E-2</v>
      </c>
      <c r="AF667" s="15">
        <f>Q667/G667</f>
        <v>-3.4875205144982643E-2</v>
      </c>
      <c r="AG667" s="15">
        <f>Q667/K667</f>
        <v>-0.20325947979662715</v>
      </c>
      <c r="AH667" s="15">
        <f>Q667/L667</f>
        <v>-8.3227022810252529E-2</v>
      </c>
      <c r="AI667" s="6">
        <f>R667</f>
        <v>13.5</v>
      </c>
      <c r="AJ667" s="6">
        <f>P667</f>
        <v>-845143.65899999999</v>
      </c>
    </row>
    <row r="668" spans="1:36" x14ac:dyDescent="0.25">
      <c r="A668" t="s">
        <v>109</v>
      </c>
      <c r="B668">
        <v>2019</v>
      </c>
      <c r="C668" s="1">
        <v>1911321.371</v>
      </c>
      <c r="D668" s="1">
        <v>377180.12</v>
      </c>
      <c r="E668" s="1">
        <v>-280587.27899999998</v>
      </c>
      <c r="F668" s="1">
        <v>0</v>
      </c>
      <c r="G668" s="1">
        <v>10167560.017999999</v>
      </c>
      <c r="H668" s="1">
        <v>549087.52599999995</v>
      </c>
      <c r="I668" s="1">
        <v>59498.762000000002</v>
      </c>
      <c r="J668" s="1">
        <v>4827064.38</v>
      </c>
      <c r="K668" s="1">
        <v>2315383.676</v>
      </c>
      <c r="L668" s="1">
        <v>4277341.0360000003</v>
      </c>
      <c r="M668" s="1">
        <v>2233774.6519999998</v>
      </c>
      <c r="N668" s="1">
        <v>5319062.0779999997</v>
      </c>
      <c r="O668" s="1">
        <v>5340495.6380000003</v>
      </c>
      <c r="P668" s="1">
        <v>-1124389.192</v>
      </c>
      <c r="Q668" s="1">
        <v>112585.424</v>
      </c>
      <c r="R668" s="1">
        <v>9.6999999999999993</v>
      </c>
      <c r="T668">
        <f>E668/G668</f>
        <v>-2.759632384793069E-2</v>
      </c>
      <c r="U668">
        <f>D668/C668</f>
        <v>0.19733997941050593</v>
      </c>
      <c r="V668">
        <f>(E668-F668)/O668</f>
        <v>-5.2539557752560785E-2</v>
      </c>
      <c r="W668">
        <f>H668/K668</f>
        <v>0.23714753269254712</v>
      </c>
      <c r="X668">
        <f>(H668-I668)/K668</f>
        <v>0.21145038253262693</v>
      </c>
      <c r="Y668">
        <f>(H668-K668)/G668</f>
        <v>-0.17371878276332395</v>
      </c>
      <c r="Z668">
        <f>J668/N668</f>
        <v>0.90750292236014019</v>
      </c>
      <c r="AA668">
        <f>J668/G668</f>
        <v>0.47475150099477881</v>
      </c>
      <c r="AB668">
        <f>C668/G668</f>
        <v>0.18798230525478274</v>
      </c>
      <c r="AC668">
        <f>C668/(G668-K668)</f>
        <v>0.24341294537371205</v>
      </c>
      <c r="AD668">
        <f>Q668/E668</f>
        <v>-0.4012492098759759</v>
      </c>
      <c r="AE668">
        <f>Q668/J668</f>
        <v>2.3323787531501702E-2</v>
      </c>
      <c r="AF668">
        <f>Q668/G668</f>
        <v>1.1073003139463741E-2</v>
      </c>
      <c r="AG668">
        <f>Q668/K668</f>
        <v>4.8624953681326723E-2</v>
      </c>
      <c r="AH668">
        <f>Q668/L668</f>
        <v>2.6321357837130851E-2</v>
      </c>
      <c r="AI668" s="1">
        <f>R668</f>
        <v>9.6999999999999993</v>
      </c>
      <c r="AJ668" s="1">
        <f>P668</f>
        <v>-1124389.192</v>
      </c>
    </row>
    <row r="669" spans="1:36" x14ac:dyDescent="0.25">
      <c r="A669" t="s">
        <v>109</v>
      </c>
      <c r="B669">
        <v>2020</v>
      </c>
      <c r="C669" s="1">
        <v>1525015.69</v>
      </c>
      <c r="D669" s="1">
        <v>-114771.626</v>
      </c>
      <c r="E669" s="1">
        <v>-459791.07900000003</v>
      </c>
      <c r="F669" s="1">
        <v>0</v>
      </c>
      <c r="G669" s="1">
        <v>10364552.248</v>
      </c>
      <c r="H669" s="1">
        <v>344289.35</v>
      </c>
      <c r="I669" s="1">
        <v>54129.254999999997</v>
      </c>
      <c r="J669" s="1">
        <v>5422519.2949999999</v>
      </c>
      <c r="K669" s="1">
        <v>2037499.5889999999</v>
      </c>
      <c r="L669" s="1">
        <v>4811633.017</v>
      </c>
      <c r="M669" s="1">
        <v>3093772.4890000001</v>
      </c>
      <c r="N669" s="1">
        <v>4927724.3490000004</v>
      </c>
      <c r="O669" s="1">
        <v>4942032.9529999997</v>
      </c>
      <c r="P669" s="1">
        <v>-1575797.9210000001</v>
      </c>
      <c r="Q669" s="1">
        <v>304955.15500000003</v>
      </c>
      <c r="R669" s="1">
        <v>8.5</v>
      </c>
      <c r="T669">
        <f>E669/G669</f>
        <v>-4.4361885395360311E-2</v>
      </c>
      <c r="U669">
        <f>D669/C669</f>
        <v>-7.5259308315706583E-2</v>
      </c>
      <c r="V669">
        <f>(E669-F669)/O669</f>
        <v>-9.3036829857819858E-2</v>
      </c>
      <c r="W669">
        <f>H669/K669</f>
        <v>0.16897640218370616</v>
      </c>
      <c r="X669">
        <f>(H669-I669)/K669</f>
        <v>0.14240989130329584</v>
      </c>
      <c r="Y669">
        <f>(H669-K669)/G669</f>
        <v>-0.16336549794775082</v>
      </c>
      <c r="Z669">
        <f>J669/N669</f>
        <v>1.1004104351129969</v>
      </c>
      <c r="AA669">
        <f>J669/G669</f>
        <v>0.52317931013820296</v>
      </c>
      <c r="AB669">
        <f>C669/G669</f>
        <v>0.14713763349442088</v>
      </c>
      <c r="AC669">
        <f>C669/(G669-K669)</f>
        <v>0.18313991185725728</v>
      </c>
      <c r="AD669">
        <f>Q669/E669</f>
        <v>-0.66324722015757076</v>
      </c>
      <c r="AE669">
        <f>Q669/J669</f>
        <v>5.623864820198856E-2</v>
      </c>
      <c r="AF669">
        <f>Q669/G669</f>
        <v>2.9422897169421459E-2</v>
      </c>
      <c r="AG669">
        <f>Q669/K669</f>
        <v>0.14967127190914983</v>
      </c>
      <c r="AH669">
        <f>Q669/L669</f>
        <v>6.3378722758481734E-2</v>
      </c>
      <c r="AI669" s="1">
        <f>R669</f>
        <v>8.5</v>
      </c>
      <c r="AJ669" s="1">
        <f>P669</f>
        <v>-1575797.9210000001</v>
      </c>
    </row>
    <row r="670" spans="1:36" x14ac:dyDescent="0.25">
      <c r="A670" t="s">
        <v>109</v>
      </c>
      <c r="B670">
        <v>2021</v>
      </c>
      <c r="C670" s="1">
        <v>556855.66399999999</v>
      </c>
      <c r="D670" s="1">
        <v>-450481.75</v>
      </c>
      <c r="E670" s="1">
        <v>-828503.88199999998</v>
      </c>
      <c r="F670" s="1">
        <v>0</v>
      </c>
      <c r="G670" s="1">
        <v>9932544.8969999999</v>
      </c>
      <c r="H670" s="1">
        <v>221453.92600000001</v>
      </c>
      <c r="I670" s="1">
        <v>42177.235999999997</v>
      </c>
      <c r="J670" s="1">
        <v>5808417.5750000002</v>
      </c>
      <c r="K670" s="1">
        <v>1974963.1159999999</v>
      </c>
      <c r="L670" s="1">
        <v>5304708.6579999998</v>
      </c>
      <c r="M670" s="1">
        <v>3530767.8590000002</v>
      </c>
      <c r="N670" s="1">
        <v>4119296.273</v>
      </c>
      <c r="O670" s="1">
        <v>4124127.3220000002</v>
      </c>
      <c r="P670" s="1">
        <v>-2394832.2480000001</v>
      </c>
      <c r="Q670" s="1">
        <v>-199521.22</v>
      </c>
      <c r="R670" s="1">
        <v>9</v>
      </c>
      <c r="T670">
        <f>E670/G670</f>
        <v>-8.3413051800071816E-2</v>
      </c>
      <c r="U670">
        <f>D670/C670</f>
        <v>-0.80897399294478578</v>
      </c>
      <c r="V670">
        <f>(E670-F670)/O670</f>
        <v>-0.20089192629441327</v>
      </c>
      <c r="W670">
        <f>H670/K670</f>
        <v>0.11213066421641467</v>
      </c>
      <c r="X670">
        <f>(H670-I670)/K670</f>
        <v>9.0774702852729122E-2</v>
      </c>
      <c r="Y670">
        <f>(H670-K670)/G670</f>
        <v>-0.17654178341842938</v>
      </c>
      <c r="Z670">
        <f>J670/N670</f>
        <v>1.4100509383292907</v>
      </c>
      <c r="AA670">
        <f>J670/G670</f>
        <v>0.5847864404574058</v>
      </c>
      <c r="AB670">
        <f>C670/G670</f>
        <v>5.606374496914595E-2</v>
      </c>
      <c r="AC670">
        <f>C670/(G670-K670)</f>
        <v>6.9978000770231738E-2</v>
      </c>
      <c r="AD670">
        <f>Q670/E670</f>
        <v>0.24082110456544609</v>
      </c>
      <c r="AE670">
        <f>Q670/J670</f>
        <v>-3.4350357463753797E-2</v>
      </c>
      <c r="AF670">
        <f>Q670/G670</f>
        <v>-2.0087623269668065E-2</v>
      </c>
      <c r="AG670">
        <f>Q670/K670</f>
        <v>-0.10102528922367987</v>
      </c>
      <c r="AH670">
        <f>Q670/L670</f>
        <v>-3.7612097640669334E-2</v>
      </c>
      <c r="AI670" s="1">
        <f>R670</f>
        <v>9</v>
      </c>
      <c r="AJ670" s="1">
        <f>P670</f>
        <v>-2394832.2480000001</v>
      </c>
    </row>
    <row r="671" spans="1:36" x14ac:dyDescent="0.25">
      <c r="A671" t="s">
        <v>109</v>
      </c>
      <c r="B671">
        <v>2022</v>
      </c>
      <c r="C671" s="1">
        <v>1288039.618</v>
      </c>
      <c r="D671" s="1">
        <v>35220.025000000001</v>
      </c>
      <c r="E671" s="1">
        <v>-912418.92</v>
      </c>
      <c r="F671" s="1">
        <v>0</v>
      </c>
      <c r="G671" s="1">
        <v>10636941.195</v>
      </c>
      <c r="H671" s="1">
        <v>461145.07900000003</v>
      </c>
      <c r="I671" s="1">
        <v>60607.644</v>
      </c>
      <c r="J671" s="1">
        <v>6760800.216</v>
      </c>
      <c r="K671" s="1">
        <v>2210807.5660000001</v>
      </c>
      <c r="L671" s="1">
        <v>6066685.2019999996</v>
      </c>
      <c r="M671" s="1">
        <v>4143688.3840000001</v>
      </c>
      <c r="N671" s="1">
        <v>3881180.4049999998</v>
      </c>
      <c r="O671" s="1">
        <v>3876140.9789999998</v>
      </c>
      <c r="P671" s="1">
        <v>-3274440.523</v>
      </c>
      <c r="Q671" s="1">
        <v>192303.63200000001</v>
      </c>
      <c r="R671" s="1">
        <v>10.5</v>
      </c>
      <c r="T671">
        <f>E671/G671</f>
        <v>-8.577831758897865E-2</v>
      </c>
      <c r="U671">
        <f>D671/C671</f>
        <v>2.734389882718654E-2</v>
      </c>
      <c r="V671">
        <f>(E671-F671)/O671</f>
        <v>-0.2353936363365694</v>
      </c>
      <c r="W671">
        <f>H671/K671</f>
        <v>0.20858671106972321</v>
      </c>
      <c r="X671">
        <f>(H671-I671)/K671</f>
        <v>0.18117245533255066</v>
      </c>
      <c r="Y671">
        <f>(H671-K671)/G671</f>
        <v>-0.16448925070888296</v>
      </c>
      <c r="Z671">
        <f>J671/N671</f>
        <v>1.7419443340717373</v>
      </c>
      <c r="AA671">
        <f>J671/G671</f>
        <v>0.63559627641619199</v>
      </c>
      <c r="AB671">
        <f>C671/G671</f>
        <v>0.12109116656632979</v>
      </c>
      <c r="AC671">
        <f>C671/(G671-K671)</f>
        <v>0.15286247224551344</v>
      </c>
      <c r="AD671">
        <f>Q671/E671</f>
        <v>-0.21076243355409596</v>
      </c>
      <c r="AE671">
        <f>Q671/J671</f>
        <v>2.8443915787497664E-2</v>
      </c>
      <c r="AF671">
        <f>Q671/G671</f>
        <v>1.8078846961229252E-2</v>
      </c>
      <c r="AG671">
        <f>Q671/K671</f>
        <v>8.6983433093606483E-2</v>
      </c>
      <c r="AH671">
        <f>Q671/L671</f>
        <v>3.1698304032093741E-2</v>
      </c>
      <c r="AI671" s="1">
        <f>R671</f>
        <v>10.5</v>
      </c>
      <c r="AJ671" s="1">
        <f>P671</f>
        <v>-3274440.523</v>
      </c>
    </row>
    <row r="672" spans="1:36" x14ac:dyDescent="0.25">
      <c r="A672" t="s">
        <v>109</v>
      </c>
      <c r="B672">
        <v>2023</v>
      </c>
      <c r="C672" s="1">
        <v>2115955.0830000001</v>
      </c>
      <c r="D672" s="1">
        <v>466607.02</v>
      </c>
      <c r="E672" s="1">
        <v>-632194.848</v>
      </c>
      <c r="F672" s="1">
        <v>0</v>
      </c>
      <c r="G672" s="1">
        <v>10422320.682</v>
      </c>
      <c r="H672" s="1">
        <v>414856.84399999998</v>
      </c>
      <c r="I672" s="1">
        <v>96722.375</v>
      </c>
      <c r="J672" s="1">
        <v>7100389.9400000004</v>
      </c>
      <c r="K672" s="1">
        <v>3172545.821</v>
      </c>
      <c r="L672" s="1">
        <v>5922776.6430000002</v>
      </c>
      <c r="M672" s="1">
        <v>3138553.22</v>
      </c>
      <c r="N672" s="1">
        <v>3343757.7710000002</v>
      </c>
      <c r="O672" s="1">
        <v>3321930.7420000001</v>
      </c>
      <c r="P672" s="1">
        <v>-3896526.0589999999</v>
      </c>
      <c r="Q672" s="1">
        <v>-78087.092999999993</v>
      </c>
      <c r="R672" s="1">
        <v>7.1</v>
      </c>
      <c r="T672">
        <f>E672/G672</f>
        <v>-6.0657781245576144E-2</v>
      </c>
      <c r="U672">
        <f>D672/C672</f>
        <v>0.22051839556936378</v>
      </c>
      <c r="V672">
        <f>(E672-F672)/O672</f>
        <v>-0.19030946070217619</v>
      </c>
      <c r="W672">
        <f>H672/K672</f>
        <v>0.13076465003403334</v>
      </c>
      <c r="X672">
        <f>(H672-I672)/K672</f>
        <v>0.10027734411089534</v>
      </c>
      <c r="Y672">
        <f>(H672-K672)/G672</f>
        <v>-0.26459452372854936</v>
      </c>
      <c r="Z672">
        <f>J672/N672</f>
        <v>2.1234761685134038</v>
      </c>
      <c r="AA672">
        <f>J672/G672</f>
        <v>0.68126765205592055</v>
      </c>
      <c r="AB672">
        <f>C672/G672</f>
        <v>0.20302149085226162</v>
      </c>
      <c r="AC672">
        <f>C672/(G672-K672)</f>
        <v>0.29186493699035165</v>
      </c>
      <c r="AD672">
        <f>Q672/E672</f>
        <v>0.12351744600107845</v>
      </c>
      <c r="AE672">
        <f>Q672/J672</f>
        <v>-1.0997578113294436E-2</v>
      </c>
      <c r="AF672">
        <f>Q672/G672</f>
        <v>-7.4922942195456803E-3</v>
      </c>
      <c r="AG672">
        <f>Q672/K672</f>
        <v>-2.4613385402700538E-2</v>
      </c>
      <c r="AH672">
        <f>Q672/L672</f>
        <v>-1.3184203576592647E-2</v>
      </c>
      <c r="AI672" s="1">
        <f>R672</f>
        <v>7.1</v>
      </c>
      <c r="AJ672" s="1">
        <f>P672</f>
        <v>-3896526.0589999999</v>
      </c>
    </row>
    <row r="673" spans="1:36" s="8" customFormat="1" x14ac:dyDescent="0.25">
      <c r="A673" s="8" t="s">
        <v>109</v>
      </c>
      <c r="B673" s="8">
        <v>2024</v>
      </c>
      <c r="C673" s="9">
        <v>3613708.2409999999</v>
      </c>
      <c r="D673" s="9">
        <v>1144785.44</v>
      </c>
      <c r="E673" s="9">
        <v>92536.33</v>
      </c>
      <c r="F673" s="9">
        <v>0</v>
      </c>
      <c r="G673" s="9">
        <v>10592470.752</v>
      </c>
      <c r="H673" s="9">
        <v>690272.29799999995</v>
      </c>
      <c r="I673" s="9">
        <v>109202.895</v>
      </c>
      <c r="J673" s="9">
        <v>7180336.2120000003</v>
      </c>
      <c r="K673" s="9">
        <v>2507568.5660000001</v>
      </c>
      <c r="L673" s="9">
        <v>5869330.4620000003</v>
      </c>
      <c r="M673" s="9">
        <v>3888482.7820000001</v>
      </c>
      <c r="N673" s="9">
        <v>3442225.4109999998</v>
      </c>
      <c r="O673" s="9">
        <v>3412134.54</v>
      </c>
      <c r="P673" s="9">
        <v>-3798058.4190000002</v>
      </c>
      <c r="Q673" s="9">
        <v>89735.144</v>
      </c>
      <c r="R673" s="9">
        <v>9</v>
      </c>
      <c r="T673" s="8">
        <f>E673/G673</f>
        <v>8.7360477235708112E-3</v>
      </c>
      <c r="U673" s="8">
        <f>D673/C673</f>
        <v>0.31678966968379557</v>
      </c>
      <c r="V673" s="8">
        <f>(E673-F673)/O673</f>
        <v>2.7119777639248655E-2</v>
      </c>
      <c r="W673" s="8">
        <f>H673/K673</f>
        <v>0.27527554275459037</v>
      </c>
      <c r="X673" s="8">
        <f>(H673-I673)/K673</f>
        <v>0.23172622710249746</v>
      </c>
      <c r="Y673" s="8">
        <f>(H673-K673)/G673</f>
        <v>-0.17156490780556277</v>
      </c>
      <c r="Z673" s="8">
        <f>J673/N673</f>
        <v>2.0859575869303817</v>
      </c>
      <c r="AA673" s="8">
        <f>J673/G673</f>
        <v>0.67787170530013097</v>
      </c>
      <c r="AB673" s="8">
        <f>C673/G673</f>
        <v>0.34115819864951558</v>
      </c>
      <c r="AC673" s="8">
        <f>C673/(G673-K673)</f>
        <v>0.44696993950744124</v>
      </c>
      <c r="AD673" s="8">
        <f>Q673/E673</f>
        <v>0.96972879732749284</v>
      </c>
      <c r="AE673" s="8">
        <f>Q673/J673</f>
        <v>1.2497345716211986E-2</v>
      </c>
      <c r="AF673" s="8">
        <f>Q673/G673</f>
        <v>8.4715970523739047E-3</v>
      </c>
      <c r="AG673" s="8">
        <f>Q673/K673</f>
        <v>3.5785718969648307E-2</v>
      </c>
      <c r="AH673" s="8">
        <f>Q673/L673</f>
        <v>1.5288821200471706E-2</v>
      </c>
      <c r="AI673" s="9">
        <f>R673</f>
        <v>9</v>
      </c>
      <c r="AJ673" s="9">
        <f>P673</f>
        <v>-3798058.4190000002</v>
      </c>
    </row>
    <row r="674" spans="1:36" x14ac:dyDescent="0.25">
      <c r="A674" s="15" t="s">
        <v>110</v>
      </c>
      <c r="B674" s="15">
        <v>2018</v>
      </c>
      <c r="C674" s="6">
        <v>121215072</v>
      </c>
      <c r="D674" s="6">
        <v>11461725</v>
      </c>
      <c r="E674" s="6">
        <v>23119805</v>
      </c>
      <c r="F674" s="6"/>
      <c r="G674" s="6">
        <v>322448272</v>
      </c>
      <c r="H674" s="6">
        <v>98761760</v>
      </c>
      <c r="I674" s="6">
        <v>6689541</v>
      </c>
      <c r="J674" s="6">
        <v>97583693</v>
      </c>
      <c r="K674" s="6">
        <v>32875750</v>
      </c>
      <c r="L674" s="6">
        <v>23712007</v>
      </c>
      <c r="M674" s="6">
        <v>18521034</v>
      </c>
      <c r="N674" s="6">
        <v>199920091</v>
      </c>
      <c r="O674" s="6">
        <v>224864579</v>
      </c>
      <c r="P674" s="6">
        <v>87265501</v>
      </c>
      <c r="Q674" s="6">
        <v>16012178</v>
      </c>
      <c r="R674" s="6">
        <v>159.6</v>
      </c>
      <c r="S674" s="15"/>
      <c r="T674" s="15">
        <f>E674/G674</f>
        <v>7.1700818418403561E-2</v>
      </c>
      <c r="U674" s="15">
        <f>D674/C674</f>
        <v>9.4556929356111749E-2</v>
      </c>
      <c r="V674" s="15">
        <f>(E674-F674)/O674</f>
        <v>0.1028165712128454</v>
      </c>
      <c r="W674" s="15">
        <f>H674/K674</f>
        <v>3.004091465593941</v>
      </c>
      <c r="X674" s="15">
        <f>(H674-I674)/K674</f>
        <v>2.8006119708295629</v>
      </c>
      <c r="Y674" s="15">
        <f>(H674-K674)/G674</f>
        <v>0.20433047940166973</v>
      </c>
      <c r="Z674" s="15">
        <f>J674/N674</f>
        <v>0.48811348830368428</v>
      </c>
      <c r="AA674" s="15">
        <f>J674/G674</f>
        <v>0.30263363607047022</v>
      </c>
      <c r="AB674" s="15">
        <f>C674/G674</f>
        <v>0.3759209849324297</v>
      </c>
      <c r="AC674" s="15">
        <f>C674/(G674-K674)</f>
        <v>0.41860004935136769</v>
      </c>
      <c r="AD674" s="15">
        <f>Q674/E674</f>
        <v>0.69257409394240133</v>
      </c>
      <c r="AE674" s="15">
        <f>Q674/J674</f>
        <v>0.16408661639809019</v>
      </c>
      <c r="AF674" s="15">
        <f>Q674/G674</f>
        <v>4.9658129351054486E-2</v>
      </c>
      <c r="AG674" s="15">
        <f>Q674/K674</f>
        <v>0.48705133723185023</v>
      </c>
      <c r="AH674" s="15">
        <f>Q674/L674</f>
        <v>0.67527721293267162</v>
      </c>
      <c r="AI674" s="6">
        <f>R674</f>
        <v>159.6</v>
      </c>
      <c r="AJ674" s="6">
        <f>P674</f>
        <v>87265501</v>
      </c>
    </row>
    <row r="675" spans="1:36" x14ac:dyDescent="0.25">
      <c r="A675" t="s">
        <v>110</v>
      </c>
      <c r="B675">
        <v>2019</v>
      </c>
      <c r="C675" s="1">
        <v>135456148</v>
      </c>
      <c r="D675" s="1">
        <v>7657093</v>
      </c>
      <c r="E675" s="1">
        <v>16237396</v>
      </c>
      <c r="G675" s="1">
        <v>363796744</v>
      </c>
      <c r="H675" s="1">
        <v>95421135</v>
      </c>
      <c r="I675" s="1">
        <v>9547014</v>
      </c>
      <c r="J675" s="1">
        <v>133438004</v>
      </c>
      <c r="K675" s="1">
        <v>57557138</v>
      </c>
      <c r="L675" s="1">
        <v>34452023</v>
      </c>
      <c r="M675" s="1">
        <v>21276504</v>
      </c>
      <c r="N675" s="1">
        <v>204286817</v>
      </c>
      <c r="O675" s="1">
        <v>230358740</v>
      </c>
      <c r="P675" s="1">
        <v>82834219</v>
      </c>
      <c r="Q675" s="1">
        <v>4743094</v>
      </c>
      <c r="R675" s="1">
        <v>156</v>
      </c>
      <c r="T675">
        <f>E675/G675</f>
        <v>4.4633153726081724E-2</v>
      </c>
      <c r="U675">
        <f>D675/C675</f>
        <v>5.6528205718650734E-2</v>
      </c>
      <c r="V675">
        <f>(E675-F675)/O675</f>
        <v>7.0487431907293813E-2</v>
      </c>
      <c r="W675">
        <f>H675/K675</f>
        <v>1.6578505866639859</v>
      </c>
      <c r="X675">
        <f>(H675-I675)/K675</f>
        <v>1.4919803865160912</v>
      </c>
      <c r="Y675">
        <f>(H675-K675)/G675</f>
        <v>0.10408008764366511</v>
      </c>
      <c r="Z675">
        <f>J675/N675</f>
        <v>0.65318950072045034</v>
      </c>
      <c r="AA675">
        <f>J675/G675</f>
        <v>0.36679273852984234</v>
      </c>
      <c r="AB675">
        <f>C675/G675</f>
        <v>0.37234018784950973</v>
      </c>
      <c r="AC675">
        <f>C675/(G675-K675)</f>
        <v>0.44232080157522147</v>
      </c>
      <c r="AD675">
        <f>Q675/E675</f>
        <v>0.29210927663524372</v>
      </c>
      <c r="AE675">
        <f>Q675/J675</f>
        <v>3.5545300872456095E-2</v>
      </c>
      <c r="AF675">
        <f>Q675/G675</f>
        <v>1.3037758248875366E-2</v>
      </c>
      <c r="AG675">
        <f>Q675/K675</f>
        <v>8.2406703404884374E-2</v>
      </c>
      <c r="AH675">
        <f>Q675/L675</f>
        <v>0.13767243798716841</v>
      </c>
      <c r="AI675" s="1">
        <f>R675</f>
        <v>156</v>
      </c>
      <c r="AJ675" s="1">
        <f>P675</f>
        <v>82834219</v>
      </c>
    </row>
    <row r="676" spans="1:36" x14ac:dyDescent="0.25">
      <c r="A676" t="s">
        <v>110</v>
      </c>
      <c r="B676">
        <v>2020</v>
      </c>
      <c r="C676" s="1">
        <v>140042560</v>
      </c>
      <c r="D676" s="1">
        <v>6788836</v>
      </c>
      <c r="E676" s="1">
        <v>9740795</v>
      </c>
      <c r="G676" s="1">
        <v>436944019</v>
      </c>
      <c r="H676" s="1">
        <v>121049913</v>
      </c>
      <c r="I676" s="1">
        <v>50168754</v>
      </c>
      <c r="J676" s="1">
        <v>193220157</v>
      </c>
      <c r="K676" s="1">
        <v>57326210</v>
      </c>
      <c r="L676" s="1">
        <v>83227923</v>
      </c>
      <c r="M676" s="1">
        <v>70835470</v>
      </c>
      <c r="N676" s="1">
        <v>216851720</v>
      </c>
      <c r="O676" s="1">
        <v>243723862</v>
      </c>
      <c r="P676" s="1">
        <v>87885071</v>
      </c>
      <c r="Q676" s="1">
        <v>-10350322</v>
      </c>
      <c r="R676" s="1">
        <v>115.4</v>
      </c>
      <c r="T676">
        <f>E676/G676</f>
        <v>2.2293004541618408E-2</v>
      </c>
      <c r="U676">
        <f>D676/C676</f>
        <v>4.8476948721874268E-2</v>
      </c>
      <c r="V676">
        <f>(E676-F676)/O676</f>
        <v>3.9966521620275329E-2</v>
      </c>
      <c r="W676">
        <f>H676/K676</f>
        <v>2.1115980456409034</v>
      </c>
      <c r="X676">
        <f>(H676-I676)/K676</f>
        <v>1.236452906968732</v>
      </c>
      <c r="Y676">
        <f>(H676-K676)/G676</f>
        <v>0.14583951313909621</v>
      </c>
      <c r="Z676">
        <f>J676/N676</f>
        <v>0.89102432297977618</v>
      </c>
      <c r="AA676">
        <f>J676/G676</f>
        <v>0.44220803718107421</v>
      </c>
      <c r="AB676">
        <f>C676/G676</f>
        <v>0.32050458161781131</v>
      </c>
      <c r="AC676">
        <f>C676/(G676-K676)</f>
        <v>0.36890408373860034</v>
      </c>
      <c r="AD676">
        <f>Q676/E676</f>
        <v>-1.0625746666468188</v>
      </c>
      <c r="AE676">
        <f>Q676/J676</f>
        <v>-5.3567506417045295E-2</v>
      </c>
      <c r="AF676">
        <f>Q676/G676</f>
        <v>-2.3687981869366197E-2</v>
      </c>
      <c r="AG676">
        <f>Q676/K676</f>
        <v>-0.18055130454289584</v>
      </c>
      <c r="AH676">
        <f>Q676/L676</f>
        <v>-0.12436117143041044</v>
      </c>
      <c r="AI676" s="1">
        <f>R676</f>
        <v>115.4</v>
      </c>
      <c r="AJ676" s="1">
        <f>P676</f>
        <v>87885071</v>
      </c>
    </row>
    <row r="677" spans="1:36" x14ac:dyDescent="0.25">
      <c r="A677" t="s">
        <v>110</v>
      </c>
      <c r="B677">
        <v>2021</v>
      </c>
      <c r="C677" s="1">
        <v>127675650</v>
      </c>
      <c r="D677" s="1">
        <v>2551974</v>
      </c>
      <c r="E677" s="1">
        <v>3950891</v>
      </c>
      <c r="G677" s="1">
        <v>536794204</v>
      </c>
      <c r="H677" s="1">
        <v>166491167</v>
      </c>
      <c r="I677" s="1">
        <v>54296123</v>
      </c>
      <c r="J677" s="1">
        <v>293807375</v>
      </c>
      <c r="K677" s="1">
        <v>71705432</v>
      </c>
      <c r="L677" s="1">
        <v>135376850</v>
      </c>
      <c r="M677" s="1">
        <v>118965640</v>
      </c>
      <c r="N677" s="1">
        <v>226156731</v>
      </c>
      <c r="O677" s="1">
        <v>242986829</v>
      </c>
      <c r="P677" s="1">
        <v>90651930</v>
      </c>
      <c r="Q677" s="1">
        <v>13824740</v>
      </c>
      <c r="R677" s="1">
        <v>148.5</v>
      </c>
      <c r="T677">
        <f>E677/G677</f>
        <v>7.3601595743012158E-3</v>
      </c>
      <c r="U677">
        <f>D677/C677</f>
        <v>1.9987946017897697E-2</v>
      </c>
      <c r="V677">
        <f>(E677-F677)/O677</f>
        <v>1.6259692001659894E-2</v>
      </c>
      <c r="W677">
        <f>H677/K677</f>
        <v>2.321876632721493</v>
      </c>
      <c r="X677">
        <f>(H677-I677)/K677</f>
        <v>1.5646658958835922</v>
      </c>
      <c r="Y677">
        <f>(H677-K677)/G677</f>
        <v>0.17657741885752551</v>
      </c>
      <c r="Z677">
        <f>J677/N677</f>
        <v>1.2991316849198709</v>
      </c>
      <c r="AA677">
        <f>J677/G677</f>
        <v>0.54733708525660607</v>
      </c>
      <c r="AB677">
        <f>C677/G677</f>
        <v>0.23784841387743449</v>
      </c>
      <c r="AC677">
        <f>C677/(G677-K677)</f>
        <v>0.27451888260162083</v>
      </c>
      <c r="AD677">
        <f>Q677/E677</f>
        <v>3.4991448764342019</v>
      </c>
      <c r="AE677">
        <f>Q677/J677</f>
        <v>4.7053754181630054E-2</v>
      </c>
      <c r="AF677">
        <f>Q677/G677</f>
        <v>2.5754264664154234E-2</v>
      </c>
      <c r="AG677">
        <f>Q677/K677</f>
        <v>0.19279906158294954</v>
      </c>
      <c r="AH677">
        <f>Q677/L677</f>
        <v>0.10212041423625974</v>
      </c>
      <c r="AI677" s="1">
        <f>R677</f>
        <v>148.5</v>
      </c>
      <c r="AJ677" s="1">
        <f>P677</f>
        <v>90651930</v>
      </c>
    </row>
    <row r="678" spans="1:36" x14ac:dyDescent="0.25">
      <c r="A678" t="s">
        <v>110</v>
      </c>
      <c r="B678">
        <v>2022</v>
      </c>
      <c r="C678" s="1">
        <v>218074746</v>
      </c>
      <c r="D678" s="1">
        <v>7308186</v>
      </c>
      <c r="E678" s="1">
        <v>20442907</v>
      </c>
      <c r="G678" s="1">
        <v>717795693</v>
      </c>
      <c r="H678" s="1">
        <v>238929165</v>
      </c>
      <c r="I678" s="1">
        <v>36224887</v>
      </c>
      <c r="J678" s="1">
        <v>387704220</v>
      </c>
      <c r="K678" s="1">
        <v>129608943</v>
      </c>
      <c r="L678" s="1">
        <v>214379402</v>
      </c>
      <c r="M678" s="1">
        <v>158921898</v>
      </c>
      <c r="N678" s="1">
        <v>311286437</v>
      </c>
      <c r="O678" s="1">
        <v>330091473</v>
      </c>
      <c r="P678" s="1">
        <v>109087163</v>
      </c>
      <c r="Q678" s="1">
        <v>30439794</v>
      </c>
      <c r="R678" s="1">
        <v>145</v>
      </c>
      <c r="T678">
        <f>E678/G678</f>
        <v>2.8480119342259691E-2</v>
      </c>
      <c r="U678">
        <f>D678/C678</f>
        <v>3.3512298576745793E-2</v>
      </c>
      <c r="V678">
        <f>(E678-F678)/O678</f>
        <v>6.1931036310047309E-2</v>
      </c>
      <c r="W678">
        <f>H678/K678</f>
        <v>1.8434620286965846</v>
      </c>
      <c r="X678">
        <f>(H678-I678)/K678</f>
        <v>1.5639682980826408</v>
      </c>
      <c r="Y678">
        <f>(H678-K678)/G678</f>
        <v>0.15229991356328743</v>
      </c>
      <c r="Z678">
        <f>J678/N678</f>
        <v>1.2454902428016805</v>
      </c>
      <c r="AA678">
        <f>J678/G678</f>
        <v>0.54013171683937644</v>
      </c>
      <c r="AB678">
        <f>C678/G678</f>
        <v>0.30381172264849465</v>
      </c>
      <c r="AC678">
        <f>C678/(G678-K678)</f>
        <v>0.37075766497630219</v>
      </c>
      <c r="AD678">
        <f>Q678/E678</f>
        <v>1.4890149429335076</v>
      </c>
      <c r="AE678">
        <f>Q678/J678</f>
        <v>7.8512929263447273E-2</v>
      </c>
      <c r="AF678">
        <f>Q678/G678</f>
        <v>4.2407323277154296E-2</v>
      </c>
      <c r="AG678">
        <f>Q678/K678</f>
        <v>0.23485874736282666</v>
      </c>
      <c r="AH678">
        <f>Q678/L678</f>
        <v>0.14199029251886802</v>
      </c>
      <c r="AI678" s="1">
        <f>R678</f>
        <v>145</v>
      </c>
      <c r="AJ678" s="1">
        <f>P678</f>
        <v>109087163</v>
      </c>
    </row>
    <row r="679" spans="1:36" x14ac:dyDescent="0.25">
      <c r="A679" t="s">
        <v>110</v>
      </c>
      <c r="B679">
        <v>2023</v>
      </c>
      <c r="C679" s="1">
        <v>276639907</v>
      </c>
      <c r="D679" s="1">
        <v>12690660</v>
      </c>
      <c r="E679" s="1">
        <v>18896124</v>
      </c>
      <c r="G679" s="1">
        <v>744506415</v>
      </c>
      <c r="H679" s="1">
        <v>182805543</v>
      </c>
      <c r="I679" s="1">
        <v>39094514</v>
      </c>
      <c r="J679" s="1">
        <v>384087958</v>
      </c>
      <c r="K679" s="1">
        <v>90708805</v>
      </c>
      <c r="L679" s="1">
        <v>181319970</v>
      </c>
      <c r="M679" s="1">
        <v>159778892</v>
      </c>
      <c r="N679" s="1">
        <v>341022271</v>
      </c>
      <c r="O679" s="1">
        <v>360418457</v>
      </c>
      <c r="P679" s="1">
        <v>121743376</v>
      </c>
      <c r="Q679" s="1">
        <v>11444365</v>
      </c>
      <c r="R679" s="1">
        <v>140</v>
      </c>
      <c r="T679">
        <f>E679/G679</f>
        <v>2.5380740339221927E-2</v>
      </c>
      <c r="U679">
        <f>D679/C679</f>
        <v>4.5874292460631863E-2</v>
      </c>
      <c r="V679">
        <f>(E679-F679)/O679</f>
        <v>5.2428291706492713E-2</v>
      </c>
      <c r="W679">
        <f>H679/K679</f>
        <v>2.0153009732627387</v>
      </c>
      <c r="X679">
        <f>(H679-I679)/K679</f>
        <v>1.5843117875932773</v>
      </c>
      <c r="Y679">
        <f>(H679-K679)/G679</f>
        <v>0.12370173868817504</v>
      </c>
      <c r="Z679">
        <f>J679/N679</f>
        <v>1.126284089522118</v>
      </c>
      <c r="AA679">
        <f>J679/G679</f>
        <v>0.51589610278912101</v>
      </c>
      <c r="AB679">
        <f>C679/G679</f>
        <v>0.37157491383066188</v>
      </c>
      <c r="AC679">
        <f>C679/(G679-K679)</f>
        <v>0.42312774284996241</v>
      </c>
      <c r="AD679">
        <f>Q679/E679</f>
        <v>0.60564616320257003</v>
      </c>
      <c r="AE679">
        <f>Q679/J679</f>
        <v>2.9796208815273506E-2</v>
      </c>
      <c r="AF679">
        <f>Q679/G679</f>
        <v>1.5371748005690454E-2</v>
      </c>
      <c r="AG679">
        <f>Q679/K679</f>
        <v>0.12616597694126827</v>
      </c>
      <c r="AH679">
        <f>Q679/L679</f>
        <v>6.3116958380260046E-2</v>
      </c>
      <c r="AI679" s="1">
        <f>R679</f>
        <v>140</v>
      </c>
      <c r="AJ679" s="1">
        <f>P679</f>
        <v>121743376</v>
      </c>
    </row>
    <row r="680" spans="1:36" s="8" customFormat="1" x14ac:dyDescent="0.25">
      <c r="A680" s="8" t="s">
        <v>110</v>
      </c>
      <c r="B680" s="8">
        <v>2024</v>
      </c>
      <c r="C680" s="9">
        <v>280772604</v>
      </c>
      <c r="D680" s="9">
        <v>15369358</v>
      </c>
      <c r="E680" s="9">
        <v>12127534</v>
      </c>
      <c r="F680" s="9"/>
      <c r="G680" s="9">
        <v>771191500</v>
      </c>
      <c r="H680" s="9">
        <v>174110183</v>
      </c>
      <c r="I680" s="9">
        <v>39305503</v>
      </c>
      <c r="J680" s="9">
        <v>393714806</v>
      </c>
      <c r="K680" s="9">
        <v>132138203</v>
      </c>
      <c r="L680" s="9">
        <v>171448900</v>
      </c>
      <c r="M680" s="9">
        <v>127169502</v>
      </c>
      <c r="N680" s="9">
        <v>357867311</v>
      </c>
      <c r="O680" s="9">
        <v>377476694</v>
      </c>
      <c r="P680" s="9">
        <v>130812080</v>
      </c>
      <c r="Q680" s="9">
        <v>32751006</v>
      </c>
      <c r="R680" s="9">
        <v>194</v>
      </c>
      <c r="T680" s="8">
        <f>E680/G680</f>
        <v>1.5725710151110326E-2</v>
      </c>
      <c r="U680" s="8">
        <f>D680/C680</f>
        <v>5.4739521523973184E-2</v>
      </c>
      <c r="V680" s="8">
        <f>(E680-F680)/O680</f>
        <v>3.2127901385085249E-2</v>
      </c>
      <c r="W680" s="8">
        <f>H680/K680</f>
        <v>1.3176369819407943</v>
      </c>
      <c r="X680" s="8">
        <f>(H680-I680)/K680</f>
        <v>1.0201794555961987</v>
      </c>
      <c r="Y680" s="8">
        <f>(H680-K680)/G680</f>
        <v>5.4424847784240359E-2</v>
      </c>
      <c r="Z680" s="8">
        <f>J680/N680</f>
        <v>1.1001697944968212</v>
      </c>
      <c r="AA680" s="8">
        <f>J680/G680</f>
        <v>0.5105279376134203</v>
      </c>
      <c r="AB680" s="8">
        <f>C680/G680</f>
        <v>0.36407637272973054</v>
      </c>
      <c r="AC680" s="8">
        <f>C680/(G680-K680)</f>
        <v>0.4393571010713368</v>
      </c>
      <c r="AD680" s="8">
        <f>Q680/E680</f>
        <v>2.7005495099003638</v>
      </c>
      <c r="AE680" s="8">
        <f>Q680/J680</f>
        <v>8.3184593266223267E-2</v>
      </c>
      <c r="AF680" s="8">
        <f>Q680/G680</f>
        <v>4.2468058841416169E-2</v>
      </c>
      <c r="AG680" s="8">
        <f>Q680/K680</f>
        <v>0.24785418036901863</v>
      </c>
      <c r="AH680" s="8">
        <f>Q680/L680</f>
        <v>0.19102488263266781</v>
      </c>
      <c r="AI680" s="9">
        <f>R680</f>
        <v>194</v>
      </c>
      <c r="AJ680" s="9">
        <f>P680</f>
        <v>130812080</v>
      </c>
    </row>
    <row r="681" spans="1:36" x14ac:dyDescent="0.25">
      <c r="A681" s="15" t="s">
        <v>112</v>
      </c>
      <c r="B681" s="15">
        <v>2018</v>
      </c>
      <c r="C681" s="6">
        <v>799267</v>
      </c>
      <c r="D681" s="6">
        <v>315200</v>
      </c>
      <c r="E681" s="6">
        <v>237763</v>
      </c>
      <c r="F681" s="6"/>
      <c r="G681" s="6">
        <v>5113133</v>
      </c>
      <c r="H681" s="6">
        <v>2019755</v>
      </c>
      <c r="I681" s="6">
        <v>661</v>
      </c>
      <c r="J681" s="6">
        <v>1618401</v>
      </c>
      <c r="K681" s="6">
        <v>1458683</v>
      </c>
      <c r="L681" s="6">
        <v>0</v>
      </c>
      <c r="M681" s="6"/>
      <c r="N681" s="6">
        <v>3455197</v>
      </c>
      <c r="O681" s="6">
        <v>3494732</v>
      </c>
      <c r="P681" s="6">
        <v>2847937</v>
      </c>
      <c r="Q681" s="6">
        <v>179050</v>
      </c>
      <c r="R681" s="6">
        <v>59.1</v>
      </c>
      <c r="S681" s="15"/>
      <c r="T681" s="15">
        <f>E681/G681</f>
        <v>4.6500452853465768E-2</v>
      </c>
      <c r="U681" s="15">
        <f>D681/C681</f>
        <v>0.39436133357188524</v>
      </c>
      <c r="V681" s="15">
        <f>(E681-F681)/O681</f>
        <v>6.8034687638422631E-2</v>
      </c>
      <c r="W681" s="15">
        <f>H681/K681</f>
        <v>1.3846428593464104</v>
      </c>
      <c r="X681" s="15">
        <f>(H681-I681)/K681</f>
        <v>1.3841897108556143</v>
      </c>
      <c r="Y681" s="15">
        <f>(H681-K681)/G681</f>
        <v>0.10973154815257104</v>
      </c>
      <c r="Z681" s="15">
        <f>J681/N681</f>
        <v>0.46839615801935464</v>
      </c>
      <c r="AA681" s="15">
        <f>J681/G681</f>
        <v>0.31651846333744887</v>
      </c>
      <c r="AB681" s="15">
        <f>C681/G681</f>
        <v>0.15631648932269118</v>
      </c>
      <c r="AC681" s="15">
        <f>C681/(G681-K681)</f>
        <v>0.21871061308815279</v>
      </c>
      <c r="AD681" s="15">
        <f>Q681/E681</f>
        <v>0.75306082106972072</v>
      </c>
      <c r="AE681" s="15">
        <f>Q681/J681</f>
        <v>0.11063389110609793</v>
      </c>
      <c r="AF681" s="15">
        <f>Q681/G681</f>
        <v>3.5017669205944769E-2</v>
      </c>
      <c r="AG681" s="15">
        <f>Q681/K681</f>
        <v>0.1227477114630115</v>
      </c>
      <c r="AH681" s="15" t="e">
        <f>Q681/L681</f>
        <v>#DIV/0!</v>
      </c>
      <c r="AI681" s="6">
        <f>R681</f>
        <v>59.1</v>
      </c>
      <c r="AJ681" s="6">
        <f>P681</f>
        <v>2847937</v>
      </c>
    </row>
    <row r="682" spans="1:36" x14ac:dyDescent="0.25">
      <c r="A682" t="s">
        <v>112</v>
      </c>
      <c r="B682">
        <v>2019</v>
      </c>
      <c r="C682" s="1">
        <v>833119</v>
      </c>
      <c r="D682" s="1">
        <v>269536</v>
      </c>
      <c r="E682" s="1">
        <v>202455</v>
      </c>
      <c r="G682" s="1">
        <v>6169920</v>
      </c>
      <c r="H682" s="1">
        <v>2241507</v>
      </c>
      <c r="I682" s="1">
        <v>1103</v>
      </c>
      <c r="J682" s="1">
        <v>2018506</v>
      </c>
      <c r="K682" s="1">
        <v>1843101</v>
      </c>
      <c r="L682" s="1">
        <v>0</v>
      </c>
      <c r="N682" s="1">
        <v>4108823</v>
      </c>
      <c r="O682" s="1">
        <v>4151414</v>
      </c>
      <c r="P682" s="1">
        <v>2910954</v>
      </c>
      <c r="Q682" s="1">
        <v>-317924</v>
      </c>
      <c r="R682" s="1">
        <v>48</v>
      </c>
      <c r="T682">
        <f>E682/G682</f>
        <v>3.2813229344950991E-2</v>
      </c>
      <c r="U682">
        <f>D682/C682</f>
        <v>0.32352641099290735</v>
      </c>
      <c r="V682">
        <f>(E682-F682)/O682</f>
        <v>4.8767721070459367E-2</v>
      </c>
      <c r="W682">
        <f>H682/K682</f>
        <v>1.2161606987354463</v>
      </c>
      <c r="X682">
        <f>(H682-I682)/K682</f>
        <v>1.2155622507936352</v>
      </c>
      <c r="Y682">
        <f>(H682-K682)/G682</f>
        <v>6.4572312120740619E-2</v>
      </c>
      <c r="Z682">
        <f>J682/N682</f>
        <v>0.49126136608951032</v>
      </c>
      <c r="AA682">
        <f>J682/G682</f>
        <v>0.32715270214200509</v>
      </c>
      <c r="AB682">
        <f>C682/G682</f>
        <v>0.13502914138270836</v>
      </c>
      <c r="AC682">
        <f>C682/(G682-K682)</f>
        <v>0.19254768919152845</v>
      </c>
      <c r="AD682">
        <f>Q682/E682</f>
        <v>-1.5703440270677433</v>
      </c>
      <c r="AE682">
        <f>Q682/J682</f>
        <v>-0.15750460984510326</v>
      </c>
      <c r="AF682">
        <f>Q682/G682</f>
        <v>-5.1528058710647785E-2</v>
      </c>
      <c r="AG682">
        <f>Q682/K682</f>
        <v>-0.17249407384619725</v>
      </c>
      <c r="AH682" t="e">
        <f>Q682/L682</f>
        <v>#DIV/0!</v>
      </c>
      <c r="AI682" s="1">
        <f>R682</f>
        <v>48</v>
      </c>
      <c r="AJ682" s="1">
        <f>P682</f>
        <v>2910954</v>
      </c>
    </row>
    <row r="683" spans="1:36" x14ac:dyDescent="0.25">
      <c r="A683" t="s">
        <v>112</v>
      </c>
      <c r="B683">
        <v>2020</v>
      </c>
      <c r="C683" s="1">
        <v>647492</v>
      </c>
      <c r="D683" s="1">
        <v>-124325</v>
      </c>
      <c r="E683" s="1">
        <v>-194437</v>
      </c>
      <c r="G683" s="1">
        <v>4841068</v>
      </c>
      <c r="H683" s="1">
        <v>962099</v>
      </c>
      <c r="I683" s="1">
        <v>1521</v>
      </c>
      <c r="J683" s="1">
        <v>1016260</v>
      </c>
      <c r="K683" s="1">
        <v>842604</v>
      </c>
      <c r="L683" s="1">
        <v>0</v>
      </c>
      <c r="N683" s="1">
        <v>3787118</v>
      </c>
      <c r="O683" s="1">
        <v>3824808</v>
      </c>
      <c r="P683" s="1">
        <v>2606225</v>
      </c>
      <c r="Q683" s="1">
        <v>453797</v>
      </c>
      <c r="R683" s="1">
        <v>43</v>
      </c>
      <c r="T683">
        <f>E683/G683</f>
        <v>-4.0164071233868226E-2</v>
      </c>
      <c r="U683">
        <f>D683/C683</f>
        <v>-0.19201009433321184</v>
      </c>
      <c r="V683">
        <f>(E683-F683)/O683</f>
        <v>-5.0835754369892551E-2</v>
      </c>
      <c r="W683">
        <f>H683/K683</f>
        <v>1.1418163217834238</v>
      </c>
      <c r="X683">
        <f>(H683-I683)/K683</f>
        <v>1.1400112033648071</v>
      </c>
      <c r="Y683">
        <f>(H683-K683)/G683</f>
        <v>2.4683602874407053E-2</v>
      </c>
      <c r="Z683">
        <f>J683/N683</f>
        <v>0.2683465368652363</v>
      </c>
      <c r="AA683">
        <f>J683/G683</f>
        <v>0.20992475214146961</v>
      </c>
      <c r="AB683">
        <f>C683/G683</f>
        <v>0.13374982545173916</v>
      </c>
      <c r="AC683">
        <f>C683/(G683-K683)</f>
        <v>0.16193518311031435</v>
      </c>
      <c r="AD683">
        <f>Q683/E683</f>
        <v>-2.3339024979813514</v>
      </c>
      <c r="AE683">
        <f>Q683/J683</f>
        <v>0.44653631944581113</v>
      </c>
      <c r="AF683">
        <f>Q683/G683</f>
        <v>9.3739026181825988E-2</v>
      </c>
      <c r="AG683">
        <f>Q683/K683</f>
        <v>0.53856497239509904</v>
      </c>
      <c r="AH683" t="e">
        <f>Q683/L683</f>
        <v>#DIV/0!</v>
      </c>
      <c r="AI683" s="1">
        <f>R683</f>
        <v>43</v>
      </c>
      <c r="AJ683" s="1">
        <f>P683</f>
        <v>2606225</v>
      </c>
    </row>
    <row r="684" spans="1:36" x14ac:dyDescent="0.25">
      <c r="A684" t="s">
        <v>112</v>
      </c>
      <c r="B684">
        <v>2021</v>
      </c>
      <c r="C684" s="1">
        <v>828218</v>
      </c>
      <c r="D684" s="1">
        <v>330475</v>
      </c>
      <c r="E684" s="1">
        <v>284383</v>
      </c>
      <c r="G684" s="1">
        <v>11848281</v>
      </c>
      <c r="H684" s="1">
        <v>7686528</v>
      </c>
      <c r="I684" s="1">
        <v>1419</v>
      </c>
      <c r="J684" s="1">
        <v>7654555</v>
      </c>
      <c r="K684" s="1">
        <v>7479916</v>
      </c>
      <c r="L684" s="1">
        <v>10000</v>
      </c>
      <c r="N684" s="1">
        <v>4136704</v>
      </c>
      <c r="O684" s="1">
        <v>4193726</v>
      </c>
      <c r="P684" s="1">
        <v>2797294</v>
      </c>
      <c r="Q684" s="1">
        <v>660629</v>
      </c>
      <c r="R684" s="1">
        <v>70</v>
      </c>
      <c r="T684">
        <f>E684/G684</f>
        <v>2.400204721680723E-2</v>
      </c>
      <c r="U684">
        <f>D684/C684</f>
        <v>0.39901934031861175</v>
      </c>
      <c r="V684">
        <f>(E684-F684)/O684</f>
        <v>6.7811535612960883E-2</v>
      </c>
      <c r="W684">
        <f>H684/K684</f>
        <v>1.0276222353299154</v>
      </c>
      <c r="X684">
        <f>(H684-I684)/K684</f>
        <v>1.0274325273171516</v>
      </c>
      <c r="Y684">
        <f>(H684-K684)/G684</f>
        <v>1.7438141448535869E-2</v>
      </c>
      <c r="Z684">
        <f>J684/N684</f>
        <v>1.8503994967974504</v>
      </c>
      <c r="AA684">
        <f>J684/G684</f>
        <v>0.64604772624822115</v>
      </c>
      <c r="AB684">
        <f>C684/G684</f>
        <v>6.9901954553576173E-2</v>
      </c>
      <c r="AC684">
        <f>C684/(G684-K684)</f>
        <v>0.18959450503792608</v>
      </c>
      <c r="AD684">
        <f>Q684/E684</f>
        <v>2.3230256379600749</v>
      </c>
      <c r="AE684">
        <f>Q684/J684</f>
        <v>8.630534368098472E-2</v>
      </c>
      <c r="AF684">
        <f>Q684/G684</f>
        <v>5.575737104817146E-2</v>
      </c>
      <c r="AG684">
        <f>Q684/K684</f>
        <v>8.8320376859847088E-2</v>
      </c>
      <c r="AH684">
        <f>Q684/L684</f>
        <v>66.062899999999999</v>
      </c>
      <c r="AI684" s="1">
        <f>R684</f>
        <v>70</v>
      </c>
      <c r="AJ684" s="1">
        <f>P684</f>
        <v>2797294</v>
      </c>
    </row>
    <row r="685" spans="1:36" x14ac:dyDescent="0.25">
      <c r="A685" t="s">
        <v>112</v>
      </c>
      <c r="B685">
        <v>2022</v>
      </c>
      <c r="C685" s="1">
        <v>946167</v>
      </c>
      <c r="D685" s="1">
        <v>305176</v>
      </c>
      <c r="E685" s="1">
        <v>266084</v>
      </c>
      <c r="G685" s="1">
        <v>6079440</v>
      </c>
      <c r="H685" s="1">
        <v>1853114</v>
      </c>
      <c r="I685" s="1">
        <v>1122</v>
      </c>
      <c r="J685" s="1">
        <v>1677847</v>
      </c>
      <c r="K685" s="1">
        <v>1503217</v>
      </c>
      <c r="L685" s="1">
        <v>3970</v>
      </c>
      <c r="N685" s="1">
        <v>4325005</v>
      </c>
      <c r="O685" s="1">
        <v>4401593</v>
      </c>
      <c r="P685" s="1">
        <v>2887474</v>
      </c>
      <c r="Q685" s="1">
        <v>286108</v>
      </c>
      <c r="R685" s="1">
        <v>68.5</v>
      </c>
      <c r="T685">
        <f>E685/G685</f>
        <v>4.3767847038543022E-2</v>
      </c>
      <c r="U685">
        <f>D685/C685</f>
        <v>0.32253925575506226</v>
      </c>
      <c r="V685">
        <f>(E685-F685)/O685</f>
        <v>6.0451750082299749E-2</v>
      </c>
      <c r="W685">
        <f>H685/K685</f>
        <v>1.2327654623384381</v>
      </c>
      <c r="X685">
        <f>(H685-I685)/K685</f>
        <v>1.2320190631159706</v>
      </c>
      <c r="Y685">
        <f>(H685-K685)/G685</f>
        <v>5.7554149724316717E-2</v>
      </c>
      <c r="Z685">
        <f>J685/N685</f>
        <v>0.38794105440340532</v>
      </c>
      <c r="AA685">
        <f>J685/G685</f>
        <v>0.27598709749582201</v>
      </c>
      <c r="AB685">
        <f>C685/G685</f>
        <v>0.15563390707038807</v>
      </c>
      <c r="AC685">
        <f>C685/(G685-K685)</f>
        <v>0.20675718818772598</v>
      </c>
      <c r="AD685">
        <f>Q685/E685</f>
        <v>1.0752544309315855</v>
      </c>
      <c r="AE685">
        <f>Q685/J685</f>
        <v>0.17052091162066624</v>
      </c>
      <c r="AF685">
        <f>Q685/G685</f>
        <v>4.7061571460529257E-2</v>
      </c>
      <c r="AG685">
        <f>Q685/K685</f>
        <v>0.19033047124932728</v>
      </c>
      <c r="AH685">
        <f>Q685/L685</f>
        <v>72.067506297229215</v>
      </c>
      <c r="AI685" s="1">
        <f>R685</f>
        <v>68.5</v>
      </c>
      <c r="AJ685" s="1">
        <f>P685</f>
        <v>2887474</v>
      </c>
    </row>
    <row r="686" spans="1:36" x14ac:dyDescent="0.25">
      <c r="A686" t="s">
        <v>112</v>
      </c>
      <c r="B686">
        <v>2023</v>
      </c>
      <c r="C686" s="1">
        <v>1024588</v>
      </c>
      <c r="D686" s="1">
        <v>370222</v>
      </c>
      <c r="E686" s="1">
        <v>309497</v>
      </c>
      <c r="G686" s="1">
        <v>5965630</v>
      </c>
      <c r="H686" s="1">
        <v>1835899</v>
      </c>
      <c r="I686" s="1">
        <v>1613</v>
      </c>
      <c r="J686" s="1">
        <v>1740695</v>
      </c>
      <c r="K686" s="1">
        <v>1453910</v>
      </c>
      <c r="L686" s="1">
        <v>0</v>
      </c>
      <c r="N686" s="1">
        <v>4164830</v>
      </c>
      <c r="O686" s="1">
        <v>4224935</v>
      </c>
      <c r="P686" s="1">
        <v>2942215</v>
      </c>
      <c r="Q686" s="1">
        <v>362886</v>
      </c>
      <c r="R686" s="1">
        <v>68.8</v>
      </c>
      <c r="T686">
        <f>E686/G686</f>
        <v>5.188001937766841E-2</v>
      </c>
      <c r="U686">
        <f>D686/C686</f>
        <v>0.36133743514466304</v>
      </c>
      <c r="V686">
        <f>(E686-F686)/O686</f>
        <v>7.3254854808417175E-2</v>
      </c>
      <c r="W686">
        <f>H686/K686</f>
        <v>1.2627322186380174</v>
      </c>
      <c r="X686">
        <f>(H686-I686)/K686</f>
        <v>1.2616227964592031</v>
      </c>
      <c r="Y686">
        <f>(H686-K686)/G686</f>
        <v>6.4031627841485306E-2</v>
      </c>
      <c r="Z686">
        <f>J686/N686</f>
        <v>0.41795103281526497</v>
      </c>
      <c r="AA686">
        <f>J686/G686</f>
        <v>0.2917872881824719</v>
      </c>
      <c r="AB686">
        <f>C686/G686</f>
        <v>0.17174849932027297</v>
      </c>
      <c r="AC686">
        <f>C686/(G686-K686)</f>
        <v>0.22709476651919888</v>
      </c>
      <c r="AD686">
        <f>Q686/E686</f>
        <v>1.172502479830176</v>
      </c>
      <c r="AE686">
        <f>Q686/J686</f>
        <v>0.20847190346384634</v>
      </c>
      <c r="AF686">
        <f>Q686/G686</f>
        <v>6.0829451373953798E-2</v>
      </c>
      <c r="AG686">
        <f>Q686/K686</f>
        <v>0.24959316601440254</v>
      </c>
      <c r="AH686" t="e">
        <f>Q686/L686</f>
        <v>#DIV/0!</v>
      </c>
      <c r="AI686" s="1">
        <f>R686</f>
        <v>68.8</v>
      </c>
      <c r="AJ686" s="1">
        <f>P686</f>
        <v>2942215</v>
      </c>
    </row>
    <row r="687" spans="1:36" s="8" customFormat="1" x14ac:dyDescent="0.25">
      <c r="A687" s="8" t="s">
        <v>112</v>
      </c>
      <c r="B687" s="8">
        <v>2024</v>
      </c>
      <c r="C687" s="9">
        <v>941974</v>
      </c>
      <c r="D687" s="9">
        <v>145530</v>
      </c>
      <c r="E687" s="9">
        <v>144001</v>
      </c>
      <c r="F687" s="9"/>
      <c r="G687" s="9">
        <v>6021094</v>
      </c>
      <c r="H687" s="9">
        <v>1815497</v>
      </c>
      <c r="I687" s="9">
        <v>2773</v>
      </c>
      <c r="J687" s="9">
        <v>1909386</v>
      </c>
      <c r="K687" s="9">
        <v>1528883</v>
      </c>
      <c r="L687" s="9">
        <v>0</v>
      </c>
      <c r="M687" s="9"/>
      <c r="N687" s="9">
        <v>4056924</v>
      </c>
      <c r="O687" s="9">
        <v>4111708</v>
      </c>
      <c r="P687" s="9">
        <v>2904267</v>
      </c>
      <c r="Q687" s="9">
        <v>7268</v>
      </c>
      <c r="R687" s="9">
        <v>64.8</v>
      </c>
      <c r="T687" s="8">
        <f>E687/G687</f>
        <v>2.3916085681439287E-2</v>
      </c>
      <c r="U687" s="8">
        <f>D687/C687</f>
        <v>0.15449471004507556</v>
      </c>
      <c r="V687" s="8">
        <f>(E687-F687)/O687</f>
        <v>3.5022185427564412E-2</v>
      </c>
      <c r="W687" s="8">
        <f>H687/K687</f>
        <v>1.1874662743977138</v>
      </c>
      <c r="X687" s="8">
        <f>(H687-I687)/K687</f>
        <v>1.1856525319465256</v>
      </c>
      <c r="Y687" s="8">
        <f>(H687-K687)/G687</f>
        <v>4.760164847119145E-2</v>
      </c>
      <c r="Z687" s="8">
        <f>J687/N687</f>
        <v>0.47064869837344747</v>
      </c>
      <c r="AA687" s="8">
        <f>J687/G687</f>
        <v>0.31711612540843909</v>
      </c>
      <c r="AB687" s="8">
        <f>C687/G687</f>
        <v>0.15644565588911252</v>
      </c>
      <c r="AC687" s="8">
        <f>C687/(G687-K687)</f>
        <v>0.2096905065234024</v>
      </c>
      <c r="AD687" s="8">
        <f>Q687/E687</f>
        <v>5.0471871723113036E-2</v>
      </c>
      <c r="AE687" s="8">
        <f>Q687/J687</f>
        <v>3.8064592492036706E-3</v>
      </c>
      <c r="AF687" s="8">
        <f>Q687/G687</f>
        <v>1.207089608632584E-3</v>
      </c>
      <c r="AG687" s="8">
        <f>Q687/K687</f>
        <v>4.7537973801788629E-3</v>
      </c>
      <c r="AH687" s="8" t="e">
        <f>Q687/L687</f>
        <v>#DIV/0!</v>
      </c>
      <c r="AI687" s="9">
        <f>R687</f>
        <v>64.8</v>
      </c>
      <c r="AJ687" s="9">
        <f>P687</f>
        <v>2904267</v>
      </c>
    </row>
    <row r="688" spans="1:36" x14ac:dyDescent="0.25">
      <c r="A688" s="15" t="s">
        <v>113</v>
      </c>
      <c r="B688" s="15">
        <v>2018</v>
      </c>
      <c r="C688" s="6">
        <v>3105691</v>
      </c>
      <c r="D688" s="6">
        <v>-39956</v>
      </c>
      <c r="E688" s="6">
        <v>-248891</v>
      </c>
      <c r="F688" s="6"/>
      <c r="G688" s="6">
        <v>4586392</v>
      </c>
      <c r="H688" s="6">
        <v>548281</v>
      </c>
      <c r="I688" s="6">
        <v>390567</v>
      </c>
      <c r="J688" s="6">
        <v>3719062</v>
      </c>
      <c r="K688" s="6">
        <v>2480653</v>
      </c>
      <c r="L688" s="6">
        <v>1022569</v>
      </c>
      <c r="M688" s="6">
        <v>283344</v>
      </c>
      <c r="N688" s="6">
        <v>867330</v>
      </c>
      <c r="O688" s="6">
        <v>867330</v>
      </c>
      <c r="P688" s="6">
        <v>-31430</v>
      </c>
      <c r="Q688" s="6">
        <v>-12505</v>
      </c>
      <c r="R688" s="6">
        <v>39.9</v>
      </c>
      <c r="S688" s="15"/>
      <c r="T688" s="15">
        <f>E688/G688</f>
        <v>-5.4267275889195693E-2</v>
      </c>
      <c r="U688" s="15">
        <f>D688/C688</f>
        <v>-1.2865413848319102E-2</v>
      </c>
      <c r="V688" s="15">
        <f>(E688-F688)/O688</f>
        <v>-0.28696228655759631</v>
      </c>
      <c r="W688" s="15">
        <f>H688/K688</f>
        <v>0.22102285164430494</v>
      </c>
      <c r="X688" s="15">
        <f>(H688-I688)/K688</f>
        <v>6.3577614442648769E-2</v>
      </c>
      <c r="Y688" s="15">
        <f>(H688-K688)/G688</f>
        <v>-0.42132726552811012</v>
      </c>
      <c r="Z688" s="15">
        <f>J688/N688</f>
        <v>4.2879434586604868</v>
      </c>
      <c r="AA688" s="15">
        <f>J688/G688</f>
        <v>0.8108905649582504</v>
      </c>
      <c r="AB688" s="15">
        <f>C688/G688</f>
        <v>0.67715341383815431</v>
      </c>
      <c r="AC688" s="15">
        <f>C688/(G688-K688)</f>
        <v>1.4748698675381897</v>
      </c>
      <c r="AD688" s="15">
        <f>Q688/E688</f>
        <v>5.0242877404164873E-2</v>
      </c>
      <c r="AE688" s="15">
        <f>Q688/J688</f>
        <v>-3.3624069725108107E-3</v>
      </c>
      <c r="AF688" s="15">
        <f>Q688/G688</f>
        <v>-2.7265440895588517E-3</v>
      </c>
      <c r="AG688" s="15">
        <f>Q688/K688</f>
        <v>-5.0410113788587115E-3</v>
      </c>
      <c r="AH688" s="15">
        <f>Q688/L688</f>
        <v>-1.2229003617359806E-2</v>
      </c>
      <c r="AI688" s="6">
        <f>R688</f>
        <v>39.9</v>
      </c>
      <c r="AJ688" s="6">
        <f>P688</f>
        <v>-31430</v>
      </c>
    </row>
    <row r="689" spans="1:36" x14ac:dyDescent="0.25">
      <c r="A689" t="s">
        <v>113</v>
      </c>
      <c r="B689">
        <v>2019</v>
      </c>
      <c r="C689" s="1">
        <v>2730645</v>
      </c>
      <c r="D689" s="1">
        <v>-175626</v>
      </c>
      <c r="E689" s="1">
        <v>-509554</v>
      </c>
      <c r="G689" s="1">
        <v>5031227</v>
      </c>
      <c r="H689" s="1">
        <v>534844</v>
      </c>
      <c r="I689" s="1">
        <v>345805</v>
      </c>
      <c r="J689" s="1">
        <v>4402065</v>
      </c>
      <c r="K689" s="1">
        <v>2657600</v>
      </c>
      <c r="L689" s="1">
        <v>1230282</v>
      </c>
      <c r="M689" s="1">
        <v>678694</v>
      </c>
      <c r="N689" s="1">
        <v>629162</v>
      </c>
      <c r="O689" s="1">
        <v>629162</v>
      </c>
      <c r="P689" s="1">
        <v>-537954</v>
      </c>
      <c r="Q689" s="1">
        <v>23473</v>
      </c>
      <c r="R689" s="1">
        <v>36.5</v>
      </c>
      <c r="T689">
        <f>E689/G689</f>
        <v>-0.10127827665100382</v>
      </c>
      <c r="U689">
        <f>D689/C689</f>
        <v>-6.4316672434534691E-2</v>
      </c>
      <c r="V689">
        <f>(E689-F689)/O689</f>
        <v>-0.80989315947244112</v>
      </c>
      <c r="W689">
        <f>H689/K689</f>
        <v>0.20125075255869959</v>
      </c>
      <c r="X689">
        <f>(H689-I689)/K689</f>
        <v>7.1131472004816371E-2</v>
      </c>
      <c r="Y689">
        <f>(H689-K689)/G689</f>
        <v>-0.42191616478445515</v>
      </c>
      <c r="Z689">
        <f>J689/N689</f>
        <v>6.9967114987872758</v>
      </c>
      <c r="AA689">
        <f>J689/G689</f>
        <v>0.87494859603830244</v>
      </c>
      <c r="AB689">
        <f>C689/G689</f>
        <v>0.54273937550422591</v>
      </c>
      <c r="AC689">
        <f>C689/(G689-K689)</f>
        <v>1.1504103214194985</v>
      </c>
      <c r="AD689">
        <f>Q689/E689</f>
        <v>-4.6065775168088172E-2</v>
      </c>
      <c r="AE689">
        <f>Q689/J689</f>
        <v>5.3322701959194153E-3</v>
      </c>
      <c r="AF689">
        <f>Q689/G689</f>
        <v>4.6654623216165758E-3</v>
      </c>
      <c r="AG689">
        <f>Q689/K689</f>
        <v>8.8324051776038533E-3</v>
      </c>
      <c r="AH689">
        <f>Q689/L689</f>
        <v>1.9079365543834666E-2</v>
      </c>
      <c r="AI689" s="1">
        <f>R689</f>
        <v>36.5</v>
      </c>
      <c r="AJ689" s="1">
        <f>P689</f>
        <v>-537954</v>
      </c>
    </row>
    <row r="690" spans="1:36" x14ac:dyDescent="0.25">
      <c r="A690" t="s">
        <v>113</v>
      </c>
      <c r="B690">
        <v>2020</v>
      </c>
      <c r="C690" s="1">
        <v>2979643</v>
      </c>
      <c r="D690" s="1">
        <v>-274</v>
      </c>
      <c r="E690" s="1">
        <v>-245767</v>
      </c>
      <c r="G690" s="1">
        <v>5036721</v>
      </c>
      <c r="H690" s="1">
        <v>603847</v>
      </c>
      <c r="I690" s="1">
        <v>442201</v>
      </c>
      <c r="J690" s="1">
        <v>3901960</v>
      </c>
      <c r="K690" s="1">
        <v>2157555</v>
      </c>
      <c r="L690" s="1">
        <v>1298955</v>
      </c>
      <c r="M690" s="1">
        <v>585373</v>
      </c>
      <c r="N690" s="1">
        <v>1134761</v>
      </c>
      <c r="O690" s="1">
        <v>1134761</v>
      </c>
      <c r="P690" s="1">
        <v>-832547</v>
      </c>
      <c r="Q690" s="1">
        <v>6063</v>
      </c>
      <c r="R690" s="1">
        <v>31</v>
      </c>
      <c r="T690">
        <f>E690/G690</f>
        <v>-4.8795039471116228E-2</v>
      </c>
      <c r="U690">
        <f>D690/C690</f>
        <v>-9.1957325088945225E-5</v>
      </c>
      <c r="V690">
        <f>(E690-F690)/O690</f>
        <v>-0.21658040768056006</v>
      </c>
      <c r="W690">
        <f>H690/K690</f>
        <v>0.27987559992676897</v>
      </c>
      <c r="X690">
        <f>(H690-I690)/K690</f>
        <v>7.4920917427365702E-2</v>
      </c>
      <c r="Y690">
        <f>(H690-K690)/G690</f>
        <v>-0.30847608990055236</v>
      </c>
      <c r="Z690">
        <f>J690/N690</f>
        <v>3.4385742900928036</v>
      </c>
      <c r="AA690">
        <f>J690/G690</f>
        <v>0.77470243041057862</v>
      </c>
      <c r="AB690">
        <f>C690/G690</f>
        <v>0.59158388959801422</v>
      </c>
      <c r="AC690">
        <f>C690/(G690-K690)</f>
        <v>1.034897953087804</v>
      </c>
      <c r="AD690">
        <f>Q690/E690</f>
        <v>-2.4669707487172812E-2</v>
      </c>
      <c r="AE690">
        <f>Q690/J690</f>
        <v>1.5538344831828106E-3</v>
      </c>
      <c r="AF690">
        <f>Q690/G690</f>
        <v>1.2037593505774889E-3</v>
      </c>
      <c r="AG690">
        <f>Q690/K690</f>
        <v>2.8101253502228218E-3</v>
      </c>
      <c r="AH690">
        <f>Q690/L690</f>
        <v>4.6675981846946201E-3</v>
      </c>
      <c r="AI690" s="1">
        <f>R690</f>
        <v>31</v>
      </c>
      <c r="AJ690" s="1">
        <f>P690</f>
        <v>-832547</v>
      </c>
    </row>
    <row r="691" spans="1:36" x14ac:dyDescent="0.25">
      <c r="A691" t="s">
        <v>113</v>
      </c>
      <c r="B691">
        <v>2021</v>
      </c>
      <c r="C691" s="1">
        <v>4267216</v>
      </c>
      <c r="D691" s="1">
        <v>89340</v>
      </c>
      <c r="E691" s="1">
        <v>-106198</v>
      </c>
      <c r="G691" s="1">
        <v>5084675</v>
      </c>
      <c r="H691" s="1">
        <v>571961</v>
      </c>
      <c r="I691" s="1">
        <v>416319</v>
      </c>
      <c r="J691" s="1">
        <v>3938566</v>
      </c>
      <c r="K691" s="1">
        <v>2281316</v>
      </c>
      <c r="L691" s="1">
        <v>1341826</v>
      </c>
      <c r="M691" s="1">
        <v>576049</v>
      </c>
      <c r="N691" s="1">
        <v>1146109</v>
      </c>
      <c r="O691" s="1">
        <v>1146109</v>
      </c>
      <c r="P691" s="1">
        <v>-832120</v>
      </c>
      <c r="Q691" s="1">
        <v>133649</v>
      </c>
      <c r="R691" s="1">
        <v>27.6</v>
      </c>
      <c r="T691">
        <f>E691/G691</f>
        <v>-2.0885897328737826E-2</v>
      </c>
      <c r="U691">
        <f>D691/C691</f>
        <v>2.0936366942756121E-2</v>
      </c>
      <c r="V691">
        <f>(E691-F691)/O691</f>
        <v>-9.265959869436502E-2</v>
      </c>
      <c r="W691">
        <f>H691/K691</f>
        <v>0.25071537656335202</v>
      </c>
      <c r="X691">
        <f>(H691-I691)/K691</f>
        <v>6.822465629487541E-2</v>
      </c>
      <c r="Y691">
        <f>(H691-K691)/G691</f>
        <v>-0.33617782847477962</v>
      </c>
      <c r="Z691">
        <f>J691/N691</f>
        <v>3.4364672121063529</v>
      </c>
      <c r="AA691">
        <f>J691/G691</f>
        <v>0.77459542645301815</v>
      </c>
      <c r="AB691">
        <f>C691/G691</f>
        <v>0.83923082596232801</v>
      </c>
      <c r="AC691">
        <f>C691/(G691-K691)</f>
        <v>1.5221796423504803</v>
      </c>
      <c r="AD691">
        <f>Q691/E691</f>
        <v>-1.2584888604305167</v>
      </c>
      <c r="AE691">
        <f>Q691/J691</f>
        <v>3.3933416375401607E-2</v>
      </c>
      <c r="AF691">
        <f>Q691/G691</f>
        <v>2.6284669128312035E-2</v>
      </c>
      <c r="AG691">
        <f>Q691/K691</f>
        <v>5.8584168085438405E-2</v>
      </c>
      <c r="AH691">
        <f>Q691/L691</f>
        <v>9.9602332940336533E-2</v>
      </c>
      <c r="AI691" s="1">
        <f>R691</f>
        <v>27.6</v>
      </c>
      <c r="AJ691" s="1">
        <f>P691</f>
        <v>-832120</v>
      </c>
    </row>
    <row r="692" spans="1:36" x14ac:dyDescent="0.25">
      <c r="A692" t="s">
        <v>113</v>
      </c>
      <c r="B692">
        <v>2022</v>
      </c>
      <c r="C692" s="1">
        <v>6261316</v>
      </c>
      <c r="D692" s="1">
        <v>958234</v>
      </c>
      <c r="E692" s="1">
        <v>312038</v>
      </c>
      <c r="G692" s="1">
        <v>5765774</v>
      </c>
      <c r="H692" s="1">
        <v>954503</v>
      </c>
      <c r="I692" s="1">
        <v>781728</v>
      </c>
      <c r="J692" s="1">
        <v>4226860</v>
      </c>
      <c r="K692" s="1">
        <v>2410690</v>
      </c>
      <c r="L692" s="1">
        <v>1095954</v>
      </c>
      <c r="M692" s="1">
        <v>380374</v>
      </c>
      <c r="N692" s="1">
        <v>1538914</v>
      </c>
      <c r="O692" s="1">
        <v>1538914</v>
      </c>
      <c r="P692" s="1">
        <v>-500634</v>
      </c>
      <c r="Q692" s="1">
        <v>578545</v>
      </c>
      <c r="R692" s="1">
        <v>24.5</v>
      </c>
      <c r="T692">
        <f>E692/G692</f>
        <v>5.4119013336284078E-2</v>
      </c>
      <c r="U692">
        <f>D692/C692</f>
        <v>0.15304035126161977</v>
      </c>
      <c r="V692">
        <f>(E692-F692)/O692</f>
        <v>0.20276506679385592</v>
      </c>
      <c r="W692">
        <f>H692/K692</f>
        <v>0.39594597397425635</v>
      </c>
      <c r="X692">
        <f>(H692-I692)/K692</f>
        <v>7.1670351642060981E-2</v>
      </c>
      <c r="Y692">
        <f>(H692-K692)/G692</f>
        <v>-0.25255707212943135</v>
      </c>
      <c r="Z692">
        <f>J692/N692</f>
        <v>2.7466512098791744</v>
      </c>
      <c r="AA692">
        <f>J692/G692</f>
        <v>0.73309498429872555</v>
      </c>
      <c r="AB692">
        <f>C692/G692</f>
        <v>1.0859454428841644</v>
      </c>
      <c r="AC692">
        <f>C692/(G692-K692)</f>
        <v>1.8662173584923656</v>
      </c>
      <c r="AD692">
        <f>Q692/E692</f>
        <v>1.8540850793813575</v>
      </c>
      <c r="AE692">
        <f>Q692/J692</f>
        <v>0.13687347108728465</v>
      </c>
      <c r="AF692">
        <f>Q692/G692</f>
        <v>0.10034125513764501</v>
      </c>
      <c r="AG692">
        <f>Q692/K692</f>
        <v>0.23999145472872913</v>
      </c>
      <c r="AH692">
        <f>Q692/L692</f>
        <v>0.52789168158517596</v>
      </c>
      <c r="AI692" s="1">
        <f>R692</f>
        <v>24.5</v>
      </c>
      <c r="AJ692" s="1">
        <f>P692</f>
        <v>-500634</v>
      </c>
    </row>
    <row r="693" spans="1:36" x14ac:dyDescent="0.25">
      <c r="A693" t="s">
        <v>113</v>
      </c>
      <c r="B693">
        <v>2023</v>
      </c>
      <c r="C693" s="1">
        <v>5153626</v>
      </c>
      <c r="D693" s="1">
        <v>161601</v>
      </c>
      <c r="E693" s="1">
        <v>-579544</v>
      </c>
      <c r="G693" s="1">
        <v>5981948</v>
      </c>
      <c r="H693" s="1">
        <v>792709</v>
      </c>
      <c r="I693" s="1">
        <v>603898</v>
      </c>
      <c r="J693" s="1">
        <v>5119439</v>
      </c>
      <c r="K693" s="1">
        <v>2838935</v>
      </c>
      <c r="L693" s="1">
        <v>1494851</v>
      </c>
      <c r="M693" s="1">
        <v>374473</v>
      </c>
      <c r="N693" s="1">
        <v>862509</v>
      </c>
      <c r="O693" s="1">
        <v>862509</v>
      </c>
      <c r="P693" s="1">
        <v>-1177039</v>
      </c>
      <c r="Q693" s="1">
        <v>-72278</v>
      </c>
      <c r="R693" s="1">
        <v>16</v>
      </c>
      <c r="T693">
        <f>E693/G693</f>
        <v>-9.6882152770301586E-2</v>
      </c>
      <c r="U693">
        <f>D693/C693</f>
        <v>3.1356757358799413E-2</v>
      </c>
      <c r="V693">
        <f>(E693-F693)/O693</f>
        <v>-0.6719280610405225</v>
      </c>
      <c r="W693">
        <f>H693/K693</f>
        <v>0.27922759767307104</v>
      </c>
      <c r="X693">
        <f>(H693-I693)/K693</f>
        <v>6.6507686861446286E-2</v>
      </c>
      <c r="Y693">
        <f>(H693-K693)/G693</f>
        <v>-0.34206683174109836</v>
      </c>
      <c r="Z693">
        <f>J693/N693</f>
        <v>5.9355195134195702</v>
      </c>
      <c r="AA693">
        <f>J693/G693</f>
        <v>0.85581469447745118</v>
      </c>
      <c r="AB693">
        <f>C693/G693</f>
        <v>0.86152972242486892</v>
      </c>
      <c r="AC693">
        <f>C693/(G693-K693)</f>
        <v>1.6397087762602318</v>
      </c>
      <c r="AD693">
        <f>Q693/E693</f>
        <v>0.12471529340308933</v>
      </c>
      <c r="AE693">
        <f>Q693/J693</f>
        <v>-1.4118343826345034E-2</v>
      </c>
      <c r="AF693">
        <f>Q693/G693</f>
        <v>-1.2082686108271085E-2</v>
      </c>
      <c r="AG693">
        <f>Q693/K693</f>
        <v>-2.5459547330248845E-2</v>
      </c>
      <c r="AH693">
        <f>Q693/L693</f>
        <v>-4.8351307254034012E-2</v>
      </c>
      <c r="AI693" s="1">
        <f>R693</f>
        <v>16</v>
      </c>
      <c r="AJ693" s="1">
        <f>P693</f>
        <v>-1177039</v>
      </c>
    </row>
    <row r="694" spans="1:36" s="8" customFormat="1" x14ac:dyDescent="0.25">
      <c r="A694" s="8" t="s">
        <v>113</v>
      </c>
      <c r="B694" s="8">
        <v>2024</v>
      </c>
      <c r="C694" s="9">
        <v>0</v>
      </c>
      <c r="D694" s="9">
        <v>0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9">
        <v>0</v>
      </c>
      <c r="N694" s="9">
        <v>0</v>
      </c>
      <c r="O694" s="9">
        <v>0</v>
      </c>
      <c r="P694" s="9">
        <v>0</v>
      </c>
      <c r="Q694" s="9">
        <v>0</v>
      </c>
      <c r="R694" s="9">
        <v>0</v>
      </c>
      <c r="T694" s="8" t="e">
        <f>E694/G694</f>
        <v>#DIV/0!</v>
      </c>
      <c r="U694" s="8" t="e">
        <f>D694/C694</f>
        <v>#DIV/0!</v>
      </c>
      <c r="V694" s="8" t="e">
        <f>(E694-F694)/O694</f>
        <v>#DIV/0!</v>
      </c>
      <c r="W694" s="8" t="e">
        <f>H694/K694</f>
        <v>#DIV/0!</v>
      </c>
      <c r="X694" s="8" t="e">
        <f>(H694-I694)/K694</f>
        <v>#DIV/0!</v>
      </c>
      <c r="Y694" s="8" t="e">
        <f>(H694-K694)/G694</f>
        <v>#DIV/0!</v>
      </c>
      <c r="Z694" s="8" t="e">
        <f>J694/N694</f>
        <v>#DIV/0!</v>
      </c>
      <c r="AA694" s="8" t="e">
        <f>J694/G694</f>
        <v>#DIV/0!</v>
      </c>
      <c r="AB694" s="8" t="e">
        <f>C694/G694</f>
        <v>#DIV/0!</v>
      </c>
      <c r="AC694" s="8" t="e">
        <f>C694/(G694-K694)</f>
        <v>#DIV/0!</v>
      </c>
      <c r="AD694" s="8" t="e">
        <f>Q694/E694</f>
        <v>#DIV/0!</v>
      </c>
      <c r="AE694" s="8" t="e">
        <f>Q694/J694</f>
        <v>#DIV/0!</v>
      </c>
      <c r="AF694" s="8" t="e">
        <f>Q694/G694</f>
        <v>#DIV/0!</v>
      </c>
      <c r="AG694" s="8" t="e">
        <f>Q694/K694</f>
        <v>#DIV/0!</v>
      </c>
      <c r="AH694" s="8" t="e">
        <f>Q694/L694</f>
        <v>#DIV/0!</v>
      </c>
      <c r="AI694" s="9">
        <f>R694</f>
        <v>0</v>
      </c>
      <c r="AJ694" s="9">
        <f>P694</f>
        <v>0</v>
      </c>
    </row>
    <row r="695" spans="1:36" x14ac:dyDescent="0.25">
      <c r="A695" s="15" t="s">
        <v>117</v>
      </c>
      <c r="B695" s="15">
        <v>2018</v>
      </c>
      <c r="C695" s="6">
        <v>7994364.3530000001</v>
      </c>
      <c r="D695" s="6">
        <v>316513.99699999997</v>
      </c>
      <c r="E695" s="6">
        <v>184768.80900000001</v>
      </c>
      <c r="F695" s="6">
        <v>0</v>
      </c>
      <c r="G695" s="6">
        <v>6155862.7699999996</v>
      </c>
      <c r="H695" s="6">
        <v>5003105.2290000003</v>
      </c>
      <c r="I695" s="6">
        <v>1676332.97</v>
      </c>
      <c r="J695" s="6">
        <v>2468915.1749999998</v>
      </c>
      <c r="K695" s="6">
        <v>2238051.679</v>
      </c>
      <c r="L695" s="6">
        <v>242061.76800000001</v>
      </c>
      <c r="M695" s="6">
        <v>11100.768</v>
      </c>
      <c r="N695" s="6">
        <v>3686947.5950000002</v>
      </c>
      <c r="O695" s="6">
        <v>3686947.5950000002</v>
      </c>
      <c r="P695" s="6">
        <v>2632861.648</v>
      </c>
      <c r="Q695" s="6">
        <v>80979.34</v>
      </c>
      <c r="R695" s="6">
        <v>93</v>
      </c>
      <c r="S695" s="15"/>
      <c r="T695" s="15">
        <f>E695/G695</f>
        <v>3.001509551194885E-2</v>
      </c>
      <c r="U695" s="15">
        <f>D695/C695</f>
        <v>3.9592140541007938E-2</v>
      </c>
      <c r="V695" s="15">
        <f>(E695-F695)/O695</f>
        <v>5.0114303021440154E-2</v>
      </c>
      <c r="W695" s="15">
        <f>H695/K695</f>
        <v>2.2354735040057134</v>
      </c>
      <c r="X695" s="15">
        <f>(H695-I695)/K695</f>
        <v>1.4864590885973015</v>
      </c>
      <c r="Y695" s="15">
        <f>(H695-K695)/G695</f>
        <v>0.44917400749659669</v>
      </c>
      <c r="Z695" s="15">
        <f>J695/N695</f>
        <v>0.66963663338968604</v>
      </c>
      <c r="AA695" s="15">
        <f>J695/G695</f>
        <v>0.40106728613769926</v>
      </c>
      <c r="AB695" s="15">
        <f>C695/G695</f>
        <v>1.2986586367649</v>
      </c>
      <c r="AC695" s="15">
        <f>C695/(G695-K695)</f>
        <v>2.0405180768834574</v>
      </c>
      <c r="AD695" s="15">
        <f>Q695/E695</f>
        <v>0.43827386471923402</v>
      </c>
      <c r="AE695" s="15">
        <f>Q695/J695</f>
        <v>3.2799563476294806E-2</v>
      </c>
      <c r="AF695" s="15">
        <f>Q695/G695</f>
        <v>1.315483190993876E-2</v>
      </c>
      <c r="AG695" s="15">
        <f>Q695/K695</f>
        <v>3.6182962511474695E-2</v>
      </c>
      <c r="AH695" s="15">
        <f>Q695/L695</f>
        <v>0.33453998402589535</v>
      </c>
      <c r="AI695" s="6">
        <f>R695</f>
        <v>93</v>
      </c>
      <c r="AJ695" s="6">
        <f>P695</f>
        <v>2632861.648</v>
      </c>
    </row>
    <row r="696" spans="1:36" x14ac:dyDescent="0.25">
      <c r="A696" t="s">
        <v>117</v>
      </c>
      <c r="B696">
        <v>2019</v>
      </c>
      <c r="C696" s="1">
        <v>8492482.2780000009</v>
      </c>
      <c r="D696" s="1">
        <v>398361.348</v>
      </c>
      <c r="E696" s="1">
        <v>231997.361</v>
      </c>
      <c r="F696" s="1">
        <v>0</v>
      </c>
      <c r="G696" s="1">
        <v>6824641.6830000002</v>
      </c>
      <c r="H696" s="1">
        <v>5600574.8700000001</v>
      </c>
      <c r="I696" s="1">
        <v>1846445.3970000001</v>
      </c>
      <c r="J696" s="1">
        <v>3139397.9360000002</v>
      </c>
      <c r="K696" s="1">
        <v>2959977.8679999998</v>
      </c>
      <c r="L696" s="1">
        <v>1123097.8799999999</v>
      </c>
      <c r="M696" s="1">
        <v>7876.9719999999998</v>
      </c>
      <c r="N696" s="1">
        <v>3685243.747</v>
      </c>
      <c r="O696" s="1">
        <v>3685243.747</v>
      </c>
      <c r="P696" s="1">
        <v>2631157.7999999998</v>
      </c>
      <c r="Q696" s="1">
        <v>-502072.33600000001</v>
      </c>
      <c r="R696" s="1">
        <v>67.400000000000006</v>
      </c>
      <c r="T696">
        <f>E696/G696</f>
        <v>3.3994072037202956E-2</v>
      </c>
      <c r="U696">
        <f>D696/C696</f>
        <v>4.6907527735673415E-2</v>
      </c>
      <c r="V696">
        <f>(E696-F696)/O696</f>
        <v>6.2953057362585357E-2</v>
      </c>
      <c r="W696">
        <f>H696/K696</f>
        <v>1.8921002520144521</v>
      </c>
      <c r="X696">
        <f>(H696-I696)/K696</f>
        <v>1.2682964672085855</v>
      </c>
      <c r="Y696">
        <f>(H696-K696)/G696</f>
        <v>0.38692097323990748</v>
      </c>
      <c r="Z696">
        <f>J696/N696</f>
        <v>0.8518833899536904</v>
      </c>
      <c r="AA696">
        <f>J696/G696</f>
        <v>0.46000919635387694</v>
      </c>
      <c r="AB696">
        <f>C696/G696</f>
        <v>1.2443850787294148</v>
      </c>
      <c r="AC696">
        <f>C696/(G696-K696)</f>
        <v>2.1974698665995089</v>
      </c>
      <c r="AD696">
        <f>Q696/E696</f>
        <v>-2.1641295135249403</v>
      </c>
      <c r="AE696">
        <f>Q696/J696</f>
        <v>-0.15992631269921304</v>
      </c>
      <c r="AF696">
        <f>Q696/G696</f>
        <v>-7.3567574580603812E-2</v>
      </c>
      <c r="AG696">
        <f>Q696/K696</f>
        <v>-0.16962030068800502</v>
      </c>
      <c r="AH696">
        <f>Q696/L696</f>
        <v>-0.44704236820391829</v>
      </c>
      <c r="AI696" s="1">
        <f>R696</f>
        <v>67.400000000000006</v>
      </c>
      <c r="AJ696" s="1">
        <f>P696</f>
        <v>2631157.7999999998</v>
      </c>
    </row>
    <row r="697" spans="1:36" x14ac:dyDescent="0.25">
      <c r="A697" t="s">
        <v>117</v>
      </c>
      <c r="B697">
        <v>2020</v>
      </c>
      <c r="C697" s="1">
        <v>8759918.341</v>
      </c>
      <c r="D697" s="1">
        <v>483108.30599999998</v>
      </c>
      <c r="E697" s="1">
        <v>353051.03499999997</v>
      </c>
      <c r="F697" s="1">
        <v>0</v>
      </c>
      <c r="G697" s="1">
        <v>7291611.3099999996</v>
      </c>
      <c r="H697" s="1">
        <v>6108622.0130000003</v>
      </c>
      <c r="I697" s="1">
        <v>1749973.547</v>
      </c>
      <c r="J697" s="1">
        <v>3329164.4929999998</v>
      </c>
      <c r="K697" s="1">
        <v>3193625.1490000002</v>
      </c>
      <c r="L697" s="1">
        <v>1016937.849</v>
      </c>
      <c r="M697" s="1">
        <v>5017.1589999999997</v>
      </c>
      <c r="N697" s="1">
        <v>3962446.8169999998</v>
      </c>
      <c r="O697" s="1">
        <v>3962446.8169999998</v>
      </c>
      <c r="P697" s="1">
        <v>2908360.87</v>
      </c>
      <c r="Q697" s="1">
        <v>-58474.127999999997</v>
      </c>
      <c r="R697" s="1">
        <v>52</v>
      </c>
      <c r="T697">
        <f>E697/G697</f>
        <v>4.8418795241569175E-2</v>
      </c>
      <c r="U697">
        <f>D697/C697</f>
        <v>5.5149864096204593E-2</v>
      </c>
      <c r="V697">
        <f>(E697-F697)/O697</f>
        <v>8.9099248849300081E-2</v>
      </c>
      <c r="W697">
        <f>H697/K697</f>
        <v>1.9127548563151673</v>
      </c>
      <c r="X697">
        <f>(H697-I697)/K697</f>
        <v>1.3647965126291657</v>
      </c>
      <c r="Y697">
        <f>(H697-K697)/G697</f>
        <v>0.3997740334845139</v>
      </c>
      <c r="Z697">
        <f>J697/N697</f>
        <v>0.8401789719213284</v>
      </c>
      <c r="AA697">
        <f>J697/G697</f>
        <v>0.45657459667854949</v>
      </c>
      <c r="AB697">
        <f>C697/G697</f>
        <v>1.2013693501443647</v>
      </c>
      <c r="AC697">
        <f>C697/(G697-K697)</f>
        <v>2.1376154034796415</v>
      </c>
      <c r="AD697">
        <f>Q697/E697</f>
        <v>-0.1656251425519826</v>
      </c>
      <c r="AE697">
        <f>Q697/J697</f>
        <v>-1.756420511000566E-2</v>
      </c>
      <c r="AF697">
        <f>Q697/G697</f>
        <v>-8.0193698640801513E-3</v>
      </c>
      <c r="AG697">
        <f>Q697/K697</f>
        <v>-1.8309640384160188E-2</v>
      </c>
      <c r="AH697">
        <f>Q697/L697</f>
        <v>-5.7500198323329386E-2</v>
      </c>
      <c r="AI697" s="1">
        <f>R697</f>
        <v>52</v>
      </c>
      <c r="AJ697" s="1">
        <f>P697</f>
        <v>2908360.87</v>
      </c>
    </row>
    <row r="698" spans="1:36" x14ac:dyDescent="0.25">
      <c r="A698" t="s">
        <v>117</v>
      </c>
      <c r="B698">
        <v>2021</v>
      </c>
      <c r="C698" s="1">
        <v>9650437.5309999995</v>
      </c>
      <c r="D698" s="1">
        <v>819549.88800000004</v>
      </c>
      <c r="E698" s="1">
        <v>621365.47600000002</v>
      </c>
      <c r="F698" s="1">
        <v>0</v>
      </c>
      <c r="G698" s="1">
        <v>8637018.0979999993</v>
      </c>
      <c r="H698" s="1">
        <v>6893213.585</v>
      </c>
      <c r="I698" s="1">
        <v>2227972.4070000001</v>
      </c>
      <c r="J698" s="1">
        <v>3987195.0419999999</v>
      </c>
      <c r="K698" s="1">
        <v>3779492.5109999999</v>
      </c>
      <c r="L698" s="1">
        <v>808981.49600000004</v>
      </c>
      <c r="M698" s="1">
        <v>5553.38</v>
      </c>
      <c r="N698" s="1">
        <v>4649823.0559999999</v>
      </c>
      <c r="O698" s="1">
        <v>4649823.0559999999</v>
      </c>
      <c r="P698" s="1">
        <v>3408195.8829999999</v>
      </c>
      <c r="Q698" s="1">
        <v>634508.44799999997</v>
      </c>
      <c r="R698" s="1">
        <v>111.75</v>
      </c>
      <c r="T698">
        <f>E698/G698</f>
        <v>7.1942129673652572E-2</v>
      </c>
      <c r="U698">
        <f>D698/C698</f>
        <v>8.4923599097695673E-2</v>
      </c>
      <c r="V698">
        <f>(E698-F698)/O698</f>
        <v>0.13363206911673933</v>
      </c>
      <c r="W698">
        <f>H698/K698</f>
        <v>1.8238463404644116</v>
      </c>
      <c r="X698">
        <f>(H698-I698)/K698</f>
        <v>1.2343565080290748</v>
      </c>
      <c r="Y698">
        <f>(H698-K698)/G698</f>
        <v>0.36050880508413174</v>
      </c>
      <c r="Z698">
        <f>J698/N698</f>
        <v>0.8574939291195256</v>
      </c>
      <c r="AA698">
        <f>J698/G698</f>
        <v>0.46164023239956864</v>
      </c>
      <c r="AB698">
        <f>C698/G698</f>
        <v>1.117334411193913</v>
      </c>
      <c r="AC698">
        <f>C698/(G698-K698)</f>
        <v>1.9866982392902011</v>
      </c>
      <c r="AD698">
        <f>Q698/E698</f>
        <v>1.0211517577136839</v>
      </c>
      <c r="AE698">
        <f>Q698/J698</f>
        <v>0.15913654619758127</v>
      </c>
      <c r="AF698">
        <f>Q698/G698</f>
        <v>7.3463832169916102E-2</v>
      </c>
      <c r="AG698">
        <f>Q698/K698</f>
        <v>0.16788191699105076</v>
      </c>
      <c r="AH698">
        <f>Q698/L698</f>
        <v>0.78432998917443708</v>
      </c>
      <c r="AI698" s="1">
        <f>R698</f>
        <v>111.75</v>
      </c>
      <c r="AJ698" s="1">
        <f>P698</f>
        <v>3408195.8829999999</v>
      </c>
    </row>
    <row r="699" spans="1:36" x14ac:dyDescent="0.25">
      <c r="A699" t="s">
        <v>117</v>
      </c>
      <c r="B699">
        <v>2022</v>
      </c>
      <c r="C699" s="1">
        <v>15115383.470000001</v>
      </c>
      <c r="D699" s="1">
        <v>2416307.699</v>
      </c>
      <c r="E699" s="1">
        <v>2133834.2319999998</v>
      </c>
      <c r="F699" s="1">
        <v>0</v>
      </c>
      <c r="G699" s="1">
        <v>11504175.936000001</v>
      </c>
      <c r="H699" s="1">
        <v>9580750.0289999992</v>
      </c>
      <c r="I699" s="1">
        <v>2340191.8629999999</v>
      </c>
      <c r="J699" s="1">
        <v>4783522.0779999997</v>
      </c>
      <c r="K699" s="1">
        <v>4375606.2740000002</v>
      </c>
      <c r="L699" s="1">
        <v>397257.97700000001</v>
      </c>
      <c r="M699" s="1">
        <v>239274.647</v>
      </c>
      <c r="N699" s="1">
        <v>6720653.858</v>
      </c>
      <c r="O699" s="1">
        <v>6720653.858</v>
      </c>
      <c r="P699" s="1">
        <v>5479026.6849999996</v>
      </c>
      <c r="Q699" s="1">
        <v>3771504.932</v>
      </c>
      <c r="R699" s="1">
        <v>290.75</v>
      </c>
      <c r="T699">
        <f>E699/G699</f>
        <v>0.18548344912933706</v>
      </c>
      <c r="U699">
        <f>D699/C699</f>
        <v>0.15985751891744762</v>
      </c>
      <c r="V699">
        <f>(E699-F699)/O699</f>
        <v>0.31750396272231279</v>
      </c>
      <c r="W699">
        <f>H699/K699</f>
        <v>2.1895822953562205</v>
      </c>
      <c r="X699">
        <f>(H699-I699)/K699</f>
        <v>1.654755412758145</v>
      </c>
      <c r="Y699">
        <f>(H699-K699)/G699</f>
        <v>0.45245689773498249</v>
      </c>
      <c r="Z699">
        <f>J699/N699</f>
        <v>0.71176438767276862</v>
      </c>
      <c r="AA699">
        <f>J699/G699</f>
        <v>0.41580745153861315</v>
      </c>
      <c r="AB699">
        <f>C699/G699</f>
        <v>1.3139040600639158</v>
      </c>
      <c r="AC699">
        <f>C699/(G699-K699)</f>
        <v>2.1203950002165244</v>
      </c>
      <c r="AD699">
        <f>Q699/E699</f>
        <v>1.7674779396828049</v>
      </c>
      <c r="AE699">
        <f>Q699/J699</f>
        <v>0.78843681925199227</v>
      </c>
      <c r="AF699">
        <f>Q699/G699</f>
        <v>0.32783790451238104</v>
      </c>
      <c r="AG699">
        <f>Q699/K699</f>
        <v>0.86193882534870869</v>
      </c>
      <c r="AH699">
        <f>Q699/L699</f>
        <v>9.4938431708320365</v>
      </c>
      <c r="AI699" s="1">
        <f>R699</f>
        <v>290.75</v>
      </c>
      <c r="AJ699" s="1">
        <f>P699</f>
        <v>5479026.6849999996</v>
      </c>
    </row>
    <row r="700" spans="1:36" x14ac:dyDescent="0.25">
      <c r="A700" t="s">
        <v>117</v>
      </c>
      <c r="B700">
        <v>2023</v>
      </c>
      <c r="C700" s="1">
        <v>11462496.325999999</v>
      </c>
      <c r="D700" s="1">
        <v>2788040.469</v>
      </c>
      <c r="E700" s="1">
        <v>2786823.9879999999</v>
      </c>
      <c r="F700" s="1">
        <v>0</v>
      </c>
      <c r="G700" s="1">
        <v>11572379.32</v>
      </c>
      <c r="H700" s="1">
        <v>9618392.4389999993</v>
      </c>
      <c r="I700" s="1">
        <v>2806148.784</v>
      </c>
      <c r="J700" s="1">
        <v>2237687.5290000001</v>
      </c>
      <c r="K700" s="1">
        <v>1861836.875</v>
      </c>
      <c r="L700" s="1">
        <v>239645.60399999999</v>
      </c>
      <c r="M700" s="1">
        <v>83994.277000000002</v>
      </c>
      <c r="N700" s="1">
        <v>9334691.7909999993</v>
      </c>
      <c r="O700" s="1">
        <v>9334691.7909999993</v>
      </c>
      <c r="P700" s="1">
        <v>8117752.5750000002</v>
      </c>
      <c r="Q700" s="1">
        <v>551978.12100000004</v>
      </c>
      <c r="R700" s="1">
        <v>268.75</v>
      </c>
      <c r="T700">
        <f>E700/G700</f>
        <v>0.24081685459304489</v>
      </c>
      <c r="U700">
        <f>D700/C700</f>
        <v>0.24323152563861508</v>
      </c>
      <c r="V700">
        <f>(E700-F700)/O700</f>
        <v>0.29854483151622679</v>
      </c>
      <c r="W700">
        <f>H700/K700</f>
        <v>5.1660768825410655</v>
      </c>
      <c r="X700">
        <f>(H700-I700)/K700</f>
        <v>3.6588831956612737</v>
      </c>
      <c r="Y700">
        <f>(H700-K700)/G700</f>
        <v>0.67026454538996216</v>
      </c>
      <c r="Z700">
        <f>J700/N700</f>
        <v>0.23971734462164637</v>
      </c>
      <c r="AA700">
        <f>J700/G700</f>
        <v>0.1933645162436656</v>
      </c>
      <c r="AB700">
        <f>C700/G700</f>
        <v>0.99050471895523717</v>
      </c>
      <c r="AC700">
        <f>C700/(G700-K700)</f>
        <v>1.1804177151712145</v>
      </c>
      <c r="AD700">
        <f>Q700/E700</f>
        <v>0.19806709120375207</v>
      </c>
      <c r="AE700">
        <f>Q700/J700</f>
        <v>0.24667345813321553</v>
      </c>
      <c r="AF700">
        <f>Q700/G700</f>
        <v>4.7697893902081324E-2</v>
      </c>
      <c r="AG700">
        <f>Q700/K700</f>
        <v>0.29646964694476796</v>
      </c>
      <c r="AH700">
        <f>Q700/L700</f>
        <v>2.3033100202413896</v>
      </c>
      <c r="AI700" s="1">
        <f>R700</f>
        <v>268.75</v>
      </c>
      <c r="AJ700" s="1">
        <f>P700</f>
        <v>8117752.5750000002</v>
      </c>
    </row>
    <row r="701" spans="1:36" s="8" customFormat="1" x14ac:dyDescent="0.25">
      <c r="A701" s="8" t="s">
        <v>117</v>
      </c>
      <c r="B701" s="8">
        <v>2024</v>
      </c>
      <c r="C701" s="9">
        <v>13996828.307</v>
      </c>
      <c r="D701" s="9">
        <v>2184699.923</v>
      </c>
      <c r="E701" s="9">
        <v>1723847.2609999999</v>
      </c>
      <c r="F701" s="9">
        <v>0</v>
      </c>
      <c r="G701" s="9">
        <v>14116870.536</v>
      </c>
      <c r="H701" s="9">
        <v>11780112.541999999</v>
      </c>
      <c r="I701" s="9">
        <v>3254800.4989999998</v>
      </c>
      <c r="J701" s="9">
        <v>2944503.8969999999</v>
      </c>
      <c r="K701" s="9">
        <v>2487955.1630000002</v>
      </c>
      <c r="L701" s="9">
        <v>83996.274999999994</v>
      </c>
      <c r="M701" s="9">
        <v>36170.485000000001</v>
      </c>
      <c r="N701" s="9">
        <v>11172366.639</v>
      </c>
      <c r="O701" s="9">
        <v>11172366.639</v>
      </c>
      <c r="P701" s="9">
        <v>9699771.318</v>
      </c>
      <c r="Q701" s="9">
        <v>1814169.077</v>
      </c>
      <c r="R701" s="9">
        <v>280</v>
      </c>
      <c r="T701" s="8">
        <f>E701/G701</f>
        <v>0.12211256429701949</v>
      </c>
      <c r="U701" s="8">
        <f>D701/C701</f>
        <v>0.15608535555925926</v>
      </c>
      <c r="V701" s="8">
        <f>(E701-F701)/O701</f>
        <v>0.15429562210950637</v>
      </c>
      <c r="W701" s="8">
        <f>H701/K701</f>
        <v>4.7348572503193456</v>
      </c>
      <c r="X701" s="8">
        <f>(H701-I701)/K701</f>
        <v>3.4266341169589634</v>
      </c>
      <c r="Y701" s="8">
        <f>(H701-K701)/G701</f>
        <v>0.65823068613569091</v>
      </c>
      <c r="Z701" s="8">
        <f>J701/N701</f>
        <v>0.2635523870762938</v>
      </c>
      <c r="AA701" s="8">
        <f>J701/G701</f>
        <v>0.20858049873667836</v>
      </c>
      <c r="AB701" s="8">
        <f>C701/G701</f>
        <v>0.99149654105746199</v>
      </c>
      <c r="AC701" s="8">
        <f>C701/(G701-K701)</f>
        <v>1.2036228537269966</v>
      </c>
      <c r="AD701" s="8">
        <f>Q701/E701</f>
        <v>1.0523954865627738</v>
      </c>
      <c r="AE701" s="8">
        <f>Q701/J701</f>
        <v>0.61612045372001767</v>
      </c>
      <c r="AF701" s="8">
        <f>Q701/G701</f>
        <v>0.12851071151878984</v>
      </c>
      <c r="AG701" s="8">
        <f>Q701/K701</f>
        <v>0.7291807762373248</v>
      </c>
      <c r="AH701" s="8">
        <f>Q701/L701</f>
        <v>21.59820869437365</v>
      </c>
      <c r="AI701" s="9">
        <f>R701</f>
        <v>280</v>
      </c>
      <c r="AJ701" s="9">
        <f>P701</f>
        <v>9699771.318</v>
      </c>
    </row>
    <row r="702" spans="1:36" x14ac:dyDescent="0.25">
      <c r="A702" s="15" t="s">
        <v>120</v>
      </c>
      <c r="B702" s="15">
        <v>2018</v>
      </c>
      <c r="C702" s="6">
        <v>768955.49699999997</v>
      </c>
      <c r="D702" s="6">
        <v>26485.584999999999</v>
      </c>
      <c r="E702" s="6">
        <v>-95759.112999999998</v>
      </c>
      <c r="F702" s="6">
        <v>0</v>
      </c>
      <c r="G702" s="6">
        <v>1634773.9790000001</v>
      </c>
      <c r="H702" s="6">
        <v>1554887.091</v>
      </c>
      <c r="I702" s="6">
        <v>1498774.7150000001</v>
      </c>
      <c r="J702" s="6">
        <v>1519828.9569999999</v>
      </c>
      <c r="K702" s="6">
        <v>1137481.027</v>
      </c>
      <c r="L702" s="6">
        <v>802689.68599999999</v>
      </c>
      <c r="M702" s="6">
        <v>375106.41100000002</v>
      </c>
      <c r="N702" s="6">
        <v>114945.022</v>
      </c>
      <c r="O702" s="6">
        <v>114945.022</v>
      </c>
      <c r="P702" s="6">
        <v>-139945.30300000001</v>
      </c>
      <c r="Q702" s="6">
        <v>-117333.446</v>
      </c>
      <c r="R702" s="6">
        <v>33</v>
      </c>
      <c r="S702" s="15"/>
      <c r="T702" s="15">
        <f>E702/G702</f>
        <v>-5.8576362377982277E-2</v>
      </c>
      <c r="U702" s="15">
        <f>D702/C702</f>
        <v>3.4443586271677304E-2</v>
      </c>
      <c r="V702" s="15">
        <f>(E702-F702)/O702</f>
        <v>-0.8330862122937347</v>
      </c>
      <c r="W702" s="15">
        <f>H702/K702</f>
        <v>1.3669565066072966</v>
      </c>
      <c r="X702" s="15">
        <f>(H702-I702)/K702</f>
        <v>4.9330384127804827E-2</v>
      </c>
      <c r="Y702" s="15">
        <f>(H702-K702)/G702</f>
        <v>0.25532952528112146</v>
      </c>
      <c r="Z702" s="15">
        <f>J702/N702</f>
        <v>13.22222511732609</v>
      </c>
      <c r="AA702" s="15">
        <f>J702/G702</f>
        <v>0.92968751431294949</v>
      </c>
      <c r="AB702" s="15">
        <f>C702/G702</f>
        <v>0.47037419660323571</v>
      </c>
      <c r="AC702" s="15">
        <f>C702/(G702-K702)</f>
        <v>1.5462827170733759</v>
      </c>
      <c r="AD702" s="15">
        <f>Q702/E702</f>
        <v>1.2252979619809135</v>
      </c>
      <c r="AE702" s="15">
        <f>Q702/J702</f>
        <v>-7.7201743959139479E-2</v>
      </c>
      <c r="AF702" s="15">
        <f>Q702/G702</f>
        <v>-7.1773497441997139E-2</v>
      </c>
      <c r="AG702" s="15">
        <f>Q702/K702</f>
        <v>-0.10315200272786615</v>
      </c>
      <c r="AH702" s="15">
        <f>Q702/L702</f>
        <v>-0.1461753502585805</v>
      </c>
      <c r="AI702" s="6">
        <f>R702</f>
        <v>33</v>
      </c>
      <c r="AJ702" s="6">
        <f>P702</f>
        <v>-139945.30300000001</v>
      </c>
    </row>
    <row r="703" spans="1:36" x14ac:dyDescent="0.25">
      <c r="A703" t="s">
        <v>120</v>
      </c>
      <c r="B703">
        <v>2019</v>
      </c>
      <c r="C703" s="1">
        <v>252012.17800000001</v>
      </c>
      <c r="D703" s="1">
        <v>-17815.856</v>
      </c>
      <c r="E703" s="1">
        <v>-223453.05499999999</v>
      </c>
      <c r="F703" s="1">
        <v>0</v>
      </c>
      <c r="G703" s="1">
        <v>1665070.852</v>
      </c>
      <c r="H703" s="1">
        <v>1620162.4820000001</v>
      </c>
      <c r="I703" s="1">
        <v>1520473.503</v>
      </c>
      <c r="J703" s="1">
        <v>1472298.129</v>
      </c>
      <c r="K703" s="1">
        <v>1199725.4410000001</v>
      </c>
      <c r="L703" s="1">
        <v>650566.43799999997</v>
      </c>
      <c r="M703" s="1">
        <v>267730.36</v>
      </c>
      <c r="N703" s="1">
        <v>-107227.277</v>
      </c>
      <c r="O703" s="1">
        <v>192772.723</v>
      </c>
      <c r="P703" s="1">
        <v>-362117.60200000001</v>
      </c>
      <c r="Q703" s="1">
        <v>99753.07</v>
      </c>
      <c r="R703" s="1">
        <v>25.1</v>
      </c>
      <c r="T703">
        <f>E703/G703</f>
        <v>-0.1342003283113144</v>
      </c>
      <c r="U703">
        <f>D703/C703</f>
        <v>-7.0694424933702996E-2</v>
      </c>
      <c r="V703">
        <f>(E703-F703)/O703</f>
        <v>-1.1591528693610869</v>
      </c>
      <c r="W703">
        <f>H703/K703</f>
        <v>1.3504443822159473</v>
      </c>
      <c r="X703">
        <f>(H703-I703)/K703</f>
        <v>8.3093160812616321E-2</v>
      </c>
      <c r="Y703">
        <f>(H703-K703)/G703</f>
        <v>0.25250399434654208</v>
      </c>
      <c r="Z703">
        <f>J703/N703</f>
        <v>-13.730630583857874</v>
      </c>
      <c r="AA703">
        <f>J703/G703</f>
        <v>0.88422551342577949</v>
      </c>
      <c r="AB703">
        <f>C703/G703</f>
        <v>0.1513522248601587</v>
      </c>
      <c r="AC703">
        <f>C703/(G703-K703)</f>
        <v>0.54155939231986994</v>
      </c>
      <c r="AD703">
        <f>Q703/E703</f>
        <v>-0.44641622823192106</v>
      </c>
      <c r="AE703">
        <f>Q703/J703</f>
        <v>6.7753308949562621E-2</v>
      </c>
      <c r="AF703">
        <f>Q703/G703</f>
        <v>5.990920439222247E-2</v>
      </c>
      <c r="AG703">
        <f>Q703/K703</f>
        <v>8.3146582202052344E-2</v>
      </c>
      <c r="AH703">
        <f>Q703/L703</f>
        <v>0.15333264087010898</v>
      </c>
      <c r="AI703" s="1">
        <f>R703</f>
        <v>25.1</v>
      </c>
      <c r="AJ703" s="1">
        <f>P703</f>
        <v>-362117.60200000001</v>
      </c>
    </row>
    <row r="704" spans="1:36" x14ac:dyDescent="0.25">
      <c r="A704" t="s">
        <v>120</v>
      </c>
      <c r="B704">
        <v>2020</v>
      </c>
      <c r="C704" s="1">
        <v>377200</v>
      </c>
      <c r="D704" s="1">
        <v>-44653.612999999998</v>
      </c>
      <c r="E704" s="1">
        <v>-229726.78599999999</v>
      </c>
      <c r="F704" s="1">
        <v>0</v>
      </c>
      <c r="G704" s="1">
        <v>2410565.503</v>
      </c>
      <c r="H704" s="1">
        <v>2354695.017</v>
      </c>
      <c r="I704" s="1">
        <v>2249871.477</v>
      </c>
      <c r="J704" s="1">
        <v>2447499.5460000001</v>
      </c>
      <c r="K704" s="1">
        <v>1869098.7720000001</v>
      </c>
      <c r="L704" s="1">
        <v>915279.06200000003</v>
      </c>
      <c r="M704" s="1">
        <v>571344.93000000005</v>
      </c>
      <c r="N704" s="1">
        <v>-336934.04300000001</v>
      </c>
      <c r="O704" s="1">
        <v>-36934.042999999998</v>
      </c>
      <c r="P704" s="1">
        <v>-591824.36800000002</v>
      </c>
      <c r="Q704" s="1">
        <v>-213424.46100000001</v>
      </c>
      <c r="R704" s="1">
        <v>27</v>
      </c>
      <c r="S704" s="14"/>
      <c r="T704">
        <f>E704/G704</f>
        <v>-9.529995584608679E-2</v>
      </c>
      <c r="U704">
        <f>D704/C704</f>
        <v>-0.11838179480381759</v>
      </c>
      <c r="V704">
        <f>(E704-F704)/O704</f>
        <v>6.2199198176056711</v>
      </c>
      <c r="W704">
        <f>H704/K704</f>
        <v>1.2598023455338292</v>
      </c>
      <c r="X704">
        <f>(H704-I704)/K704</f>
        <v>5.6082397340529645E-2</v>
      </c>
      <c r="Y704">
        <f>(H704-K704)/G704</f>
        <v>0.20144494907757746</v>
      </c>
      <c r="Z704">
        <f>J704/N704</f>
        <v>-7.2640316312590594</v>
      </c>
      <c r="AA704">
        <f>J704/G704</f>
        <v>1.0153217338230531</v>
      </c>
      <c r="AB704">
        <f>C704/G704</f>
        <v>0.15647780553175866</v>
      </c>
      <c r="AC704">
        <f>C704/(G704-K704)</f>
        <v>0.69662636391967003</v>
      </c>
      <c r="AD704">
        <f>Q704/E704</f>
        <v>0.92903602891131731</v>
      </c>
      <c r="AE704">
        <f>Q704/J704</f>
        <v>-8.7201021691221181E-2</v>
      </c>
      <c r="AF704">
        <f>Q704/G704</f>
        <v>-8.853709253467236E-2</v>
      </c>
      <c r="AG704">
        <f>Q704/K704</f>
        <v>-0.1141857585041525</v>
      </c>
      <c r="AH704">
        <f>Q704/L704</f>
        <v>-0.23317966056564288</v>
      </c>
      <c r="AI704" s="1">
        <f>R704</f>
        <v>27</v>
      </c>
      <c r="AJ704" s="1">
        <f>P704</f>
        <v>-591824.36800000002</v>
      </c>
    </row>
    <row r="705" spans="1:36" x14ac:dyDescent="0.25">
      <c r="A705" t="s">
        <v>120</v>
      </c>
      <c r="B705">
        <v>2021</v>
      </c>
      <c r="C705" s="1">
        <v>934162.5</v>
      </c>
      <c r="D705" s="1">
        <v>138208.76199999999</v>
      </c>
      <c r="E705" s="1">
        <v>85483.57</v>
      </c>
      <c r="F705" s="1">
        <v>0</v>
      </c>
      <c r="G705" s="1">
        <v>2592481.6039999998</v>
      </c>
      <c r="H705" s="1">
        <v>2482626.7689999999</v>
      </c>
      <c r="I705" s="1">
        <v>2264039.4029999999</v>
      </c>
      <c r="J705" s="1">
        <v>2543740.48</v>
      </c>
      <c r="K705" s="1">
        <v>1977567.1340000001</v>
      </c>
      <c r="L705" s="1">
        <v>1255411.7479999999</v>
      </c>
      <c r="M705" s="1">
        <v>556397.76399999997</v>
      </c>
      <c r="N705" s="1">
        <v>-251258.87599999999</v>
      </c>
      <c r="O705" s="1">
        <v>48741.124000000003</v>
      </c>
      <c r="P705" s="1">
        <v>-506149.201</v>
      </c>
      <c r="Q705" s="1">
        <v>881826.11399999994</v>
      </c>
      <c r="R705" s="1">
        <v>41.5</v>
      </c>
      <c r="T705">
        <f>E705/G705</f>
        <v>3.2973645740862895E-2</v>
      </c>
      <c r="U705">
        <f>D705/C705</f>
        <v>0.14794937925682095</v>
      </c>
      <c r="V705">
        <f>(E705-F705)/O705</f>
        <v>1.7538284508990807</v>
      </c>
      <c r="W705">
        <f>H705/K705</f>
        <v>1.2553944320354991</v>
      </c>
      <c r="X705">
        <f>(H705-I705)/K705</f>
        <v>0.11053347430884231</v>
      </c>
      <c r="Y705">
        <f>(H705-K705)/G705</f>
        <v>0.19481705645306474</v>
      </c>
      <c r="Z705">
        <f>J705/N705</f>
        <v>-10.123982565296519</v>
      </c>
      <c r="AA705">
        <f>J705/G705</f>
        <v>0.98119904730479246</v>
      </c>
      <c r="AB705">
        <f>C705/G705</f>
        <v>0.36033524733932887</v>
      </c>
      <c r="AC705">
        <f>C705/(G705-K705)</f>
        <v>1.5191746910753301</v>
      </c>
      <c r="AD705">
        <f>Q705/E705</f>
        <v>10.315738030126724</v>
      </c>
      <c r="AE705">
        <f>Q705/J705</f>
        <v>0.34666512599587201</v>
      </c>
      <c r="AF705">
        <f>Q705/G705</f>
        <v>0.34014749136094546</v>
      </c>
      <c r="AG705">
        <f>Q705/K705</f>
        <v>0.44591462855490593</v>
      </c>
      <c r="AH705">
        <f>Q705/L705</f>
        <v>0.70241983588638524</v>
      </c>
      <c r="AI705" s="1">
        <f>R705</f>
        <v>41.5</v>
      </c>
      <c r="AJ705" s="1">
        <f>P705</f>
        <v>-506149.201</v>
      </c>
    </row>
    <row r="706" spans="1:36" x14ac:dyDescent="0.25">
      <c r="A706" t="s">
        <v>120</v>
      </c>
      <c r="B706">
        <v>2022</v>
      </c>
      <c r="C706" s="1">
        <v>308051.34600000002</v>
      </c>
      <c r="D706" s="1">
        <v>-235942.25200000001</v>
      </c>
      <c r="E706" s="1">
        <v>-333026.25699999998</v>
      </c>
      <c r="F706" s="1">
        <v>0</v>
      </c>
      <c r="G706" s="1">
        <v>4198907.6579999998</v>
      </c>
      <c r="H706" s="1">
        <v>4035473.943</v>
      </c>
      <c r="I706" s="1">
        <v>3531153.8560000001</v>
      </c>
      <c r="J706" s="1">
        <v>4479513.0329999998</v>
      </c>
      <c r="K706" s="1">
        <v>3459151.2069999999</v>
      </c>
      <c r="L706" s="1">
        <v>1715288.7439999999</v>
      </c>
      <c r="M706" s="1">
        <v>1015604.026</v>
      </c>
      <c r="N706" s="1">
        <v>-580605.375</v>
      </c>
      <c r="O706" s="1">
        <v>-280605.375</v>
      </c>
      <c r="P706" s="1">
        <v>-812995.7</v>
      </c>
      <c r="Q706" s="1">
        <v>-264008.90600000002</v>
      </c>
      <c r="R706" s="1">
        <v>30.4</v>
      </c>
      <c r="S706" s="14"/>
      <c r="T706">
        <f>E706/G706</f>
        <v>-7.9312593685050267E-2</v>
      </c>
      <c r="U706">
        <f>D706/C706</f>
        <v>-0.76591858813043456</v>
      </c>
      <c r="V706">
        <f>(E706-F706)/O706</f>
        <v>1.1868135348440847</v>
      </c>
      <c r="W706">
        <f>H706/K706</f>
        <v>1.1666081363641299</v>
      </c>
      <c r="X706">
        <f>(H706-I706)/K706</f>
        <v>0.14579301592235944</v>
      </c>
      <c r="Y706">
        <f>(H706-K706)/G706</f>
        <v>0.13725539662725303</v>
      </c>
      <c r="Z706">
        <f>J706/N706</f>
        <v>-7.715245545220796</v>
      </c>
      <c r="AA706">
        <f>J706/G706</f>
        <v>1.0668281843410807</v>
      </c>
      <c r="AB706">
        <f>C706/G706</f>
        <v>7.3364639351637784E-2</v>
      </c>
      <c r="AC706">
        <f>C706/(G706-K706)</f>
        <v>0.41642265583973942</v>
      </c>
      <c r="AD706">
        <f>Q706/E706</f>
        <v>0.7927570287648521</v>
      </c>
      <c r="AE706">
        <f>Q706/J706</f>
        <v>-5.8936965704771964E-2</v>
      </c>
      <c r="AF706">
        <f>Q706/G706</f>
        <v>-6.2875616113394414E-2</v>
      </c>
      <c r="AG706">
        <f>Q706/K706</f>
        <v>-7.6321874992265989E-2</v>
      </c>
      <c r="AH706">
        <f>Q706/L706</f>
        <v>-0.15391513931604278</v>
      </c>
      <c r="AI706" s="1">
        <f>R706</f>
        <v>30.4</v>
      </c>
      <c r="AJ706" s="1">
        <f>P706</f>
        <v>-812995.7</v>
      </c>
    </row>
    <row r="707" spans="1:36" x14ac:dyDescent="0.25">
      <c r="A707" t="s">
        <v>120</v>
      </c>
      <c r="B707">
        <v>2023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T707" t="e">
        <f>E707/G707</f>
        <v>#DIV/0!</v>
      </c>
      <c r="U707" t="e">
        <f>D707/C707</f>
        <v>#DIV/0!</v>
      </c>
      <c r="V707" t="e">
        <f>(E707-F707)/O707</f>
        <v>#DIV/0!</v>
      </c>
      <c r="W707" t="e">
        <f>H707/K707</f>
        <v>#DIV/0!</v>
      </c>
      <c r="X707" t="e">
        <f>(H707-I707)/K707</f>
        <v>#DIV/0!</v>
      </c>
      <c r="Y707" t="e">
        <f>(H707-K707)/G707</f>
        <v>#DIV/0!</v>
      </c>
      <c r="Z707" t="e">
        <f>J707/N707</f>
        <v>#DIV/0!</v>
      </c>
      <c r="AA707" t="e">
        <f>J707/G707</f>
        <v>#DIV/0!</v>
      </c>
      <c r="AB707" t="e">
        <f>C707/G707</f>
        <v>#DIV/0!</v>
      </c>
      <c r="AC707" t="e">
        <f>C707/(G707-K707)</f>
        <v>#DIV/0!</v>
      </c>
      <c r="AD707" t="e">
        <f>Q707/E707</f>
        <v>#DIV/0!</v>
      </c>
      <c r="AE707" t="e">
        <f>Q707/J707</f>
        <v>#DIV/0!</v>
      </c>
      <c r="AF707" t="e">
        <f>Q707/G707</f>
        <v>#DIV/0!</v>
      </c>
      <c r="AG707" t="e">
        <f>Q707/K707</f>
        <v>#DIV/0!</v>
      </c>
      <c r="AH707" t="e">
        <f>Q707/L707</f>
        <v>#DIV/0!</v>
      </c>
      <c r="AI707" s="1">
        <f>R707</f>
        <v>0</v>
      </c>
      <c r="AJ707" s="1">
        <f>P707</f>
        <v>0</v>
      </c>
    </row>
    <row r="708" spans="1:36" s="8" customFormat="1" x14ac:dyDescent="0.25">
      <c r="A708" s="8" t="s">
        <v>120</v>
      </c>
      <c r="B708" s="8">
        <v>2024</v>
      </c>
      <c r="C708" s="9">
        <v>0</v>
      </c>
      <c r="D708" s="9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9">
        <v>0</v>
      </c>
      <c r="N708" s="9">
        <v>0</v>
      </c>
      <c r="O708" s="9">
        <v>0</v>
      </c>
      <c r="P708" s="9">
        <v>0</v>
      </c>
      <c r="Q708" s="9">
        <v>0</v>
      </c>
      <c r="R708" s="9">
        <v>0</v>
      </c>
      <c r="T708" s="8" t="e">
        <f>E708/G708</f>
        <v>#DIV/0!</v>
      </c>
      <c r="U708" s="8" t="e">
        <f>D708/C708</f>
        <v>#DIV/0!</v>
      </c>
      <c r="V708" s="8" t="e">
        <f>(E708-F708)/O708</f>
        <v>#DIV/0!</v>
      </c>
      <c r="W708" s="8" t="e">
        <f>H708/K708</f>
        <v>#DIV/0!</v>
      </c>
      <c r="X708" s="8" t="e">
        <f>(H708-I708)/K708</f>
        <v>#DIV/0!</v>
      </c>
      <c r="Y708" s="8" t="e">
        <f>(H708-K708)/G708</f>
        <v>#DIV/0!</v>
      </c>
      <c r="Z708" s="8" t="e">
        <f>J708/N708</f>
        <v>#DIV/0!</v>
      </c>
      <c r="AA708" s="8" t="e">
        <f>J708/G708</f>
        <v>#DIV/0!</v>
      </c>
      <c r="AB708" s="8" t="e">
        <f>C708/G708</f>
        <v>#DIV/0!</v>
      </c>
      <c r="AC708" s="8" t="e">
        <f>C708/(G708-K708)</f>
        <v>#DIV/0!</v>
      </c>
      <c r="AD708" s="8" t="e">
        <f>Q708/E708</f>
        <v>#DIV/0!</v>
      </c>
      <c r="AE708" s="8" t="e">
        <f>Q708/J708</f>
        <v>#DIV/0!</v>
      </c>
      <c r="AF708" s="8" t="e">
        <f>Q708/G708</f>
        <v>#DIV/0!</v>
      </c>
      <c r="AG708" s="8" t="e">
        <f>Q708/K708</f>
        <v>#DIV/0!</v>
      </c>
      <c r="AH708" s="8" t="e">
        <f>Q708/L708</f>
        <v>#DIV/0!</v>
      </c>
      <c r="AI708" s="9">
        <f>R708</f>
        <v>0</v>
      </c>
      <c r="AJ708" s="9">
        <f>P708</f>
        <v>0</v>
      </c>
    </row>
    <row r="709" spans="1:36" x14ac:dyDescent="0.25">
      <c r="A709" s="15" t="s">
        <v>115</v>
      </c>
      <c r="B709" s="15">
        <v>2018</v>
      </c>
      <c r="C709" s="6">
        <v>3118975</v>
      </c>
      <c r="D709" s="6">
        <v>338883</v>
      </c>
      <c r="E709" s="6">
        <v>243603</v>
      </c>
      <c r="F709" s="6"/>
      <c r="G709" s="6">
        <v>2432102</v>
      </c>
      <c r="H709" s="6">
        <v>954922</v>
      </c>
      <c r="I709" s="6">
        <v>309081</v>
      </c>
      <c r="J709" s="6">
        <v>685238</v>
      </c>
      <c r="K709" s="6">
        <v>359317</v>
      </c>
      <c r="L709" s="6">
        <v>33495</v>
      </c>
      <c r="M709" s="6">
        <v>0</v>
      </c>
      <c r="N709" s="6">
        <v>1746863</v>
      </c>
      <c r="O709" s="6">
        <v>1746863</v>
      </c>
      <c r="P709" s="6">
        <v>220510</v>
      </c>
      <c r="Q709" s="6">
        <v>342766</v>
      </c>
      <c r="R709" s="6">
        <v>129.9</v>
      </c>
      <c r="S709" s="15"/>
      <c r="T709" s="15">
        <f>E709/G709</f>
        <v>0.10016150638418948</v>
      </c>
      <c r="U709" s="15">
        <f>D709/C709</f>
        <v>0.10865204113530888</v>
      </c>
      <c r="V709" s="15">
        <f>(E709-F709)/O709</f>
        <v>0.13945169140338995</v>
      </c>
      <c r="W709" s="15">
        <f>H709/K709</f>
        <v>2.6576031749124032</v>
      </c>
      <c r="X709" s="15">
        <f>(H709-I709)/K709</f>
        <v>1.7974128694161422</v>
      </c>
      <c r="Y709" s="15">
        <f>(H709-K709)/G709</f>
        <v>0.24489310070054629</v>
      </c>
      <c r="Z709" s="15">
        <f>J709/N709</f>
        <v>0.39226773937051734</v>
      </c>
      <c r="AA709" s="15">
        <f>J709/G709</f>
        <v>0.28174722935140056</v>
      </c>
      <c r="AB709" s="15">
        <f>C709/G709</f>
        <v>1.2824194873405803</v>
      </c>
      <c r="AC709" s="15">
        <f>C709/(G709-K709)</f>
        <v>1.5047267323914444</v>
      </c>
      <c r="AD709" s="15">
        <f>Q709/E709</f>
        <v>1.4070680574541365</v>
      </c>
      <c r="AE709" s="15">
        <f>Q709/J709</f>
        <v>0.50021452400479838</v>
      </c>
      <c r="AF709" s="15">
        <f>Q709/G709</f>
        <v>0.14093405621968158</v>
      </c>
      <c r="AG709" s="15">
        <f>Q709/K709</f>
        <v>0.953937609408962</v>
      </c>
      <c r="AH709" s="15">
        <f>Q709/L709</f>
        <v>10.233348260934468</v>
      </c>
      <c r="AI709" s="6">
        <f>R709</f>
        <v>129.9</v>
      </c>
      <c r="AJ709" s="6">
        <f>P709</f>
        <v>220510</v>
      </c>
    </row>
    <row r="710" spans="1:36" x14ac:dyDescent="0.25">
      <c r="A710" t="s">
        <v>115</v>
      </c>
      <c r="B710">
        <v>2019</v>
      </c>
      <c r="C710" s="1">
        <v>3429791</v>
      </c>
      <c r="D710" s="1">
        <v>362892</v>
      </c>
      <c r="E710" s="1">
        <v>267133</v>
      </c>
      <c r="G710" s="1">
        <v>2568291</v>
      </c>
      <c r="H710" s="1">
        <v>1023657</v>
      </c>
      <c r="I710" s="1">
        <v>337117</v>
      </c>
      <c r="J710" s="1">
        <v>721116</v>
      </c>
      <c r="K710" s="1">
        <v>369626</v>
      </c>
      <c r="L710" s="1">
        <v>23147</v>
      </c>
      <c r="M710" s="1">
        <v>18518</v>
      </c>
      <c r="N710" s="1">
        <v>1847175</v>
      </c>
      <c r="O710" s="1">
        <v>1847175</v>
      </c>
      <c r="P710" s="1">
        <v>286241</v>
      </c>
      <c r="Q710" s="1">
        <v>232566</v>
      </c>
      <c r="R710" s="1">
        <v>124.8</v>
      </c>
      <c r="T710">
        <f>E710/G710</f>
        <v>0.10401196749122277</v>
      </c>
      <c r="U710">
        <f>D710/C710</f>
        <v>0.10580586397246947</v>
      </c>
      <c r="V710">
        <f>(E710-F710)/O710</f>
        <v>0.14461705036068592</v>
      </c>
      <c r="W710">
        <f>H710/K710</f>
        <v>2.7694399203519233</v>
      </c>
      <c r="X710">
        <f>(H710-I710)/K710</f>
        <v>1.8573909844004479</v>
      </c>
      <c r="Y710">
        <f>(H710-K710)/G710</f>
        <v>0.2546561117879555</v>
      </c>
      <c r="Z710">
        <f>J710/N710</f>
        <v>0.3903885663242519</v>
      </c>
      <c r="AA710">
        <f>J710/G710</f>
        <v>0.28077659424107315</v>
      </c>
      <c r="AB710">
        <f>C710/G710</f>
        <v>1.3354370669055804</v>
      </c>
      <c r="AC710">
        <f>C710/(G710-K710)</f>
        <v>1.5599425105689133</v>
      </c>
      <c r="AD710">
        <f>Q710/E710</f>
        <v>0.87060003818322707</v>
      </c>
      <c r="AE710">
        <f>Q710/J710</f>
        <v>0.32250844524320638</v>
      </c>
      <c r="AF710">
        <f>Q710/G710</f>
        <v>9.0552822869371108E-2</v>
      </c>
      <c r="AG710">
        <f>Q710/K710</f>
        <v>0.62919275159214993</v>
      </c>
      <c r="AH710">
        <f>Q710/L710</f>
        <v>10.047349548537607</v>
      </c>
      <c r="AI710" s="1">
        <f>R710</f>
        <v>124.8</v>
      </c>
      <c r="AJ710" s="1">
        <f>P710</f>
        <v>286241</v>
      </c>
    </row>
    <row r="711" spans="1:36" x14ac:dyDescent="0.25">
      <c r="A711" t="s">
        <v>115</v>
      </c>
      <c r="B711">
        <v>2020</v>
      </c>
      <c r="C711" s="1">
        <v>3590579</v>
      </c>
      <c r="D711" s="1">
        <v>207667</v>
      </c>
      <c r="E711" s="1">
        <v>150175</v>
      </c>
      <c r="G711" s="1">
        <v>2886767</v>
      </c>
      <c r="H711" s="1">
        <v>997270</v>
      </c>
      <c r="I711" s="1">
        <v>399214</v>
      </c>
      <c r="J711" s="1">
        <v>1010777</v>
      </c>
      <c r="K711" s="1">
        <v>526026</v>
      </c>
      <c r="L711" s="1">
        <v>175160</v>
      </c>
      <c r="M711" s="1">
        <v>130745</v>
      </c>
      <c r="N711" s="1">
        <v>1875990</v>
      </c>
      <c r="O711" s="1">
        <v>1875990</v>
      </c>
      <c r="P711" s="1">
        <v>285844</v>
      </c>
      <c r="Q711" s="1">
        <v>243359</v>
      </c>
      <c r="R711" s="1">
        <v>108.2</v>
      </c>
      <c r="T711">
        <f>E711/G711</f>
        <v>5.2021863905192207E-2</v>
      </c>
      <c r="U711">
        <f>D711/C711</f>
        <v>5.7836633033279593E-2</v>
      </c>
      <c r="V711">
        <f>(E711-F711)/O711</f>
        <v>8.0051066370289817E-2</v>
      </c>
      <c r="W711">
        <f>H711/K711</f>
        <v>1.8958568587864477</v>
      </c>
      <c r="X711">
        <f>(H711-I711)/K711</f>
        <v>1.1369323949766741</v>
      </c>
      <c r="Y711">
        <f>(H711-K711)/G711</f>
        <v>0.16324282493183551</v>
      </c>
      <c r="Z711">
        <f>J711/N711</f>
        <v>0.53879658207133296</v>
      </c>
      <c r="AA711">
        <f>J711/G711</f>
        <v>0.35014152510403507</v>
      </c>
      <c r="AB711">
        <f>C711/G711</f>
        <v>1.243806306501356</v>
      </c>
      <c r="AC711">
        <f>C711/(G711-K711)</f>
        <v>1.5209542258129969</v>
      </c>
      <c r="AD711">
        <f>Q711/E711</f>
        <v>1.6205027467954054</v>
      </c>
      <c r="AE711">
        <f>Q711/J711</f>
        <v>0.24076428331867464</v>
      </c>
      <c r="AF711">
        <f>Q711/G711</f>
        <v>8.4301573351780734E-2</v>
      </c>
      <c r="AG711">
        <f>Q711/K711</f>
        <v>0.46263682783740728</v>
      </c>
      <c r="AH711">
        <f>Q711/L711</f>
        <v>1.3893525919159626</v>
      </c>
      <c r="AI711" s="1">
        <f>R711</f>
        <v>108.2</v>
      </c>
      <c r="AJ711" s="1">
        <f>P711</f>
        <v>285844</v>
      </c>
    </row>
    <row r="712" spans="1:36" x14ac:dyDescent="0.25">
      <c r="A712" t="s">
        <v>115</v>
      </c>
      <c r="B712">
        <v>2021</v>
      </c>
      <c r="C712" s="1">
        <v>3651241</v>
      </c>
      <c r="D712" s="1">
        <v>329304</v>
      </c>
      <c r="E712" s="1">
        <v>320980</v>
      </c>
      <c r="G712" s="1">
        <v>3068634</v>
      </c>
      <c r="H712" s="1">
        <v>1214789</v>
      </c>
      <c r="I712" s="1">
        <v>543139</v>
      </c>
      <c r="J712" s="1">
        <v>992252</v>
      </c>
      <c r="K712" s="1">
        <v>618496</v>
      </c>
      <c r="L712" s="1">
        <v>129123</v>
      </c>
      <c r="M712" s="1">
        <v>85668</v>
      </c>
      <c r="N712" s="1">
        <v>2076382</v>
      </c>
      <c r="O712" s="1">
        <v>2076382</v>
      </c>
      <c r="P712" s="1">
        <v>422733</v>
      </c>
      <c r="Q712" s="1">
        <v>311448</v>
      </c>
      <c r="R712" s="1">
        <v>162.5</v>
      </c>
      <c r="T712">
        <f>E712/G712</f>
        <v>0.10460028794571134</v>
      </c>
      <c r="U712">
        <f>D712/C712</f>
        <v>9.0189609505370916E-2</v>
      </c>
      <c r="V712">
        <f>(E712-F712)/O712</f>
        <v>0.15458619849334082</v>
      </c>
      <c r="W712">
        <f>H712/K712</f>
        <v>1.9641016271730132</v>
      </c>
      <c r="X712">
        <f>(H712-I712)/K712</f>
        <v>1.0859407336506623</v>
      </c>
      <c r="Y712">
        <f>(H712-K712)/G712</f>
        <v>0.19431870988850414</v>
      </c>
      <c r="Z712">
        <f>J712/N712</f>
        <v>0.4778754583694137</v>
      </c>
      <c r="AA712">
        <f>J712/G712</f>
        <v>0.32335299680574486</v>
      </c>
      <c r="AB712">
        <f>C712/G712</f>
        <v>1.1898587449660012</v>
      </c>
      <c r="AC712">
        <f>C712/(G712-K712)</f>
        <v>1.4902185101410614</v>
      </c>
      <c r="AD712">
        <f>Q712/E712</f>
        <v>0.97030344569755123</v>
      </c>
      <c r="AE712">
        <f>Q712/J712</f>
        <v>0.31387994178898104</v>
      </c>
      <c r="AF712">
        <f>Q712/G712</f>
        <v>0.10149401981467976</v>
      </c>
      <c r="AG712">
        <f>Q712/K712</f>
        <v>0.50355701572847678</v>
      </c>
      <c r="AH712">
        <f>Q712/L712</f>
        <v>2.4120257428963083</v>
      </c>
      <c r="AI712" s="1">
        <f>R712</f>
        <v>162.5</v>
      </c>
      <c r="AJ712" s="1">
        <f>P712</f>
        <v>422733</v>
      </c>
    </row>
    <row r="713" spans="1:36" x14ac:dyDescent="0.25">
      <c r="A713" t="s">
        <v>115</v>
      </c>
      <c r="B713">
        <v>2022</v>
      </c>
      <c r="C713" s="1">
        <v>4601230</v>
      </c>
      <c r="D713" s="1">
        <v>394896</v>
      </c>
      <c r="E713" s="1">
        <v>329573</v>
      </c>
      <c r="G713" s="1">
        <v>3439534</v>
      </c>
      <c r="H713" s="1">
        <v>1621920</v>
      </c>
      <c r="I713" s="1">
        <v>585727</v>
      </c>
      <c r="J713" s="1">
        <v>1246903</v>
      </c>
      <c r="K713" s="1">
        <v>902571</v>
      </c>
      <c r="L713" s="1">
        <v>85668</v>
      </c>
      <c r="M713" s="1">
        <v>42213</v>
      </c>
      <c r="N713" s="1">
        <v>2192631</v>
      </c>
      <c r="O713" s="1">
        <v>2192631</v>
      </c>
      <c r="P713" s="1">
        <v>503344</v>
      </c>
      <c r="Q713" s="1">
        <v>408714</v>
      </c>
      <c r="R713" s="1">
        <v>166.25</v>
      </c>
      <c r="T713">
        <f>E713/G713</f>
        <v>9.5819084794626252E-2</v>
      </c>
      <c r="U713">
        <f>D713/C713</f>
        <v>8.5824007928314822E-2</v>
      </c>
      <c r="V713">
        <f>(E713-F713)/O713</f>
        <v>0.15030937718202469</v>
      </c>
      <c r="W713">
        <f>H713/K713</f>
        <v>1.7969999036086912</v>
      </c>
      <c r="X713">
        <f>(H713-I713)/K713</f>
        <v>1.1480459708986883</v>
      </c>
      <c r="Y713">
        <f>(H713-K713)/G713</f>
        <v>0.20914141276114728</v>
      </c>
      <c r="Z713">
        <f>J713/N713</f>
        <v>0.56867890675631239</v>
      </c>
      <c r="AA713">
        <f>J713/G713</f>
        <v>0.36252091126297925</v>
      </c>
      <c r="AB713">
        <f>C713/G713</f>
        <v>1.3377480786641447</v>
      </c>
      <c r="AC713">
        <f>C713/(G713-K713)</f>
        <v>1.813676431228993</v>
      </c>
      <c r="AD713">
        <f>Q713/E713</f>
        <v>1.2401319282829601</v>
      </c>
      <c r="AE713">
        <f>Q713/J713</f>
        <v>0.32778331594358184</v>
      </c>
      <c r="AF713">
        <f>Q713/G713</f>
        <v>0.11882830639266831</v>
      </c>
      <c r="AG713">
        <f>Q713/K713</f>
        <v>0.45283307351997792</v>
      </c>
      <c r="AH713">
        <f>Q713/L713</f>
        <v>4.7709062893962741</v>
      </c>
      <c r="AI713" s="1">
        <f>R713</f>
        <v>166.25</v>
      </c>
      <c r="AJ713" s="1">
        <f>P713</f>
        <v>503344</v>
      </c>
    </row>
    <row r="714" spans="1:36" x14ac:dyDescent="0.25">
      <c r="A714" t="s">
        <v>115</v>
      </c>
      <c r="B714">
        <v>2023</v>
      </c>
      <c r="C714" s="1">
        <v>6444270</v>
      </c>
      <c r="D714" s="1">
        <v>230477</v>
      </c>
      <c r="E714" s="1">
        <v>13945</v>
      </c>
      <c r="G714" s="1">
        <v>4302695</v>
      </c>
      <c r="H714" s="1">
        <v>2275413</v>
      </c>
      <c r="I714" s="1">
        <v>1194409</v>
      </c>
      <c r="J714" s="1">
        <v>2194419</v>
      </c>
      <c r="K714" s="1">
        <v>1788812</v>
      </c>
      <c r="L714" s="1">
        <v>67213</v>
      </c>
      <c r="M714" s="1">
        <v>0</v>
      </c>
      <c r="N714" s="1">
        <v>2108276</v>
      </c>
      <c r="O714" s="1">
        <v>2108276</v>
      </c>
      <c r="P714" s="1">
        <v>399669</v>
      </c>
      <c r="Q714" s="1">
        <v>-623045</v>
      </c>
      <c r="R714" s="1">
        <v>160</v>
      </c>
      <c r="T714">
        <f>E714/G714</f>
        <v>3.2409919829316279E-3</v>
      </c>
      <c r="U714">
        <f>D714/C714</f>
        <v>3.5764640525614226E-2</v>
      </c>
      <c r="V714">
        <f>(E714-F714)/O714</f>
        <v>6.6144091191096422E-3</v>
      </c>
      <c r="W714">
        <f>H714/K714</f>
        <v>1.2720246733586313</v>
      </c>
      <c r="X714">
        <f>(H714-I714)/K714</f>
        <v>0.60431392454880672</v>
      </c>
      <c r="Y714">
        <f>(H714-K714)/G714</f>
        <v>0.11309214341244267</v>
      </c>
      <c r="Z714">
        <f>J714/N714</f>
        <v>1.0408594510396172</v>
      </c>
      <c r="AA714">
        <f>J714/G714</f>
        <v>0.51001035397582217</v>
      </c>
      <c r="AB714">
        <f>C714/G714</f>
        <v>1.4977287490747078</v>
      </c>
      <c r="AC714">
        <f>C714/(G714-K714)</f>
        <v>2.5634725243776262</v>
      </c>
      <c r="AD714">
        <f>Q714/E714</f>
        <v>-44.678737898888492</v>
      </c>
      <c r="AE714">
        <f>Q714/J714</f>
        <v>-0.28392253257012451</v>
      </c>
      <c r="AF714">
        <f>Q714/G714</f>
        <v>-0.14480343133780108</v>
      </c>
      <c r="AG714">
        <f>Q714/K714</f>
        <v>-0.34830099529743763</v>
      </c>
      <c r="AH714">
        <f>Q714/L714</f>
        <v>-9.2697097287727068</v>
      </c>
      <c r="AI714" s="1">
        <f>R714</f>
        <v>160</v>
      </c>
      <c r="AJ714" s="1">
        <f>P714</f>
        <v>399669</v>
      </c>
    </row>
    <row r="715" spans="1:36" s="8" customFormat="1" x14ac:dyDescent="0.25">
      <c r="A715" s="8" t="s">
        <v>115</v>
      </c>
      <c r="B715" s="8">
        <v>2024</v>
      </c>
      <c r="C715" s="9">
        <v>5798813</v>
      </c>
      <c r="D715" s="9">
        <v>-137186</v>
      </c>
      <c r="E715" s="9">
        <v>-218271</v>
      </c>
      <c r="F715" s="9"/>
      <c r="G715" s="9">
        <v>3961880</v>
      </c>
      <c r="H715" s="9">
        <v>1947065</v>
      </c>
      <c r="I715" s="9">
        <v>889488</v>
      </c>
      <c r="J715" s="9">
        <v>2098619</v>
      </c>
      <c r="K715" s="9">
        <v>1728646</v>
      </c>
      <c r="L715" s="9">
        <v>224916</v>
      </c>
      <c r="M715" s="9">
        <v>0</v>
      </c>
      <c r="N715" s="9">
        <v>1863261</v>
      </c>
      <c r="O715" s="9">
        <v>1863261</v>
      </c>
      <c r="P715" s="9">
        <v>143013</v>
      </c>
      <c r="Q715" s="9">
        <v>374268</v>
      </c>
      <c r="R715" s="9">
        <v>147</v>
      </c>
      <c r="T715" s="8">
        <f>E715/G715</f>
        <v>-5.5092784233747617E-2</v>
      </c>
      <c r="U715" s="8">
        <f>D715/C715</f>
        <v>-2.3657600270952005E-2</v>
      </c>
      <c r="V715" s="8">
        <f>(E715-F715)/O715</f>
        <v>-0.11714461903082821</v>
      </c>
      <c r="W715" s="8">
        <f>H715/K715</f>
        <v>1.1263526482576536</v>
      </c>
      <c r="X715" s="8">
        <f>(H715-I715)/K715</f>
        <v>0.61179501181849838</v>
      </c>
      <c r="Y715" s="8">
        <f>(H715-K715)/G715</f>
        <v>5.51301402364534E-2</v>
      </c>
      <c r="Z715" s="8">
        <f>J715/N715</f>
        <v>1.1263151002462886</v>
      </c>
      <c r="AA715" s="8">
        <f>J715/G715</f>
        <v>0.52970281785415008</v>
      </c>
      <c r="AB715" s="8">
        <f>C715/G715</f>
        <v>1.4636518521509989</v>
      </c>
      <c r="AC715" s="8">
        <f>C715/(G715-K715)</f>
        <v>2.5965989233550983</v>
      </c>
      <c r="AD715" s="8">
        <f>Q715/E715</f>
        <v>-1.7146941187789491</v>
      </c>
      <c r="AE715" s="8">
        <f>Q715/J715</f>
        <v>0.17834013701391249</v>
      </c>
      <c r="AF715" s="8">
        <f>Q715/G715</f>
        <v>9.4467273112764649E-2</v>
      </c>
      <c r="AG715" s="8">
        <f>Q715/K715</f>
        <v>0.21650933736577646</v>
      </c>
      <c r="AH715" s="8">
        <f>Q715/L715</f>
        <v>1.6640345729072188</v>
      </c>
      <c r="AI715" s="9">
        <f>R715</f>
        <v>147</v>
      </c>
      <c r="AJ715" s="9">
        <f>P715</f>
        <v>143013</v>
      </c>
    </row>
    <row r="716" spans="1:36" x14ac:dyDescent="0.25">
      <c r="A716" s="15" t="s">
        <v>116</v>
      </c>
      <c r="B716" s="15">
        <v>2018</v>
      </c>
      <c r="C716" s="6">
        <v>2508167</v>
      </c>
      <c r="D716" s="6">
        <v>305935</v>
      </c>
      <c r="E716" s="6">
        <v>348186</v>
      </c>
      <c r="F716" s="6"/>
      <c r="G716" s="6">
        <v>7365257</v>
      </c>
      <c r="H716" s="6">
        <v>2271318</v>
      </c>
      <c r="I716" s="6">
        <v>329420</v>
      </c>
      <c r="J716" s="6">
        <v>4248988</v>
      </c>
      <c r="K716" s="6">
        <v>2142707</v>
      </c>
      <c r="L716" s="6">
        <v>2901660</v>
      </c>
      <c r="M716" s="6">
        <v>1051147</v>
      </c>
      <c r="N716" s="6">
        <v>3116269</v>
      </c>
      <c r="O716" s="6">
        <v>3116269</v>
      </c>
      <c r="P716" s="6">
        <v>2562673</v>
      </c>
      <c r="Q716" s="6">
        <v>82211</v>
      </c>
      <c r="R716" s="6">
        <v>65.900000000000006</v>
      </c>
      <c r="S716" s="15"/>
      <c r="T716" s="15">
        <f>E716/G716</f>
        <v>4.7274114127993087E-2</v>
      </c>
      <c r="U716" s="15">
        <f>D716/C716</f>
        <v>0.12197553033749348</v>
      </c>
      <c r="V716" s="15">
        <f>(E716-F716)/O716</f>
        <v>0.11173168940165307</v>
      </c>
      <c r="W716" s="15">
        <f>H716/K716</f>
        <v>1.0600226722552359</v>
      </c>
      <c r="X716" s="15">
        <f>(H716-I716)/K716</f>
        <v>0.90628256686518505</v>
      </c>
      <c r="Y716" s="15">
        <f>(H716-K716)/G716</f>
        <v>1.7461848242362757E-2</v>
      </c>
      <c r="Z716" s="15">
        <f>J716/N716</f>
        <v>1.363485629770729</v>
      </c>
      <c r="AA716" s="15">
        <f>J716/G716</f>
        <v>0.57689609473233583</v>
      </c>
      <c r="AB716" s="15">
        <f>C716/G716</f>
        <v>0.34054032330440065</v>
      </c>
      <c r="AC716" s="15">
        <f>C716/(G716-K716)</f>
        <v>0.4802571540722444</v>
      </c>
      <c r="AD716" s="15">
        <f>Q716/E716</f>
        <v>0.23611230778951481</v>
      </c>
      <c r="AE716" s="15">
        <f>Q716/J716</f>
        <v>1.9348371894672332E-2</v>
      </c>
      <c r="AF716" s="15">
        <f>Q716/G716</f>
        <v>1.1162000185465355E-2</v>
      </c>
      <c r="AG716" s="15">
        <f>Q716/K716</f>
        <v>3.8367821638702816E-2</v>
      </c>
      <c r="AH716" s="15">
        <f>Q716/L716</f>
        <v>2.8332402831482667E-2</v>
      </c>
      <c r="AI716" s="6">
        <f>R716</f>
        <v>65.900000000000006</v>
      </c>
      <c r="AJ716" s="6">
        <f>P716</f>
        <v>2562673</v>
      </c>
    </row>
    <row r="717" spans="1:36" x14ac:dyDescent="0.25">
      <c r="A717" t="s">
        <v>116</v>
      </c>
      <c r="B717">
        <v>2019</v>
      </c>
      <c r="C717" s="1">
        <v>2421797</v>
      </c>
      <c r="D717" s="1">
        <v>69855</v>
      </c>
      <c r="E717" s="1">
        <v>398081</v>
      </c>
      <c r="G717" s="1">
        <v>7961649</v>
      </c>
      <c r="H717" s="1">
        <v>3424771</v>
      </c>
      <c r="I717" s="1">
        <v>350652</v>
      </c>
      <c r="J717" s="1">
        <v>4597642</v>
      </c>
      <c r="K717" s="1">
        <v>2979150</v>
      </c>
      <c r="L717" s="1">
        <v>3131089</v>
      </c>
      <c r="M717" s="1">
        <v>524660</v>
      </c>
      <c r="N717" s="1">
        <v>3364007</v>
      </c>
      <c r="O717" s="1">
        <v>3364007</v>
      </c>
      <c r="P717" s="1">
        <v>2808898</v>
      </c>
      <c r="Q717" s="1">
        <v>-78704</v>
      </c>
      <c r="R717" s="1">
        <v>55</v>
      </c>
      <c r="T717">
        <f>E717/G717</f>
        <v>4.9999817876924743E-2</v>
      </c>
      <c r="U717">
        <f>D717/C717</f>
        <v>2.8844283810740536E-2</v>
      </c>
      <c r="V717">
        <f>(E717-F717)/O717</f>
        <v>0.11833536612735943</v>
      </c>
      <c r="W717">
        <f>H717/K717</f>
        <v>1.1495799137337832</v>
      </c>
      <c r="X717">
        <f>(H717-I717)/K717</f>
        <v>1.0318778846315224</v>
      </c>
      <c r="Y717">
        <f>(H717-K717)/G717</f>
        <v>5.5970942702950104E-2</v>
      </c>
      <c r="Z717">
        <f>J717/N717</f>
        <v>1.3667159432189053</v>
      </c>
      <c r="AA717">
        <f>J717/G717</f>
        <v>0.57747358618798694</v>
      </c>
      <c r="AB717">
        <f>C717/G717</f>
        <v>0.30418283950975483</v>
      </c>
      <c r="AC717">
        <f>C717/(G717-K717)</f>
        <v>0.48606070969607823</v>
      </c>
      <c r="AD717">
        <f>Q717/E717</f>
        <v>-0.19770850656022268</v>
      </c>
      <c r="AE717">
        <f>Q717/J717</f>
        <v>-1.7118340227447026E-2</v>
      </c>
      <c r="AF717">
        <f>Q717/G717</f>
        <v>-9.8853893207299145E-3</v>
      </c>
      <c r="AG717">
        <f>Q717/K717</f>
        <v>-2.641827366866388E-2</v>
      </c>
      <c r="AH717">
        <f>Q717/L717</f>
        <v>-2.5136302417465617E-2</v>
      </c>
      <c r="AI717" s="1">
        <f>R717</f>
        <v>55</v>
      </c>
      <c r="AJ717" s="1">
        <f>P717</f>
        <v>2808898</v>
      </c>
    </row>
    <row r="718" spans="1:36" x14ac:dyDescent="0.25">
      <c r="A718" t="s">
        <v>116</v>
      </c>
      <c r="B718">
        <v>2020</v>
      </c>
      <c r="C718" s="1">
        <v>2185536</v>
      </c>
      <c r="D718" s="1">
        <v>-49177</v>
      </c>
      <c r="E718" s="1">
        <v>159287</v>
      </c>
      <c r="G718" s="1">
        <v>6526477</v>
      </c>
      <c r="H718" s="1">
        <v>1357761</v>
      </c>
      <c r="I718" s="1">
        <v>371534</v>
      </c>
      <c r="J718" s="1">
        <v>2927968</v>
      </c>
      <c r="K718" s="1">
        <v>1474127</v>
      </c>
      <c r="L718" s="1">
        <v>1262477</v>
      </c>
      <c r="M718" s="1">
        <v>179060</v>
      </c>
      <c r="N718" s="1">
        <v>3598508</v>
      </c>
      <c r="O718" s="1">
        <v>3598508</v>
      </c>
      <c r="P718" s="1">
        <v>3041899</v>
      </c>
      <c r="Q718" s="1">
        <v>-46144</v>
      </c>
      <c r="R718" s="1">
        <v>40.799999999999997</v>
      </c>
      <c r="T718">
        <f>E718/G718</f>
        <v>2.4406276157872005E-2</v>
      </c>
      <c r="U718">
        <f>D718/C718</f>
        <v>-2.2501116430935018E-2</v>
      </c>
      <c r="V718">
        <f>(E718-F718)/O718</f>
        <v>4.426473416204716E-2</v>
      </c>
      <c r="W718">
        <f>H718/K718</f>
        <v>0.92106107547043092</v>
      </c>
      <c r="X718">
        <f>(H718-I718)/K718</f>
        <v>0.66902444633332137</v>
      </c>
      <c r="Y718">
        <f>(H718-K718)/G718</f>
        <v>-1.7829833767896524E-2</v>
      </c>
      <c r="Z718">
        <f>J718/N718</f>
        <v>0.81366166199991774</v>
      </c>
      <c r="AA718">
        <f>J718/G718</f>
        <v>0.44862917620026854</v>
      </c>
      <c r="AB718">
        <f>C718/G718</f>
        <v>0.33487224424448292</v>
      </c>
      <c r="AC718">
        <f>C718/(G718-K718)</f>
        <v>0.43257810721743345</v>
      </c>
      <c r="AD718">
        <f>Q718/E718</f>
        <v>-0.28969093523011924</v>
      </c>
      <c r="AE718">
        <f>Q718/J718</f>
        <v>-1.5759735079071902E-2</v>
      </c>
      <c r="AF718">
        <f>Q718/G718</f>
        <v>-7.0702769656585014E-3</v>
      </c>
      <c r="AG718">
        <f>Q718/K718</f>
        <v>-3.1302594688245991E-2</v>
      </c>
      <c r="AH718">
        <f>Q718/L718</f>
        <v>-3.6550368838402604E-2</v>
      </c>
      <c r="AI718" s="1">
        <f>R718</f>
        <v>40.799999999999997</v>
      </c>
      <c r="AJ718" s="1">
        <f>P718</f>
        <v>3041899</v>
      </c>
    </row>
    <row r="719" spans="1:36" x14ac:dyDescent="0.25">
      <c r="A719" t="s">
        <v>116</v>
      </c>
      <c r="B719">
        <v>2021</v>
      </c>
      <c r="C719" s="1">
        <v>3148122</v>
      </c>
      <c r="D719" s="1">
        <v>279339</v>
      </c>
      <c r="E719" s="1">
        <v>482603</v>
      </c>
      <c r="G719" s="1">
        <v>7145607</v>
      </c>
      <c r="H719" s="1">
        <v>1655850</v>
      </c>
      <c r="I719" s="1">
        <v>329298</v>
      </c>
      <c r="J719" s="1">
        <v>3108903</v>
      </c>
      <c r="K719" s="1">
        <v>1117188</v>
      </c>
      <c r="L719" s="1">
        <v>1162778</v>
      </c>
      <c r="M719" s="1">
        <v>677619</v>
      </c>
      <c r="N719" s="1">
        <v>4036704</v>
      </c>
      <c r="O719" s="1">
        <v>4036704</v>
      </c>
      <c r="P719" s="1">
        <v>3477533</v>
      </c>
      <c r="Q719" s="1">
        <v>493209</v>
      </c>
      <c r="R719" s="1">
        <v>97.2</v>
      </c>
      <c r="T719">
        <f>E719/G719</f>
        <v>6.7538419059430504E-2</v>
      </c>
      <c r="U719">
        <f>D719/C719</f>
        <v>8.873194876183324E-2</v>
      </c>
      <c r="V719">
        <f>(E719-F719)/O719</f>
        <v>0.11955372501922361</v>
      </c>
      <c r="W719">
        <f>H719/K719</f>
        <v>1.4821587772156521</v>
      </c>
      <c r="X719">
        <f>(H719-I719)/K719</f>
        <v>1.1874026573862233</v>
      </c>
      <c r="Y719">
        <f>(H719-K719)/G719</f>
        <v>7.5383658799035552E-2</v>
      </c>
      <c r="Z719">
        <f>J719/N719</f>
        <v>0.77015877309805225</v>
      </c>
      <c r="AA719">
        <f>J719/G719</f>
        <v>0.43507892331610176</v>
      </c>
      <c r="AB719">
        <f>C719/G719</f>
        <v>0.44056747033527033</v>
      </c>
      <c r="AC719">
        <f>C719/(G719-K719)</f>
        <v>0.52221353558868422</v>
      </c>
      <c r="AD719">
        <f>Q719/E719</f>
        <v>1.0219766557605319</v>
      </c>
      <c r="AE719">
        <f>Q719/J719</f>
        <v>0.15864406190865396</v>
      </c>
      <c r="AF719">
        <f>Q719/G719</f>
        <v>6.9022687645710151E-2</v>
      </c>
      <c r="AG719">
        <f>Q719/K719</f>
        <v>0.44147359262720332</v>
      </c>
      <c r="AH719">
        <f>Q719/L719</f>
        <v>0.42416437187494088</v>
      </c>
      <c r="AI719" s="1">
        <f>R719</f>
        <v>97.2</v>
      </c>
      <c r="AJ719" s="1">
        <f>P719</f>
        <v>3477533</v>
      </c>
    </row>
    <row r="720" spans="1:36" x14ac:dyDescent="0.25">
      <c r="A720" t="s">
        <v>116</v>
      </c>
      <c r="B720">
        <v>2022</v>
      </c>
      <c r="C720" s="1">
        <v>3627751</v>
      </c>
      <c r="D720" s="1">
        <v>486040</v>
      </c>
      <c r="E720" s="1">
        <v>796579</v>
      </c>
      <c r="G720" s="1">
        <v>8152909</v>
      </c>
      <c r="H720" s="1">
        <v>1759097</v>
      </c>
      <c r="I720" s="1">
        <v>445465</v>
      </c>
      <c r="J720" s="1">
        <v>3436247</v>
      </c>
      <c r="K720" s="1">
        <v>1226076</v>
      </c>
      <c r="L720" s="1">
        <v>1245709</v>
      </c>
      <c r="M720" s="1">
        <v>804160</v>
      </c>
      <c r="N720" s="1">
        <v>4716661</v>
      </c>
      <c r="O720" s="1">
        <v>4716661</v>
      </c>
      <c r="P720" s="1">
        <v>4143258</v>
      </c>
      <c r="Q720" s="1">
        <v>440643</v>
      </c>
      <c r="R720" s="1">
        <v>133.5</v>
      </c>
      <c r="T720">
        <f>E720/G720</f>
        <v>9.7704880552450663E-2</v>
      </c>
      <c r="U720">
        <f>D720/C720</f>
        <v>0.13397832431167409</v>
      </c>
      <c r="V720">
        <f>(E720-F720)/O720</f>
        <v>0.16888620996929821</v>
      </c>
      <c r="W720">
        <f>H720/K720</f>
        <v>1.4347373246030426</v>
      </c>
      <c r="X720">
        <f>(H720-I720)/K720</f>
        <v>1.071411560131672</v>
      </c>
      <c r="Y720">
        <f>(H720-K720)/G720</f>
        <v>6.5378014154211711E-2</v>
      </c>
      <c r="Z720">
        <f>J720/N720</f>
        <v>0.72853380813249036</v>
      </c>
      <c r="AA720">
        <f>J720/G720</f>
        <v>0.42147496065514778</v>
      </c>
      <c r="AB720">
        <f>C720/G720</f>
        <v>0.44496399996614705</v>
      </c>
      <c r="AC720">
        <f>C720/(G720-K720)</f>
        <v>0.52372433404991858</v>
      </c>
      <c r="AD720">
        <f>Q720/E720</f>
        <v>0.5531692399623892</v>
      </c>
      <c r="AE720">
        <f>Q720/J720</f>
        <v>0.1282337969301974</v>
      </c>
      <c r="AF720">
        <f>Q720/G720</f>
        <v>5.404733451581515E-2</v>
      </c>
      <c r="AG720">
        <f>Q720/K720</f>
        <v>0.35939289244712397</v>
      </c>
      <c r="AH720">
        <f>Q720/L720</f>
        <v>0.35372867981205885</v>
      </c>
      <c r="AI720" s="1">
        <f>R720</f>
        <v>133.5</v>
      </c>
      <c r="AJ720" s="1">
        <f>P720</f>
        <v>4143258</v>
      </c>
    </row>
    <row r="721" spans="1:36" x14ac:dyDescent="0.25">
      <c r="A721" t="s">
        <v>116</v>
      </c>
      <c r="B721">
        <v>2023</v>
      </c>
      <c r="C721" s="1">
        <v>5294938</v>
      </c>
      <c r="D721" s="1">
        <v>985338</v>
      </c>
      <c r="E721" s="1">
        <v>751156</v>
      </c>
      <c r="G721" s="1">
        <v>8631168</v>
      </c>
      <c r="H721" s="1">
        <v>1699285</v>
      </c>
      <c r="I721" s="1">
        <v>663667</v>
      </c>
      <c r="J721" s="1">
        <v>3393684</v>
      </c>
      <c r="K721" s="1">
        <v>1102374</v>
      </c>
      <c r="L721" s="1">
        <v>983018</v>
      </c>
      <c r="M721" s="1">
        <v>529152</v>
      </c>
      <c r="N721" s="1">
        <v>5237484</v>
      </c>
      <c r="O721" s="1">
        <v>5237484</v>
      </c>
      <c r="P721" s="1">
        <v>4659964</v>
      </c>
      <c r="Q721" s="1">
        <v>448878</v>
      </c>
      <c r="R721" s="1">
        <v>128</v>
      </c>
      <c r="T721">
        <f>E721/G721</f>
        <v>8.7028314128516554E-2</v>
      </c>
      <c r="U721">
        <f>D721/C721</f>
        <v>0.18609056423323558</v>
      </c>
      <c r="V721">
        <f>(E721-F721)/O721</f>
        <v>0.14341924481296744</v>
      </c>
      <c r="W721">
        <f>H721/K721</f>
        <v>1.5414777561880089</v>
      </c>
      <c r="X721">
        <f>(H721-I721)/K721</f>
        <v>0.93944341938398401</v>
      </c>
      <c r="Y721">
        <f>(H721-K721)/G721</f>
        <v>6.9157615747949749E-2</v>
      </c>
      <c r="Z721">
        <f>J721/N721</f>
        <v>0.6479607384003464</v>
      </c>
      <c r="AA721">
        <f>J721/G721</f>
        <v>0.39318942696979137</v>
      </c>
      <c r="AB721">
        <f>C721/G721</f>
        <v>0.61346714604558739</v>
      </c>
      <c r="AC721">
        <f>C721/(G721-K721)</f>
        <v>0.70329165600758903</v>
      </c>
      <c r="AD721">
        <f>Q721/E721</f>
        <v>0.59758292551746905</v>
      </c>
      <c r="AE721">
        <f>Q721/J721</f>
        <v>0.13226864964445717</v>
      </c>
      <c r="AF721">
        <f>Q721/G721</f>
        <v>5.2006634559772211E-2</v>
      </c>
      <c r="AG721">
        <f>Q721/K721</f>
        <v>0.40719211447294656</v>
      </c>
      <c r="AH721">
        <f>Q721/L721</f>
        <v>0.4566325336870739</v>
      </c>
      <c r="AI721" s="1">
        <f>R721</f>
        <v>128</v>
      </c>
      <c r="AJ721" s="1">
        <f>P721</f>
        <v>4659964</v>
      </c>
    </row>
    <row r="722" spans="1:36" s="8" customFormat="1" x14ac:dyDescent="0.25">
      <c r="A722" s="8" t="s">
        <v>116</v>
      </c>
      <c r="B722" s="8">
        <v>2024</v>
      </c>
      <c r="C722" s="9">
        <v>3907108</v>
      </c>
      <c r="D722" s="9">
        <v>371719</v>
      </c>
      <c r="E722" s="9">
        <v>-273176</v>
      </c>
      <c r="F722" s="9"/>
      <c r="G722" s="9">
        <v>9072315</v>
      </c>
      <c r="H722" s="9">
        <v>1701459</v>
      </c>
      <c r="I722" s="9">
        <v>545924</v>
      </c>
      <c r="J722" s="9">
        <v>4209023</v>
      </c>
      <c r="K722" s="9">
        <v>1809006</v>
      </c>
      <c r="L722" s="9">
        <v>1228918</v>
      </c>
      <c r="M722" s="9">
        <v>254144</v>
      </c>
      <c r="N722" s="9">
        <v>4863292</v>
      </c>
      <c r="O722" s="9">
        <v>4863292</v>
      </c>
      <c r="P722" s="9">
        <v>4271453</v>
      </c>
      <c r="Q722" s="9">
        <v>286297</v>
      </c>
      <c r="R722" s="9">
        <v>120.5</v>
      </c>
      <c r="T722" s="8">
        <f>E722/G722</f>
        <v>-3.0110947426318421E-2</v>
      </c>
      <c r="U722" s="8">
        <f>D722/C722</f>
        <v>9.5139166872274833E-2</v>
      </c>
      <c r="V722" s="8">
        <f>(E722-F722)/O722</f>
        <v>-5.6171005154533188E-2</v>
      </c>
      <c r="W722" s="8">
        <f>H722/K722</f>
        <v>0.9405491192400689</v>
      </c>
      <c r="X722" s="8">
        <f>(H722-I722)/K722</f>
        <v>0.63876792006217775</v>
      </c>
      <c r="Y722" s="8">
        <f>(H722-K722)/G722</f>
        <v>-1.1854416430646423E-2</v>
      </c>
      <c r="Z722" s="8">
        <f>J722/N722</f>
        <v>0.86546787649189072</v>
      </c>
      <c r="AA722" s="8">
        <f>J722/G722</f>
        <v>0.46394145265017805</v>
      </c>
      <c r="AB722" s="8">
        <f>C722/G722</f>
        <v>0.43066273602713312</v>
      </c>
      <c r="AC722" s="8">
        <f>C722/(G722-K722)</f>
        <v>0.53792396826295008</v>
      </c>
      <c r="AD722" s="8">
        <f>Q722/E722</f>
        <v>-1.0480313058248163</v>
      </c>
      <c r="AE722" s="8">
        <f>Q722/J722</f>
        <v>6.8019823127599924E-2</v>
      </c>
      <c r="AF722" s="8">
        <f>Q722/G722</f>
        <v>3.1557215550826884E-2</v>
      </c>
      <c r="AG722" s="8">
        <f>Q722/K722</f>
        <v>0.15826205109325231</v>
      </c>
      <c r="AH722" s="8">
        <f>Q722/L722</f>
        <v>0.23296672357309439</v>
      </c>
      <c r="AI722" s="9">
        <f>R722</f>
        <v>120.5</v>
      </c>
      <c r="AJ722" s="9">
        <f>P722</f>
        <v>4271453</v>
      </c>
    </row>
    <row r="723" spans="1:36" x14ac:dyDescent="0.25">
      <c r="A723" t="s">
        <v>205</v>
      </c>
      <c r="B723">
        <v>2018</v>
      </c>
      <c r="C723" s="1">
        <v>685379</v>
      </c>
      <c r="D723" s="1">
        <v>261163</v>
      </c>
      <c r="E723" s="1">
        <v>224219</v>
      </c>
      <c r="G723" s="1">
        <v>8317216</v>
      </c>
      <c r="H723" s="1">
        <v>987680</v>
      </c>
      <c r="I723" s="1">
        <v>35480</v>
      </c>
      <c r="J723" s="1">
        <v>1426286</v>
      </c>
      <c r="K723" s="1">
        <v>342764</v>
      </c>
      <c r="L723" s="1">
        <v>600000</v>
      </c>
      <c r="M723" s="1">
        <v>91300</v>
      </c>
      <c r="N723" s="1">
        <v>6890930</v>
      </c>
      <c r="O723" s="1">
        <v>6890930</v>
      </c>
      <c r="P723" s="1">
        <v>960443</v>
      </c>
      <c r="Q723" s="1">
        <v>184246</v>
      </c>
      <c r="R723" s="1">
        <v>5.3</v>
      </c>
      <c r="T723">
        <f>E723/G723</f>
        <v>2.6958419740451614E-2</v>
      </c>
      <c r="U723">
        <f>D723/C723</f>
        <v>0.38104902542972574</v>
      </c>
      <c r="V723">
        <f>(E723-F723)/O723</f>
        <v>3.253827857778268E-2</v>
      </c>
      <c r="W723">
        <f>H723/K723</f>
        <v>2.8815161452194511</v>
      </c>
      <c r="X723">
        <f>(H723-I723)/K723</f>
        <v>2.7780046912744627</v>
      </c>
      <c r="Y723">
        <f>(H723-K723)/G723</f>
        <v>7.7539888347254657E-2</v>
      </c>
      <c r="Z723">
        <f>J723/N723</f>
        <v>0.20698018990179845</v>
      </c>
      <c r="AA723">
        <f>J723/G723</f>
        <v>0.17148598761893402</v>
      </c>
      <c r="AB723">
        <f>C723/G723</f>
        <v>8.2404857586961797E-2</v>
      </c>
      <c r="AC723">
        <f>C723/(G723-K723)</f>
        <v>8.5946846253510581E-2</v>
      </c>
      <c r="AD723">
        <f>Q723/E723</f>
        <v>0.82172340435021118</v>
      </c>
      <c r="AE723">
        <f>Q723/J723</f>
        <v>0.12917886034077317</v>
      </c>
      <c r="AF723">
        <f>Q723/G723</f>
        <v>2.2152364445025836E-2</v>
      </c>
      <c r="AG723">
        <f>Q723/K723</f>
        <v>0.53753019570316607</v>
      </c>
      <c r="AH723">
        <f>Q723/L723</f>
        <v>0.30707666666666666</v>
      </c>
      <c r="AI723" s="1">
        <f>R723</f>
        <v>5.3</v>
      </c>
      <c r="AJ723" s="1">
        <f>P723</f>
        <v>960443</v>
      </c>
    </row>
    <row r="724" spans="1:36" x14ac:dyDescent="0.25">
      <c r="A724" t="s">
        <v>205</v>
      </c>
      <c r="B724">
        <v>2019</v>
      </c>
      <c r="C724" s="1">
        <v>703479</v>
      </c>
      <c r="D724" s="1">
        <v>156897</v>
      </c>
      <c r="E724" s="1">
        <v>125625</v>
      </c>
      <c r="G724" s="1">
        <v>8313612</v>
      </c>
      <c r="H724" s="1">
        <v>1085589</v>
      </c>
      <c r="I724" s="1">
        <v>39537</v>
      </c>
      <c r="J724" s="1">
        <v>1527574</v>
      </c>
      <c r="K724" s="1">
        <v>154639</v>
      </c>
      <c r="L724" s="1">
        <v>525299</v>
      </c>
      <c r="M724" s="1">
        <v>525299</v>
      </c>
      <c r="N724" s="1">
        <v>6786038</v>
      </c>
      <c r="O724" s="1">
        <v>6786038</v>
      </c>
      <c r="P724" s="1">
        <v>1054594</v>
      </c>
      <c r="Q724" s="1">
        <v>146822</v>
      </c>
      <c r="R724" s="1">
        <v>4.5</v>
      </c>
      <c r="T724">
        <f>E724/G724</f>
        <v>1.511076052141957E-2</v>
      </c>
      <c r="U724">
        <f>D724/C724</f>
        <v>0.22303011177305931</v>
      </c>
      <c r="V724">
        <f>(E724-F724)/O724</f>
        <v>1.8512274761797679E-2</v>
      </c>
      <c r="W724">
        <f>H724/K724</f>
        <v>7.0201501561701773</v>
      </c>
      <c r="X724">
        <f>(H724-I724)/K724</f>
        <v>6.7644772664075683</v>
      </c>
      <c r="Y724">
        <f>(H724-K724)/G724</f>
        <v>0.11197900503415363</v>
      </c>
      <c r="Z724">
        <f>J724/N724</f>
        <v>0.22510542970729017</v>
      </c>
      <c r="AA724">
        <f>J724/G724</f>
        <v>0.18374372053927943</v>
      </c>
      <c r="AB724">
        <f>C724/G724</f>
        <v>8.4617732942071394E-2</v>
      </c>
      <c r="AC724">
        <f>C724/(G724-K724)</f>
        <v>8.6221513418416759E-2</v>
      </c>
      <c r="AD724">
        <f>Q724/E724</f>
        <v>1.1687323383084578</v>
      </c>
      <c r="AE724">
        <f>Q724/J724</f>
        <v>9.611449265305641E-2</v>
      </c>
      <c r="AF724">
        <f>Q724/G724</f>
        <v>1.7660434477817826E-2</v>
      </c>
      <c r="AG724">
        <f>Q724/K724</f>
        <v>0.94945000937667734</v>
      </c>
      <c r="AH724">
        <f>Q724/L724</f>
        <v>0.27950176946843608</v>
      </c>
      <c r="AI724" s="1">
        <f>R724</f>
        <v>4.5</v>
      </c>
      <c r="AJ724" s="1">
        <f>P724</f>
        <v>1054594</v>
      </c>
    </row>
    <row r="725" spans="1:36" x14ac:dyDescent="0.25">
      <c r="A725" t="s">
        <v>205</v>
      </c>
      <c r="B725">
        <v>2020</v>
      </c>
      <c r="C725" s="1">
        <v>410663</v>
      </c>
      <c r="D725" s="1">
        <v>-65206</v>
      </c>
      <c r="E725" s="1">
        <v>-72549</v>
      </c>
      <c r="G725" s="1">
        <v>9437625</v>
      </c>
      <c r="H725" s="1">
        <v>1144722</v>
      </c>
      <c r="I725" s="1">
        <v>39537</v>
      </c>
      <c r="J725" s="1">
        <v>1240228</v>
      </c>
      <c r="K725" s="1">
        <v>154639</v>
      </c>
      <c r="L725" s="1">
        <v>629844</v>
      </c>
      <c r="M725" s="1">
        <v>629844</v>
      </c>
      <c r="N725" s="1">
        <v>8197397</v>
      </c>
      <c r="O725" s="1">
        <v>8197397</v>
      </c>
      <c r="P725" s="1">
        <v>1013870</v>
      </c>
      <c r="Q725" s="1">
        <v>55081</v>
      </c>
      <c r="R725" s="1">
        <v>4.3</v>
      </c>
      <c r="T725">
        <f>E725/G725</f>
        <v>-7.6872094409345575E-3</v>
      </c>
      <c r="U725">
        <f>D725/C725</f>
        <v>-0.15878226185461072</v>
      </c>
      <c r="V725">
        <f>(E725-F725)/O725</f>
        <v>-8.8502484386202111E-3</v>
      </c>
      <c r="W725">
        <f>H725/K725</f>
        <v>7.402543989549855</v>
      </c>
      <c r="X725">
        <f>(H725-I725)/K725</f>
        <v>7.146871099787246</v>
      </c>
      <c r="Y725">
        <f>(H725-K725)/G725</f>
        <v>0.10490806744281533</v>
      </c>
      <c r="Z725">
        <f>J725/N725</f>
        <v>0.15129534411960285</v>
      </c>
      <c r="AA725">
        <f>J725/G725</f>
        <v>0.13141314684573716</v>
      </c>
      <c r="AB725">
        <f>C725/G725</f>
        <v>4.3513383928689683E-2</v>
      </c>
      <c r="AC725">
        <f>C725/(G725-K725)</f>
        <v>4.4238244030530692E-2</v>
      </c>
      <c r="AD725">
        <f>Q725/E725</f>
        <v>-0.7592247997904864</v>
      </c>
      <c r="AE725">
        <f>Q725/J725</f>
        <v>4.4411995213783272E-2</v>
      </c>
      <c r="AF725">
        <f>Q725/G725</f>
        <v>5.8363200487410762E-3</v>
      </c>
      <c r="AG725">
        <f>Q725/K725</f>
        <v>0.35619087034965308</v>
      </c>
      <c r="AH725">
        <f>Q725/L725</f>
        <v>8.745181346492148E-2</v>
      </c>
      <c r="AI725" s="1">
        <f>R725</f>
        <v>4.3</v>
      </c>
      <c r="AJ725" s="1">
        <f>P725</f>
        <v>1013870</v>
      </c>
    </row>
    <row r="726" spans="1:36" x14ac:dyDescent="0.25">
      <c r="A726" t="s">
        <v>205</v>
      </c>
      <c r="B726">
        <v>2021</v>
      </c>
      <c r="C726" s="1">
        <v>145045</v>
      </c>
      <c r="D726" s="1">
        <v>-167541</v>
      </c>
      <c r="E726" s="1">
        <v>-167698</v>
      </c>
      <c r="G726" s="1">
        <v>9306160</v>
      </c>
      <c r="H726" s="1">
        <v>1195378</v>
      </c>
      <c r="I726" s="1">
        <v>33684</v>
      </c>
      <c r="J726" s="1">
        <v>1564361</v>
      </c>
      <c r="K726" s="1">
        <v>293009</v>
      </c>
      <c r="L726" s="1">
        <v>711509</v>
      </c>
      <c r="M726" s="1">
        <v>547616</v>
      </c>
      <c r="N726" s="1">
        <v>7741799</v>
      </c>
      <c r="O726" s="1">
        <v>7741799</v>
      </c>
      <c r="P726" s="1">
        <v>909469</v>
      </c>
      <c r="Q726" s="1">
        <v>639</v>
      </c>
      <c r="R726" s="1">
        <v>5.3</v>
      </c>
      <c r="T726">
        <f>E726/G726</f>
        <v>-1.8020107111848496E-2</v>
      </c>
      <c r="U726">
        <f>D726/C726</f>
        <v>-1.1550966941294081</v>
      </c>
      <c r="V726">
        <f>(E726-F726)/O726</f>
        <v>-2.1661373538631009E-2</v>
      </c>
      <c r="W726">
        <f>H726/K726</f>
        <v>4.0796630820213711</v>
      </c>
      <c r="X726">
        <f>(H726-I726)/K726</f>
        <v>3.9647041558450424</v>
      </c>
      <c r="Y726">
        <f>(H726-K726)/G726</f>
        <v>9.6964698651215972E-2</v>
      </c>
      <c r="Z726">
        <f>J726/N726</f>
        <v>0.20206685810365266</v>
      </c>
      <c r="AA726">
        <f>J726/G726</f>
        <v>0.16809951687914243</v>
      </c>
      <c r="AB726">
        <f>C726/G726</f>
        <v>1.5585912986666896E-2</v>
      </c>
      <c r="AC726">
        <f>C726/(G726-K726)</f>
        <v>1.6092596251854652E-2</v>
      </c>
      <c r="AD726">
        <f>Q726/E726</f>
        <v>-3.8104211141456665E-3</v>
      </c>
      <c r="AE726">
        <f>Q726/J726</f>
        <v>4.0847349173240703E-4</v>
      </c>
      <c r="AF726">
        <f>Q726/G726</f>
        <v>6.8664196618154001E-5</v>
      </c>
      <c r="AG726">
        <f>Q726/K726</f>
        <v>2.1808203843567946E-3</v>
      </c>
      <c r="AH726">
        <f>Q726/L726</f>
        <v>8.9809123988593257E-4</v>
      </c>
      <c r="AI726" s="1">
        <f>R726</f>
        <v>5.3</v>
      </c>
      <c r="AJ726" s="1">
        <f>P726</f>
        <v>909469</v>
      </c>
    </row>
    <row r="727" spans="1:36" x14ac:dyDescent="0.25">
      <c r="A727" t="s">
        <v>205</v>
      </c>
      <c r="B727">
        <v>2022</v>
      </c>
      <c r="C727" s="1">
        <v>181218</v>
      </c>
      <c r="D727" s="1">
        <v>-155361</v>
      </c>
      <c r="E727" s="1">
        <v>-154279</v>
      </c>
      <c r="G727" s="1">
        <v>10438123</v>
      </c>
      <c r="H727" s="1">
        <v>1253667</v>
      </c>
      <c r="I727" s="1">
        <v>33684</v>
      </c>
      <c r="J727" s="1">
        <v>1769024</v>
      </c>
      <c r="K727" s="1">
        <v>377042</v>
      </c>
      <c r="L727" s="1">
        <v>786715</v>
      </c>
      <c r="M727" s="1">
        <v>527786</v>
      </c>
      <c r="N727" s="1">
        <v>8669099</v>
      </c>
      <c r="O727" s="1">
        <v>8669099</v>
      </c>
      <c r="P727" s="1">
        <v>818040</v>
      </c>
      <c r="Q727" s="1">
        <v>-25476</v>
      </c>
      <c r="R727" s="1">
        <v>6.9</v>
      </c>
      <c r="T727">
        <f>E727/G727</f>
        <v>-1.4780339338787252E-2</v>
      </c>
      <c r="U727">
        <f>D727/C727</f>
        <v>-0.85731549846041788</v>
      </c>
      <c r="V727">
        <f>(E727-F727)/O727</f>
        <v>-1.7796428440833355E-2</v>
      </c>
      <c r="W727">
        <f>H727/K727</f>
        <v>3.3250062327273886</v>
      </c>
      <c r="X727">
        <f>(H727-I727)/K727</f>
        <v>3.2356687053431714</v>
      </c>
      <c r="Y727">
        <f>(H727-K727)/G727</f>
        <v>8.398301112182717E-2</v>
      </c>
      <c r="Z727">
        <f>J727/N727</f>
        <v>0.20406088337438527</v>
      </c>
      <c r="AA727">
        <f>J727/G727</f>
        <v>0.16947721347985648</v>
      </c>
      <c r="AB727">
        <f>C727/G727</f>
        <v>1.7361167328647113E-2</v>
      </c>
      <c r="AC727">
        <f>C727/(G727-K727)</f>
        <v>1.8011782232942961E-2</v>
      </c>
      <c r="AD727">
        <f>Q727/E727</f>
        <v>0.16512940840944004</v>
      </c>
      <c r="AE727">
        <f>Q727/J727</f>
        <v>-1.4401161318331464E-2</v>
      </c>
      <c r="AF727">
        <f>Q727/G727</f>
        <v>-2.440668691104713E-3</v>
      </c>
      <c r="AG727">
        <f>Q727/K727</f>
        <v>-6.7568069339755246E-2</v>
      </c>
      <c r="AH727">
        <f>Q727/L727</f>
        <v>-3.2382756144219954E-2</v>
      </c>
      <c r="AI727" s="1">
        <f>R727</f>
        <v>6.9</v>
      </c>
      <c r="AJ727" s="1">
        <f>P727</f>
        <v>818040</v>
      </c>
    </row>
    <row r="728" spans="1:36" x14ac:dyDescent="0.25">
      <c r="A728" t="s">
        <v>205</v>
      </c>
      <c r="B728">
        <v>2023</v>
      </c>
      <c r="C728" s="1">
        <v>309339</v>
      </c>
      <c r="D728" s="1">
        <v>-69080</v>
      </c>
      <c r="E728" s="1">
        <v>-20800</v>
      </c>
      <c r="G728" s="1">
        <v>10906279</v>
      </c>
      <c r="H728" s="1">
        <v>1335964</v>
      </c>
      <c r="I728" s="1">
        <v>48917</v>
      </c>
      <c r="J728" s="1">
        <v>2888256</v>
      </c>
      <c r="K728" s="1">
        <v>523487</v>
      </c>
      <c r="L728" s="1">
        <v>909198</v>
      </c>
      <c r="M728" s="1">
        <v>483769</v>
      </c>
      <c r="N728" s="1">
        <v>8018023</v>
      </c>
      <c r="O728" s="1">
        <v>8018023</v>
      </c>
      <c r="P728" s="1">
        <v>871264</v>
      </c>
      <c r="Q728" s="1">
        <v>-154434</v>
      </c>
      <c r="R728" s="1">
        <v>7.5</v>
      </c>
      <c r="T728">
        <f>E728/G728</f>
        <v>-1.9071582525992596E-3</v>
      </c>
      <c r="U728">
        <f>D728/C728</f>
        <v>-0.22331487461975374</v>
      </c>
      <c r="V728">
        <f>(E728-F728)/O728</f>
        <v>-2.5941556914965197E-3</v>
      </c>
      <c r="W728">
        <f>H728/K728</f>
        <v>2.5520480928848279</v>
      </c>
      <c r="X728">
        <f>(H728-I728)/K728</f>
        <v>2.4586035565353104</v>
      </c>
      <c r="Y728">
        <f>(H728-K728)/G728</f>
        <v>7.4496260365244649E-2</v>
      </c>
      <c r="Z728">
        <f>J728/N728</f>
        <v>0.36022046831245058</v>
      </c>
      <c r="AA728">
        <f>J728/G728</f>
        <v>0.2648250608663138</v>
      </c>
      <c r="AB728">
        <f>C728/G728</f>
        <v>2.8363385899077036E-2</v>
      </c>
      <c r="AC728">
        <f>C728/(G728-K728)</f>
        <v>2.9793431285149503E-2</v>
      </c>
      <c r="AD728">
        <f>Q728/E728</f>
        <v>7.4247115384615388</v>
      </c>
      <c r="AE728">
        <f>Q728/J728</f>
        <v>-5.3469637040483943E-2</v>
      </c>
      <c r="AF728">
        <f>Q728/G728</f>
        <v>-1.4160099883745867E-2</v>
      </c>
      <c r="AG728">
        <f>Q728/K728</f>
        <v>-0.29501019127504596</v>
      </c>
      <c r="AH728">
        <f>Q728/L728</f>
        <v>-0.16985739079936382</v>
      </c>
      <c r="AI728" s="1">
        <f>R728</f>
        <v>7.5</v>
      </c>
      <c r="AJ728" s="1">
        <f>P728</f>
        <v>871264</v>
      </c>
    </row>
    <row r="729" spans="1:36" s="8" customFormat="1" x14ac:dyDescent="0.25">
      <c r="A729" s="8" t="s">
        <v>205</v>
      </c>
      <c r="B729" s="8">
        <v>2024</v>
      </c>
      <c r="C729" s="9">
        <v>1223258</v>
      </c>
      <c r="D729" s="9">
        <v>-100396</v>
      </c>
      <c r="E729" s="9">
        <v>-119855</v>
      </c>
      <c r="F729" s="9"/>
      <c r="G729" s="9">
        <v>13375812</v>
      </c>
      <c r="H729" s="9">
        <v>2435280</v>
      </c>
      <c r="I729" s="9">
        <v>101974</v>
      </c>
      <c r="J729" s="9">
        <v>4201086</v>
      </c>
      <c r="K729" s="9">
        <v>950431</v>
      </c>
      <c r="L729" s="9">
        <v>1580925</v>
      </c>
      <c r="M729" s="9">
        <v>1043121</v>
      </c>
      <c r="N729" s="9">
        <v>9174726</v>
      </c>
      <c r="O729" s="9">
        <v>9174726</v>
      </c>
      <c r="P729" s="9">
        <v>838749</v>
      </c>
      <c r="Q729" s="9">
        <v>180877</v>
      </c>
      <c r="R729" s="9">
        <v>8.1</v>
      </c>
      <c r="T729" s="8">
        <f>E729/G729</f>
        <v>-8.9605774961549998E-3</v>
      </c>
      <c r="U729" s="8">
        <f>D729/C729</f>
        <v>-8.2072628995682018E-2</v>
      </c>
      <c r="V729" s="8">
        <f>(E729-F729)/O729</f>
        <v>-1.3063605387234452E-2</v>
      </c>
      <c r="W729" s="8">
        <f>H729/K729</f>
        <v>2.5622901609901194</v>
      </c>
      <c r="X729" s="8">
        <f>(H729-I729)/K729</f>
        <v>2.4549977852153391</v>
      </c>
      <c r="Y729" s="8">
        <f>(H729-K729)/G729</f>
        <v>0.11101000821482838</v>
      </c>
      <c r="Z729" s="8">
        <f>J729/N729</f>
        <v>0.45789770724488121</v>
      </c>
      <c r="AA729" s="8">
        <f>J729/G729</f>
        <v>0.31408081991583015</v>
      </c>
      <c r="AB729" s="8">
        <f>C729/G729</f>
        <v>9.1452989919415736E-2</v>
      </c>
      <c r="AC729" s="8">
        <f>C729/(G729-K729)</f>
        <v>9.8448329270547114E-2</v>
      </c>
      <c r="AD729" s="8">
        <f>Q729/E729</f>
        <v>-1.5091318676734387</v>
      </c>
      <c r="AE729" s="8">
        <f>Q729/J729</f>
        <v>4.3054819634732545E-2</v>
      </c>
      <c r="AF729" s="8">
        <f>Q729/G729</f>
        <v>1.352269305220498E-2</v>
      </c>
      <c r="AG729" s="8">
        <f>Q729/K729</f>
        <v>0.19031050123575516</v>
      </c>
      <c r="AH729" s="8">
        <f>Q729/L729</f>
        <v>0.1144121321378307</v>
      </c>
      <c r="AI729" s="9">
        <f>R729</f>
        <v>8.1</v>
      </c>
      <c r="AJ729" s="9">
        <f>P729</f>
        <v>838749</v>
      </c>
    </row>
    <row r="730" spans="1:36" x14ac:dyDescent="0.25">
      <c r="A730" s="15" t="s">
        <v>111</v>
      </c>
      <c r="B730" s="15">
        <v>2018</v>
      </c>
      <c r="C730" s="6">
        <v>11614376</v>
      </c>
      <c r="D730" s="6">
        <v>1323620</v>
      </c>
      <c r="E730" s="6">
        <v>1130598</v>
      </c>
      <c r="F730" s="6"/>
      <c r="G730" s="6">
        <v>33235840</v>
      </c>
      <c r="H730" s="6">
        <v>5964931</v>
      </c>
      <c r="I730" s="6">
        <v>170268</v>
      </c>
      <c r="J730" s="6">
        <v>6882352</v>
      </c>
      <c r="K730" s="6">
        <v>3112836</v>
      </c>
      <c r="L730" s="6">
        <v>3984971</v>
      </c>
      <c r="M730" s="6">
        <v>2764218</v>
      </c>
      <c r="N730" s="6">
        <v>26208985</v>
      </c>
      <c r="O730" s="6">
        <v>26353488</v>
      </c>
      <c r="P730" s="6">
        <v>9075560</v>
      </c>
      <c r="Q730" s="6">
        <v>2997104</v>
      </c>
      <c r="R730" s="6">
        <v>9.3000000000000007</v>
      </c>
      <c r="S730" s="15"/>
      <c r="T730" s="15">
        <f>E730/G730</f>
        <v>3.4017434191523366E-2</v>
      </c>
      <c r="U730" s="15">
        <f>D730/C730</f>
        <v>0.11396393572930651</v>
      </c>
      <c r="V730" s="15">
        <f>(E730-F730)/O730</f>
        <v>4.2901266048729486E-2</v>
      </c>
      <c r="W730" s="15">
        <f>H730/K730</f>
        <v>1.9162368335498561</v>
      </c>
      <c r="X730" s="15">
        <f>(H730-I730)/K730</f>
        <v>1.8615381600572596</v>
      </c>
      <c r="Y730" s="15">
        <f>(H730-K730)/G730</f>
        <v>8.5813838314301671E-2</v>
      </c>
      <c r="Z730" s="15">
        <f>J730/N730</f>
        <v>0.26259513674413565</v>
      </c>
      <c r="AA730" s="15">
        <f>J730/G730</f>
        <v>0.20707621651807206</v>
      </c>
      <c r="AB730" s="15">
        <f>C730/G730</f>
        <v>0.34945336119081088</v>
      </c>
      <c r="AC730" s="15">
        <f>C730/(G730-K730)</f>
        <v>0.3855649987630716</v>
      </c>
      <c r="AD730" s="15">
        <f>Q730/E730</f>
        <v>2.6509015582903914</v>
      </c>
      <c r="AE730" s="15">
        <f>Q730/J730</f>
        <v>0.43547670912502007</v>
      </c>
      <c r="AF730" s="15">
        <f>Q730/G730</f>
        <v>9.0176869307350138E-2</v>
      </c>
      <c r="AG730" s="15">
        <f>Q730/K730</f>
        <v>0.96282104164819482</v>
      </c>
      <c r="AH730" s="15">
        <f>Q730/L730</f>
        <v>0.75210183461811897</v>
      </c>
      <c r="AI730" s="6">
        <f>R730</f>
        <v>9.3000000000000007</v>
      </c>
      <c r="AJ730" s="6">
        <f>P730</f>
        <v>9075560</v>
      </c>
    </row>
    <row r="731" spans="1:36" x14ac:dyDescent="0.25">
      <c r="A731" t="s">
        <v>111</v>
      </c>
      <c r="B731">
        <v>2019</v>
      </c>
      <c r="C731" s="1">
        <v>11032715</v>
      </c>
      <c r="D731" s="1">
        <v>1087059</v>
      </c>
      <c r="E731" s="1">
        <v>831695</v>
      </c>
      <c r="G731" s="1">
        <v>37250467</v>
      </c>
      <c r="H731" s="1">
        <v>5118768</v>
      </c>
      <c r="I731" s="1">
        <v>179215</v>
      </c>
      <c r="J731" s="1">
        <v>8353900</v>
      </c>
      <c r="K731" s="1">
        <v>3961696</v>
      </c>
      <c r="L731" s="1">
        <v>4186907</v>
      </c>
      <c r="M731" s="1">
        <v>3207504</v>
      </c>
      <c r="N731" s="1">
        <v>28759965</v>
      </c>
      <c r="O731" s="1">
        <v>28896567</v>
      </c>
      <c r="P731" s="1">
        <v>9695525</v>
      </c>
      <c r="Q731" s="1">
        <v>1704850</v>
      </c>
      <c r="R731" s="1">
        <v>7.5</v>
      </c>
      <c r="T731">
        <f>E731/G731</f>
        <v>2.2327102637397806E-2</v>
      </c>
      <c r="U731">
        <f>D731/C731</f>
        <v>9.8530506770092396E-2</v>
      </c>
      <c r="V731">
        <f>(E731-F731)/O731</f>
        <v>2.8781792660699107E-2</v>
      </c>
      <c r="W731">
        <f>H731/K731</f>
        <v>1.2920648126458971</v>
      </c>
      <c r="X731">
        <f>(H731-I731)/K731</f>
        <v>1.2468278737187306</v>
      </c>
      <c r="Y731">
        <f>(H731-K731)/G731</f>
        <v>3.1061946149561023E-2</v>
      </c>
      <c r="Z731">
        <f>J731/N731</f>
        <v>0.29046975543954939</v>
      </c>
      <c r="AA731">
        <f>J731/G731</f>
        <v>0.2242629602469145</v>
      </c>
      <c r="AB731">
        <f>C731/G731</f>
        <v>0.29617655531674275</v>
      </c>
      <c r="AC731">
        <f>C731/(G731-K731)</f>
        <v>0.3314245215000578</v>
      </c>
      <c r="AD731">
        <f>Q731/E731</f>
        <v>2.0498500051100463</v>
      </c>
      <c r="AE731">
        <f>Q731/J731</f>
        <v>0.20407833467003436</v>
      </c>
      <c r="AF731">
        <f>Q731/G731</f>
        <v>4.5767211455362423E-2</v>
      </c>
      <c r="AG731">
        <f>Q731/K731</f>
        <v>0.430333372373852</v>
      </c>
      <c r="AH731">
        <f>Q731/L731</f>
        <v>0.40718602061139642</v>
      </c>
      <c r="AI731" s="1">
        <f>R731</f>
        <v>7.5</v>
      </c>
      <c r="AJ731" s="1">
        <f>P731</f>
        <v>9695525</v>
      </c>
    </row>
    <row r="732" spans="1:36" x14ac:dyDescent="0.25">
      <c r="A732" t="s">
        <v>111</v>
      </c>
      <c r="B732">
        <v>2020</v>
      </c>
      <c r="C732" s="1">
        <v>9711741</v>
      </c>
      <c r="D732" s="1">
        <v>-764463</v>
      </c>
      <c r="E732" s="1">
        <v>-1201392</v>
      </c>
      <c r="G732" s="1">
        <v>60576084</v>
      </c>
      <c r="H732" s="1">
        <v>4323643</v>
      </c>
      <c r="I732" s="1">
        <v>296683</v>
      </c>
      <c r="J732" s="1">
        <v>31703691</v>
      </c>
      <c r="K732" s="1">
        <v>7564487</v>
      </c>
      <c r="L732" s="1">
        <v>25143061</v>
      </c>
      <c r="M732" s="1">
        <v>23067666</v>
      </c>
      <c r="N732" s="1">
        <v>28745075</v>
      </c>
      <c r="O732" s="1">
        <v>28872393</v>
      </c>
      <c r="P732" s="1">
        <v>8523704</v>
      </c>
      <c r="Q732" s="1">
        <v>2021506</v>
      </c>
      <c r="R732" s="1">
        <v>6.7</v>
      </c>
      <c r="T732">
        <f>E732/G732</f>
        <v>-1.9832777569444734E-2</v>
      </c>
      <c r="U732">
        <f>D732/C732</f>
        <v>-7.8715340534719777E-2</v>
      </c>
      <c r="V732">
        <f>(E732-F732)/O732</f>
        <v>-4.1610406175892657E-2</v>
      </c>
      <c r="W732">
        <f>H732/K732</f>
        <v>0.57157121163669133</v>
      </c>
      <c r="X732">
        <f>(H732-I732)/K732</f>
        <v>0.53235070666391526</v>
      </c>
      <c r="Y732">
        <f>(H732-K732)/G732</f>
        <v>-5.3500388040930477E-2</v>
      </c>
      <c r="Z732">
        <f>J732/N732</f>
        <v>1.1029260142824466</v>
      </c>
      <c r="AA732">
        <f>J732/G732</f>
        <v>0.52336976751418929</v>
      </c>
      <c r="AB732">
        <f>C732/G732</f>
        <v>0.16032302451244621</v>
      </c>
      <c r="AC732">
        <f>C732/(G732-K732)</f>
        <v>0.18320030992463782</v>
      </c>
      <c r="AD732">
        <f>Q732/E732</f>
        <v>-1.6826364750223075</v>
      </c>
      <c r="AE732">
        <f>Q732/J732</f>
        <v>6.3762481157162432E-2</v>
      </c>
      <c r="AF732">
        <f>Q732/G732</f>
        <v>3.337135493935197E-2</v>
      </c>
      <c r="AG732">
        <f>Q732/K732</f>
        <v>0.26723636381422827</v>
      </c>
      <c r="AH732">
        <f>Q732/L732</f>
        <v>8.0400154937380133E-2</v>
      </c>
      <c r="AI732" s="1">
        <f>R732</f>
        <v>6.7</v>
      </c>
      <c r="AJ732" s="1">
        <f>P732</f>
        <v>8523704</v>
      </c>
    </row>
    <row r="733" spans="1:36" x14ac:dyDescent="0.25">
      <c r="A733" t="s">
        <v>111</v>
      </c>
      <c r="B733">
        <v>2021</v>
      </c>
      <c r="C733" s="1">
        <v>3660539</v>
      </c>
      <c r="D733" s="1">
        <v>-4776989</v>
      </c>
      <c r="E733" s="1">
        <v>-5119808</v>
      </c>
      <c r="G733" s="1">
        <v>62475469</v>
      </c>
      <c r="H733" s="1">
        <v>2737093</v>
      </c>
      <c r="I733" s="1">
        <v>258005</v>
      </c>
      <c r="J733" s="1">
        <v>38044743</v>
      </c>
      <c r="K733" s="1">
        <v>8831527</v>
      </c>
      <c r="L733" s="1">
        <v>15163095</v>
      </c>
      <c r="M733" s="1">
        <v>13240350</v>
      </c>
      <c r="N733" s="1">
        <v>24326139</v>
      </c>
      <c r="O733" s="1">
        <v>24430726</v>
      </c>
      <c r="P733" s="1">
        <v>3427168</v>
      </c>
      <c r="Q733" s="1">
        <v>-997530</v>
      </c>
      <c r="R733" s="1">
        <v>9.5</v>
      </c>
      <c r="T733">
        <f>E733/G733</f>
        <v>-8.1949092691084885E-2</v>
      </c>
      <c r="U733">
        <f>D733/C733</f>
        <v>-1.3049960675190184</v>
      </c>
      <c r="V733">
        <f>(E733-F733)/O733</f>
        <v>-0.20956430029954901</v>
      </c>
      <c r="W733">
        <f>H733/K733</f>
        <v>0.30992296122742985</v>
      </c>
      <c r="X733">
        <f>(H733-I733)/K733</f>
        <v>0.28070887401465228</v>
      </c>
      <c r="Y733">
        <f>(H733-K733)/G733</f>
        <v>-9.7549231683238743E-2</v>
      </c>
      <c r="Z733">
        <f>J733/N733</f>
        <v>1.5639449811579222</v>
      </c>
      <c r="AA733">
        <f>J733/G733</f>
        <v>0.60895490036257272</v>
      </c>
      <c r="AB733">
        <f>C733/G733</f>
        <v>5.8591620976866939E-2</v>
      </c>
      <c r="AC733">
        <f>C733/(G733-K733)</f>
        <v>6.8237695879993315E-2</v>
      </c>
      <c r="AD733">
        <f>Q733/E733</f>
        <v>0.19483738452691976</v>
      </c>
      <c r="AE733">
        <f>Q733/J733</f>
        <v>-2.6219916901528289E-2</v>
      </c>
      <c r="AF733">
        <f>Q733/G733</f>
        <v>-1.5966746884285093E-2</v>
      </c>
      <c r="AG733">
        <f>Q733/K733</f>
        <v>-0.11295102194671432</v>
      </c>
      <c r="AH733">
        <f>Q733/L733</f>
        <v>-6.5786701197875497E-2</v>
      </c>
      <c r="AI733" s="1">
        <f>R733</f>
        <v>9.5</v>
      </c>
      <c r="AJ733" s="1">
        <f>P733</f>
        <v>3427168</v>
      </c>
    </row>
    <row r="734" spans="1:36" x14ac:dyDescent="0.25">
      <c r="A734" t="s">
        <v>111</v>
      </c>
      <c r="B734">
        <v>2022</v>
      </c>
      <c r="C734" s="1">
        <v>13354724</v>
      </c>
      <c r="D734" s="1">
        <v>-190352</v>
      </c>
      <c r="E734" s="1">
        <v>-1216932</v>
      </c>
      <c r="G734" s="1">
        <v>83522588</v>
      </c>
      <c r="H734" s="1">
        <v>5751568</v>
      </c>
      <c r="I734" s="1">
        <v>418753</v>
      </c>
      <c r="J734" s="1">
        <v>53382199</v>
      </c>
      <c r="K734" s="1">
        <v>16203272</v>
      </c>
      <c r="L734" s="1">
        <v>20177625</v>
      </c>
      <c r="M734" s="1">
        <v>16466986</v>
      </c>
      <c r="N734" s="1">
        <v>30040961</v>
      </c>
      <c r="O734" s="1">
        <v>30140389</v>
      </c>
      <c r="P734" s="1">
        <v>2296282</v>
      </c>
      <c r="Q734" s="1">
        <v>330239</v>
      </c>
      <c r="R734" s="1">
        <v>11.7</v>
      </c>
      <c r="T734">
        <f>E734/G734</f>
        <v>-1.457009449946642E-2</v>
      </c>
      <c r="U734">
        <f>D734/C734</f>
        <v>-1.4253533056916788E-2</v>
      </c>
      <c r="V734">
        <f>(E734-F734)/O734</f>
        <v>-4.03754576624741E-2</v>
      </c>
      <c r="W734">
        <f>H734/K734</f>
        <v>0.35496336789260835</v>
      </c>
      <c r="X734">
        <f>(H734-I734)/K734</f>
        <v>0.32911963707083358</v>
      </c>
      <c r="Y734">
        <f>(H734-K734)/G734</f>
        <v>-0.12513625655373609</v>
      </c>
      <c r="Z734">
        <f>J734/N734</f>
        <v>1.776980403523043</v>
      </c>
      <c r="AA734">
        <f>J734/G734</f>
        <v>0.63913487690300019</v>
      </c>
      <c r="AB734">
        <f>C734/G734</f>
        <v>0.15989356076945316</v>
      </c>
      <c r="AC734">
        <f>C734/(G734-K734)</f>
        <v>0.19837878329007383</v>
      </c>
      <c r="AD734">
        <f>Q734/E734</f>
        <v>-0.27137013407487026</v>
      </c>
      <c r="AE734">
        <f>Q734/J734</f>
        <v>6.1863131565636706E-3</v>
      </c>
      <c r="AF734">
        <f>Q734/G734</f>
        <v>3.9538884978037314E-3</v>
      </c>
      <c r="AG734">
        <f>Q734/K734</f>
        <v>2.0381006996611547E-2</v>
      </c>
      <c r="AH734">
        <f>Q734/L734</f>
        <v>1.6366594185390996E-2</v>
      </c>
      <c r="AI734" s="1">
        <f>R734</f>
        <v>11.7</v>
      </c>
      <c r="AJ734" s="1">
        <f>P734</f>
        <v>2296282</v>
      </c>
    </row>
    <row r="735" spans="1:36" x14ac:dyDescent="0.25">
      <c r="A735" t="s">
        <v>111</v>
      </c>
      <c r="B735">
        <v>2023</v>
      </c>
      <c r="C735" s="1">
        <v>28835400</v>
      </c>
      <c r="D735" s="1">
        <v>1742437</v>
      </c>
      <c r="E735" s="1">
        <v>-332544</v>
      </c>
      <c r="G735" s="1">
        <v>87096334</v>
      </c>
      <c r="H735" s="1">
        <v>5878729</v>
      </c>
      <c r="I735" s="1">
        <v>600342</v>
      </c>
      <c r="J735" s="1">
        <v>54497932</v>
      </c>
      <c r="K735" s="1">
        <v>18571631</v>
      </c>
      <c r="L735" s="1">
        <v>17565692</v>
      </c>
      <c r="M735" s="1">
        <v>12961265</v>
      </c>
      <c r="N735" s="1">
        <v>32499083</v>
      </c>
      <c r="O735" s="1">
        <v>32598402</v>
      </c>
      <c r="P735" s="1">
        <v>1968045</v>
      </c>
      <c r="Q735" s="1">
        <v>5570841</v>
      </c>
      <c r="R735" s="1">
        <v>18.899999999999999</v>
      </c>
      <c r="T735">
        <f>E735/G735</f>
        <v>-3.8181170748242976E-3</v>
      </c>
      <c r="U735">
        <f>D735/C735</f>
        <v>6.0427009855940961E-2</v>
      </c>
      <c r="V735">
        <f>(E735-F735)/O735</f>
        <v>-1.020123624464782E-2</v>
      </c>
      <c r="W735">
        <f>H735/K735</f>
        <v>0.31654349582974162</v>
      </c>
      <c r="X735">
        <f>(H735-I735)/K735</f>
        <v>0.28421774048816711</v>
      </c>
      <c r="Y735">
        <f>(H735-K735)/G735</f>
        <v>-0.14573405580997245</v>
      </c>
      <c r="Z735">
        <f>J735/N735</f>
        <v>1.6769067607230641</v>
      </c>
      <c r="AA735">
        <f>J735/G735</f>
        <v>0.62572015947307269</v>
      </c>
      <c r="AB735">
        <f>C735/G735</f>
        <v>0.33107478438759547</v>
      </c>
      <c r="AC735">
        <f>C735/(G735-K735)</f>
        <v>0.42080299129497867</v>
      </c>
      <c r="AD735">
        <f>Q735/E735</f>
        <v>-16.752192191108545</v>
      </c>
      <c r="AE735">
        <f>Q735/J735</f>
        <v>0.10222114483169746</v>
      </c>
      <c r="AF735">
        <f>Q735/G735</f>
        <v>6.396183104560979E-2</v>
      </c>
      <c r="AG735">
        <f>Q735/K735</f>
        <v>0.29996509191895965</v>
      </c>
      <c r="AH735">
        <f>Q735/L735</f>
        <v>0.31714326996055719</v>
      </c>
      <c r="AI735" s="1">
        <f>R735</f>
        <v>18.899999999999999</v>
      </c>
      <c r="AJ735" s="1">
        <f>P735</f>
        <v>1968045</v>
      </c>
    </row>
    <row r="736" spans="1:36" s="8" customFormat="1" x14ac:dyDescent="0.25">
      <c r="A736" s="8" t="s">
        <v>111</v>
      </c>
      <c r="B736" s="8">
        <v>2024</v>
      </c>
      <c r="C736" s="9">
        <v>30739251</v>
      </c>
      <c r="D736" s="9">
        <v>2648476</v>
      </c>
      <c r="E736" s="9">
        <v>-439005</v>
      </c>
      <c r="F736" s="9"/>
      <c r="G736" s="9">
        <v>79899540</v>
      </c>
      <c r="H736" s="9">
        <v>6004036</v>
      </c>
      <c r="I736" s="9">
        <v>597694</v>
      </c>
      <c r="J736" s="9">
        <v>48615008</v>
      </c>
      <c r="K736" s="9">
        <v>24039688</v>
      </c>
      <c r="L736" s="9">
        <v>12992700</v>
      </c>
      <c r="M736" s="9">
        <v>6174553</v>
      </c>
      <c r="N736" s="9">
        <v>31180442</v>
      </c>
      <c r="O736" s="9">
        <v>31284532</v>
      </c>
      <c r="P736" s="9">
        <v>1511732</v>
      </c>
      <c r="Q736" s="9">
        <v>6067989</v>
      </c>
      <c r="R736" s="9">
        <v>18.600000000000001</v>
      </c>
      <c r="T736" s="8">
        <f>E736/G736</f>
        <v>-5.4944621708710711E-3</v>
      </c>
      <c r="U736" s="8">
        <f>D736/C736</f>
        <v>8.6159418783496061E-2</v>
      </c>
      <c r="V736" s="8">
        <f>(E736-F736)/O736</f>
        <v>-1.4032653581009299E-2</v>
      </c>
      <c r="W736" s="8">
        <f>H736/K736</f>
        <v>0.24975515489219327</v>
      </c>
      <c r="X736" s="8">
        <f>(H736-I736)/K736</f>
        <v>0.22489235301223542</v>
      </c>
      <c r="Y736" s="8">
        <f>(H736-K736)/G736</f>
        <v>-0.22572910932903995</v>
      </c>
      <c r="Z736" s="8">
        <f>J736/N736</f>
        <v>1.5591507009425973</v>
      </c>
      <c r="AA736" s="8">
        <f>J736/G736</f>
        <v>0.60845166317603327</v>
      </c>
      <c r="AB736" s="8">
        <f>C736/G736</f>
        <v>0.38472375435453071</v>
      </c>
      <c r="AC736" s="8">
        <f>C736/(G736-K736)</f>
        <v>0.55029238172704076</v>
      </c>
      <c r="AD736" s="8">
        <f>Q736/E736</f>
        <v>-13.82214097789319</v>
      </c>
      <c r="AE736" s="8">
        <f>Q736/J736</f>
        <v>0.12481719636866048</v>
      </c>
      <c r="AF736" s="8">
        <f>Q736/G736</f>
        <v>7.5945230723481014E-2</v>
      </c>
      <c r="AG736" s="8">
        <f>Q736/K736</f>
        <v>0.25241546396109632</v>
      </c>
      <c r="AH736" s="8">
        <f>Q736/L736</f>
        <v>0.46703064028262026</v>
      </c>
      <c r="AI736" s="9">
        <f>R736</f>
        <v>18.600000000000001</v>
      </c>
      <c r="AJ736" s="9">
        <f>P736</f>
        <v>1511732</v>
      </c>
    </row>
    <row r="737" spans="1:36" x14ac:dyDescent="0.25">
      <c r="A737" s="15" t="s">
        <v>122</v>
      </c>
      <c r="B737" s="15">
        <v>2018</v>
      </c>
      <c r="C737" s="6">
        <v>3875473</v>
      </c>
      <c r="D737" s="6">
        <v>681057</v>
      </c>
      <c r="E737" s="6">
        <v>262162</v>
      </c>
      <c r="F737" s="6"/>
      <c r="G737" s="6">
        <v>7803699</v>
      </c>
      <c r="H737" s="6">
        <v>1667163</v>
      </c>
      <c r="I737" s="6">
        <v>392746</v>
      </c>
      <c r="J737" s="6">
        <v>5965715</v>
      </c>
      <c r="K737" s="6">
        <v>2841865</v>
      </c>
      <c r="L737" s="6">
        <v>2402881</v>
      </c>
      <c r="M737" s="6">
        <v>1582892</v>
      </c>
      <c r="N737" s="6">
        <v>1837984</v>
      </c>
      <c r="O737" s="6">
        <v>1837984</v>
      </c>
      <c r="P737" s="6">
        <v>735604</v>
      </c>
      <c r="Q737" s="6">
        <v>-1705853</v>
      </c>
      <c r="R737" s="6">
        <v>7.9</v>
      </c>
      <c r="S737" s="15"/>
      <c r="T737" s="15">
        <f>E737/G737</f>
        <v>3.359458123641109E-2</v>
      </c>
      <c r="U737" s="15">
        <f>D737/C737</f>
        <v>0.17573519412985203</v>
      </c>
      <c r="V737" s="15">
        <f>(E737-F737)/O737</f>
        <v>0.14263562686073436</v>
      </c>
      <c r="W737" s="15">
        <f>H737/K737</f>
        <v>0.58664398203292556</v>
      </c>
      <c r="X737" s="15">
        <f>(H737-I737)/K737</f>
        <v>0.44844389159935466</v>
      </c>
      <c r="Y737" s="15">
        <f>(H737-K737)/G737</f>
        <v>-0.15053143387514051</v>
      </c>
      <c r="Z737" s="15">
        <f>J737/N737</f>
        <v>3.245792672841548</v>
      </c>
      <c r="AA737" s="15">
        <f>J737/G737</f>
        <v>0.76447271992423083</v>
      </c>
      <c r="AB737" s="15">
        <f>C737/G737</f>
        <v>0.49662000033573822</v>
      </c>
      <c r="AC737" s="15">
        <f>C737/(G737-K737)</f>
        <v>0.78105656094097464</v>
      </c>
      <c r="AD737" s="15">
        <f>Q737/E737</f>
        <v>-6.506865983628443</v>
      </c>
      <c r="AE737" s="15">
        <f>Q737/J737</f>
        <v>-0.28594275790915252</v>
      </c>
      <c r="AF737" s="15">
        <f>Q737/G737</f>
        <v>-0.2185954378814457</v>
      </c>
      <c r="AG737" s="15">
        <f>Q737/K737</f>
        <v>-0.60025828109357759</v>
      </c>
      <c r="AH737" s="15">
        <f>Q737/L737</f>
        <v>-0.70991988367297421</v>
      </c>
      <c r="AI737" s="6">
        <f>R737</f>
        <v>7.9</v>
      </c>
      <c r="AJ737" s="6">
        <f>P737</f>
        <v>735604</v>
      </c>
    </row>
    <row r="738" spans="1:36" x14ac:dyDescent="0.25">
      <c r="A738" t="s">
        <v>122</v>
      </c>
      <c r="B738">
        <v>2019</v>
      </c>
      <c r="C738" s="1">
        <v>3269606</v>
      </c>
      <c r="D738" s="1">
        <v>-621609</v>
      </c>
      <c r="E738" s="1">
        <v>-1076759</v>
      </c>
      <c r="G738" s="1">
        <v>7129928</v>
      </c>
      <c r="H738" s="1">
        <v>1052848</v>
      </c>
      <c r="I738" s="1">
        <v>304403</v>
      </c>
      <c r="J738" s="1">
        <v>6445224</v>
      </c>
      <c r="K738" s="1">
        <v>3512342</v>
      </c>
      <c r="L738" s="1">
        <v>2131972</v>
      </c>
      <c r="M738" s="1">
        <v>1194716</v>
      </c>
      <c r="N738" s="1">
        <v>684704</v>
      </c>
      <c r="O738" s="1">
        <v>684704</v>
      </c>
      <c r="P738" s="1">
        <v>-349623</v>
      </c>
      <c r="Q738" s="1">
        <v>298791</v>
      </c>
      <c r="R738" s="1">
        <v>7</v>
      </c>
      <c r="T738">
        <f>E738/G738</f>
        <v>-0.15101961758940624</v>
      </c>
      <c r="U738">
        <f>D738/C738</f>
        <v>-0.19011740252495254</v>
      </c>
      <c r="V738">
        <f>(E738-F738)/O738</f>
        <v>-1.5725904916577089</v>
      </c>
      <c r="W738">
        <f>H738/K738</f>
        <v>0.29975668656412158</v>
      </c>
      <c r="X738">
        <f>(H738-I738)/K738</f>
        <v>0.21309001230517985</v>
      </c>
      <c r="Y738">
        <f>(H738-K738)/G738</f>
        <v>-0.34495355352817025</v>
      </c>
      <c r="Z738">
        <f>J738/N738</f>
        <v>9.4131537131373548</v>
      </c>
      <c r="AA738">
        <f>J738/G738</f>
        <v>0.90396761369820289</v>
      </c>
      <c r="AB738">
        <f>C738/G738</f>
        <v>0.45857489725001432</v>
      </c>
      <c r="AC738">
        <f>C738/(G738-K738)</f>
        <v>0.90380878298401202</v>
      </c>
      <c r="AD738">
        <f>Q738/E738</f>
        <v>-0.27749106345988284</v>
      </c>
      <c r="AE738">
        <f>Q738/J738</f>
        <v>4.6358512908162695E-2</v>
      </c>
      <c r="AF738">
        <f>Q738/G738</f>
        <v>4.1906594288189165E-2</v>
      </c>
      <c r="AG738">
        <f>Q738/K738</f>
        <v>8.5068879966700275E-2</v>
      </c>
      <c r="AH738">
        <f>Q738/L738</f>
        <v>0.1401477130093641</v>
      </c>
      <c r="AI738" s="1">
        <f>R738</f>
        <v>7</v>
      </c>
      <c r="AJ738" s="1">
        <f>P738</f>
        <v>-349623</v>
      </c>
    </row>
    <row r="739" spans="1:36" x14ac:dyDescent="0.25">
      <c r="A739" t="s">
        <v>122</v>
      </c>
      <c r="B739">
        <v>2020</v>
      </c>
      <c r="C739" s="1">
        <v>2710886</v>
      </c>
      <c r="D739" s="1">
        <v>-446512</v>
      </c>
      <c r="E739" s="1">
        <v>-920271</v>
      </c>
      <c r="G739" s="1">
        <v>7716621</v>
      </c>
      <c r="H739" s="1">
        <v>459371</v>
      </c>
      <c r="I739" s="1">
        <v>200177</v>
      </c>
      <c r="J739" s="1">
        <v>7165166</v>
      </c>
      <c r="K739" s="1">
        <v>3726773</v>
      </c>
      <c r="L739" s="1">
        <v>1854261</v>
      </c>
      <c r="M739" s="1">
        <v>1186219</v>
      </c>
      <c r="N739" s="1">
        <v>551455</v>
      </c>
      <c r="O739" s="1">
        <v>551455</v>
      </c>
      <c r="P739" s="1">
        <v>-1074277</v>
      </c>
      <c r="Q739" s="1">
        <v>290461</v>
      </c>
      <c r="R739" s="1">
        <v>5</v>
      </c>
      <c r="T739">
        <f>E739/G739</f>
        <v>-0.11925828675530391</v>
      </c>
      <c r="U739">
        <f>D739/C739</f>
        <v>-0.16471072557090191</v>
      </c>
      <c r="V739">
        <f>(E739-F739)/O739</f>
        <v>-1.6688052515617775</v>
      </c>
      <c r="W739">
        <f>H739/K739</f>
        <v>0.12326240423014764</v>
      </c>
      <c r="X739">
        <f>(H739-I739)/K739</f>
        <v>6.9549178337398071E-2</v>
      </c>
      <c r="Y739">
        <f>(H739-K739)/G739</f>
        <v>-0.42342393127769268</v>
      </c>
      <c r="Z739">
        <f>J739/N739</f>
        <v>12.993201621165825</v>
      </c>
      <c r="AA739">
        <f>J739/G739</f>
        <v>0.92853672611367077</v>
      </c>
      <c r="AB739">
        <f>C739/G739</f>
        <v>0.35130480037830031</v>
      </c>
      <c r="AC739">
        <f>C739/(G739-K739)</f>
        <v>0.67944593377993345</v>
      </c>
      <c r="AD739">
        <f>Q739/E739</f>
        <v>-0.3156255059650907</v>
      </c>
      <c r="AE739">
        <f>Q739/J739</f>
        <v>4.0537930314524462E-2</v>
      </c>
      <c r="AF739">
        <f>Q739/G739</f>
        <v>3.7640957097672671E-2</v>
      </c>
      <c r="AG739">
        <f>Q739/K739</f>
        <v>7.7939010505871972E-2</v>
      </c>
      <c r="AH739">
        <f>Q739/L739</f>
        <v>0.15664515405328591</v>
      </c>
      <c r="AI739" s="1">
        <f>R739</f>
        <v>5</v>
      </c>
      <c r="AJ739" s="1">
        <f>P739</f>
        <v>-1074277</v>
      </c>
    </row>
    <row r="740" spans="1:36" x14ac:dyDescent="0.25">
      <c r="A740" t="s">
        <v>122</v>
      </c>
      <c r="B740">
        <v>2021</v>
      </c>
      <c r="C740" s="1">
        <v>3206956</v>
      </c>
      <c r="D740" s="1">
        <v>159478</v>
      </c>
      <c r="E740" s="1">
        <v>-226392</v>
      </c>
      <c r="G740" s="1">
        <v>7901738</v>
      </c>
      <c r="H740" s="1">
        <v>658364</v>
      </c>
      <c r="I740" s="1">
        <v>260816</v>
      </c>
      <c r="J740" s="1">
        <v>7495159</v>
      </c>
      <c r="K740" s="1">
        <v>4164649</v>
      </c>
      <c r="L740" s="1">
        <v>1802550</v>
      </c>
      <c r="M740" s="1">
        <v>1045930</v>
      </c>
      <c r="N740" s="1">
        <v>406579</v>
      </c>
      <c r="O740" s="1">
        <v>406579</v>
      </c>
      <c r="P740" s="1">
        <v>-1245399</v>
      </c>
      <c r="Q740" s="1">
        <v>215802</v>
      </c>
      <c r="R740" s="1">
        <v>5.3</v>
      </c>
      <c r="T740">
        <f>E740/G740</f>
        <v>-2.8650911989235785E-2</v>
      </c>
      <c r="U740">
        <f>D740/C740</f>
        <v>4.9728777070842257E-2</v>
      </c>
      <c r="V740">
        <f>(E740-F740)/O740</f>
        <v>-0.55682167549233974</v>
      </c>
      <c r="W740">
        <f>H740/K740</f>
        <v>0.1580839105528461</v>
      </c>
      <c r="X740">
        <f>(H740-I740)/K740</f>
        <v>9.5457744458176425E-2</v>
      </c>
      <c r="Y740">
        <f>(H740-K740)/G740</f>
        <v>-0.44373592240086929</v>
      </c>
      <c r="Z740">
        <f>J740/N740</f>
        <v>18.434692888712895</v>
      </c>
      <c r="AA740">
        <f>J740/G740</f>
        <v>0.9485456237602411</v>
      </c>
      <c r="AB740">
        <f>C740/G740</f>
        <v>0.40585450947626966</v>
      </c>
      <c r="AC740">
        <f>C740/(G740-K740)</f>
        <v>0.85814279510067859</v>
      </c>
      <c r="AD740">
        <f>Q740/E740</f>
        <v>-0.95322272871832925</v>
      </c>
      <c r="AE740">
        <f>Q740/J740</f>
        <v>2.879218439528768E-2</v>
      </c>
      <c r="AF740">
        <f>Q740/G740</f>
        <v>2.7310700506648033E-2</v>
      </c>
      <c r="AG740">
        <f>Q740/K740</f>
        <v>5.1817572141133625E-2</v>
      </c>
      <c r="AH740">
        <f>Q740/L740</f>
        <v>0.11972039610551719</v>
      </c>
      <c r="AI740" s="1">
        <f>R740</f>
        <v>5.3</v>
      </c>
      <c r="AJ740" s="1">
        <f>P740</f>
        <v>-1245399</v>
      </c>
    </row>
    <row r="741" spans="1:36" x14ac:dyDescent="0.25">
      <c r="A741" t="s">
        <v>122</v>
      </c>
      <c r="B741">
        <v>2022</v>
      </c>
      <c r="C741" s="1">
        <v>3496784</v>
      </c>
      <c r="D741" s="1">
        <v>328256</v>
      </c>
      <c r="E741" s="1">
        <v>98478</v>
      </c>
      <c r="G741" s="1">
        <v>7959774</v>
      </c>
      <c r="H741" s="1">
        <v>797570</v>
      </c>
      <c r="I741" s="1">
        <v>295610</v>
      </c>
      <c r="J741" s="1">
        <v>6357100</v>
      </c>
      <c r="K741" s="1">
        <v>3384583</v>
      </c>
      <c r="L741" s="1">
        <v>1557209</v>
      </c>
      <c r="M741" s="1">
        <v>954413</v>
      </c>
      <c r="N741" s="1">
        <v>1602674</v>
      </c>
      <c r="O741" s="1">
        <v>1602674</v>
      </c>
      <c r="P741" s="1">
        <v>-887456</v>
      </c>
      <c r="Q741" s="1">
        <v>-371716</v>
      </c>
      <c r="R741" s="1">
        <v>4.2</v>
      </c>
      <c r="T741">
        <f>E741/G741</f>
        <v>1.237195930437221E-2</v>
      </c>
      <c r="U741">
        <f>D741/C741</f>
        <v>9.3873685077488347E-2</v>
      </c>
      <c r="V741">
        <f>(E741-F741)/O741</f>
        <v>6.1446058275107726E-2</v>
      </c>
      <c r="W741">
        <f>H741/K741</f>
        <v>0.23564793654048372</v>
      </c>
      <c r="X741">
        <f>(H741-I741)/K741</f>
        <v>0.1483077826721933</v>
      </c>
      <c r="Y741">
        <f>(H741-K741)/G741</f>
        <v>-0.32501086086112496</v>
      </c>
      <c r="Z741">
        <f>J741/N741</f>
        <v>3.9665583892918961</v>
      </c>
      <c r="AA741">
        <f>J741/G741</f>
        <v>0.79865332859953064</v>
      </c>
      <c r="AB741">
        <f>C741/G741</f>
        <v>0.43930694514693508</v>
      </c>
      <c r="AC741">
        <f>C741/(G741-K741)</f>
        <v>0.76429246341846713</v>
      </c>
      <c r="AD741">
        <f>Q741/E741</f>
        <v>-3.7746095574646112</v>
      </c>
      <c r="AE741">
        <f>Q741/J741</f>
        <v>-5.8472573972408806E-2</v>
      </c>
      <c r="AF741">
        <f>Q741/G741</f>
        <v>-4.6699315834846565E-2</v>
      </c>
      <c r="AG741">
        <f>Q741/K741</f>
        <v>-0.10982623265554427</v>
      </c>
      <c r="AH741">
        <f>Q741/L741</f>
        <v>-0.23870655769392549</v>
      </c>
      <c r="AI741" s="1">
        <f>R741</f>
        <v>4.2</v>
      </c>
      <c r="AJ741" s="1">
        <f>P741</f>
        <v>-887456</v>
      </c>
    </row>
    <row r="742" spans="1:36" x14ac:dyDescent="0.25">
      <c r="A742" t="s">
        <v>122</v>
      </c>
      <c r="B742">
        <v>2023</v>
      </c>
      <c r="C742" s="1">
        <v>5112171</v>
      </c>
      <c r="D742" s="1">
        <v>1166886</v>
      </c>
      <c r="E742" s="1">
        <v>252890</v>
      </c>
      <c r="G742" s="1">
        <v>8286184</v>
      </c>
      <c r="H742" s="1">
        <v>1191383</v>
      </c>
      <c r="I742" s="1">
        <v>527168</v>
      </c>
      <c r="J742" s="1">
        <v>6486601</v>
      </c>
      <c r="K742" s="1">
        <v>2405160</v>
      </c>
      <c r="L742" s="1">
        <v>1714728</v>
      </c>
      <c r="M742" s="1">
        <v>1392787</v>
      </c>
      <c r="N742" s="1">
        <v>1799583</v>
      </c>
      <c r="O742" s="1">
        <v>1799583</v>
      </c>
      <c r="P742" s="1">
        <v>-572622</v>
      </c>
      <c r="Q742" s="1">
        <v>518311</v>
      </c>
      <c r="R742" s="1">
        <v>6.1</v>
      </c>
      <c r="T742">
        <f>E742/G742</f>
        <v>3.0519476757938275E-2</v>
      </c>
      <c r="U742">
        <f>D742/C742</f>
        <v>0.22825644916807361</v>
      </c>
      <c r="V742">
        <f>(E742-F742)/O742</f>
        <v>0.14052699986608008</v>
      </c>
      <c r="W742">
        <f>H742/K742</f>
        <v>0.49534459245954532</v>
      </c>
      <c r="X742">
        <f>(H742-I742)/K742</f>
        <v>0.27616250062365916</v>
      </c>
      <c r="Y742">
        <f>(H742-K742)/G742</f>
        <v>-0.1464820235708017</v>
      </c>
      <c r="Z742">
        <f>J742/N742</f>
        <v>3.6045022652470045</v>
      </c>
      <c r="AA742">
        <f>J742/G742</f>
        <v>0.78282126006373987</v>
      </c>
      <c r="AB742">
        <f>C742/G742</f>
        <v>0.61695118042273744</v>
      </c>
      <c r="AC742">
        <f>C742/(G742-K742)</f>
        <v>0.86926545445146963</v>
      </c>
      <c r="AD742">
        <f>Q742/E742</f>
        <v>2.0495511882636719</v>
      </c>
      <c r="AE742">
        <f>Q742/J742</f>
        <v>7.9904868512800459E-2</v>
      </c>
      <c r="AF742">
        <f>Q742/G742</f>
        <v>6.2551229854417911E-2</v>
      </c>
      <c r="AG742">
        <f>Q742/K742</f>
        <v>0.21549959254269987</v>
      </c>
      <c r="AH742">
        <f>Q742/L742</f>
        <v>0.30227009764814011</v>
      </c>
      <c r="AI742" s="1">
        <f>R742</f>
        <v>6.1</v>
      </c>
      <c r="AJ742" s="1">
        <f>P742</f>
        <v>-572622</v>
      </c>
    </row>
    <row r="743" spans="1:36" s="8" customFormat="1" x14ac:dyDescent="0.25">
      <c r="A743" s="8" t="s">
        <v>122</v>
      </c>
      <c r="B743" s="8">
        <v>2024</v>
      </c>
      <c r="C743" s="9">
        <v>5054882</v>
      </c>
      <c r="D743" s="9">
        <v>702697</v>
      </c>
      <c r="E743" s="9">
        <v>-126927</v>
      </c>
      <c r="F743" s="9"/>
      <c r="G743" s="9">
        <v>8606028</v>
      </c>
      <c r="H743" s="9">
        <v>925632</v>
      </c>
      <c r="I743" s="9">
        <v>426237</v>
      </c>
      <c r="J743" s="9">
        <v>7020917</v>
      </c>
      <c r="K743" s="9">
        <v>1915992</v>
      </c>
      <c r="L743" s="9">
        <v>1959790</v>
      </c>
      <c r="M743" s="9">
        <v>1461510</v>
      </c>
      <c r="N743" s="9">
        <v>1585111</v>
      </c>
      <c r="O743" s="9">
        <v>1585111</v>
      </c>
      <c r="P743" s="9">
        <v>-817965</v>
      </c>
      <c r="Q743" s="9">
        <v>503213</v>
      </c>
      <c r="R743" s="9">
        <v>6.2</v>
      </c>
      <c r="T743" s="8">
        <f>E743/G743</f>
        <v>-1.4748615737713147E-2</v>
      </c>
      <c r="U743" s="8">
        <f>D743/C743</f>
        <v>0.13901353186879536</v>
      </c>
      <c r="V743" s="8">
        <f>(E743-F743)/O743</f>
        <v>-8.0074518440664405E-2</v>
      </c>
      <c r="W743" s="8">
        <f>H743/K743</f>
        <v>0.48310848897072639</v>
      </c>
      <c r="X743" s="8">
        <f>(H743-I743)/K743</f>
        <v>0.26064566031590947</v>
      </c>
      <c r="Y743" s="8">
        <f>(H743-K743)/G743</f>
        <v>-0.11507747825129085</v>
      </c>
      <c r="Z743" s="8">
        <f>J743/N743</f>
        <v>4.4292904408587157</v>
      </c>
      <c r="AA743" s="8">
        <f>J743/G743</f>
        <v>0.81581386906944764</v>
      </c>
      <c r="AB743" s="8">
        <f>C743/G743</f>
        <v>0.58736527466561805</v>
      </c>
      <c r="AC743" s="8">
        <f>C743/(G743-K743)</f>
        <v>0.75558367697871875</v>
      </c>
      <c r="AD743" s="8">
        <f>Q743/E743</f>
        <v>-3.9645859431011528</v>
      </c>
      <c r="AE743" s="8">
        <f>Q743/J743</f>
        <v>7.1673401067125567E-2</v>
      </c>
      <c r="AF743" s="8">
        <f>Q743/G743</f>
        <v>5.8472154633937977E-2</v>
      </c>
      <c r="AG743" s="8">
        <f>Q743/K743</f>
        <v>0.26263836174681315</v>
      </c>
      <c r="AH743" s="8">
        <f>Q743/L743</f>
        <v>0.25676883747748486</v>
      </c>
      <c r="AI743" s="9">
        <f>R743</f>
        <v>6.2</v>
      </c>
      <c r="AJ743" s="9">
        <f>P743</f>
        <v>-817965</v>
      </c>
    </row>
    <row r="744" spans="1:36" x14ac:dyDescent="0.25">
      <c r="A744" s="15" t="s">
        <v>114</v>
      </c>
      <c r="B744" s="15">
        <v>2018</v>
      </c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15"/>
      <c r="T744" s="15" t="e">
        <f>E744/G744</f>
        <v>#DIV/0!</v>
      </c>
      <c r="U744" s="15" t="e">
        <f>D744/C744</f>
        <v>#DIV/0!</v>
      </c>
      <c r="V744" s="15" t="e">
        <f>(E744-F744)/O744</f>
        <v>#DIV/0!</v>
      </c>
      <c r="W744" s="15" t="e">
        <f>H744/K744</f>
        <v>#DIV/0!</v>
      </c>
      <c r="X744" s="15" t="e">
        <f>(H744-I744)/K744</f>
        <v>#DIV/0!</v>
      </c>
      <c r="Y744" s="15" t="e">
        <f>(H744-K744)/G744</f>
        <v>#DIV/0!</v>
      </c>
      <c r="Z744" s="15" t="e">
        <f>J744/N744</f>
        <v>#DIV/0!</v>
      </c>
      <c r="AA744" s="15" t="e">
        <f>J744/G744</f>
        <v>#DIV/0!</v>
      </c>
      <c r="AB744" s="15" t="e">
        <f>C744/G744</f>
        <v>#DIV/0!</v>
      </c>
      <c r="AC744" s="15" t="e">
        <f>C744/(G744-K744)</f>
        <v>#DIV/0!</v>
      </c>
      <c r="AD744" s="15" t="e">
        <f>Q744/E744</f>
        <v>#DIV/0!</v>
      </c>
      <c r="AE744" s="15" t="e">
        <f>Q744/J744</f>
        <v>#DIV/0!</v>
      </c>
      <c r="AF744" s="15" t="e">
        <f>Q744/G744</f>
        <v>#DIV/0!</v>
      </c>
      <c r="AG744" s="15" t="e">
        <f>Q744/K744</f>
        <v>#DIV/0!</v>
      </c>
      <c r="AH744" s="15" t="e">
        <f>Q744/L744</f>
        <v>#DIV/0!</v>
      </c>
      <c r="AI744" s="6">
        <f>R744</f>
        <v>0</v>
      </c>
      <c r="AJ744" s="6">
        <f>P744</f>
        <v>0</v>
      </c>
    </row>
    <row r="745" spans="1:36" x14ac:dyDescent="0.25">
      <c r="A745" t="s">
        <v>114</v>
      </c>
      <c r="B745">
        <v>2019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T745" t="e">
        <f>E745/G745</f>
        <v>#DIV/0!</v>
      </c>
      <c r="U745" t="e">
        <f>D745/C745</f>
        <v>#DIV/0!</v>
      </c>
      <c r="V745" t="e">
        <f>(E745-F745)/O745</f>
        <v>#DIV/0!</v>
      </c>
      <c r="W745" t="e">
        <f>H745/K745</f>
        <v>#DIV/0!</v>
      </c>
      <c r="X745" t="e">
        <f>(H745-I745)/K745</f>
        <v>#DIV/0!</v>
      </c>
      <c r="Y745" t="e">
        <f>(H745-K745)/G745</f>
        <v>#DIV/0!</v>
      </c>
      <c r="Z745" t="e">
        <f>J745/N745</f>
        <v>#DIV/0!</v>
      </c>
      <c r="AA745" t="e">
        <f>J745/G745</f>
        <v>#DIV/0!</v>
      </c>
      <c r="AB745" t="e">
        <f>C745/G745</f>
        <v>#DIV/0!</v>
      </c>
      <c r="AC745" t="e">
        <f>C745/(G745-K745)</f>
        <v>#DIV/0!</v>
      </c>
      <c r="AD745" t="e">
        <f>Q745/E745</f>
        <v>#DIV/0!</v>
      </c>
      <c r="AE745" t="e">
        <f>Q745/J745</f>
        <v>#DIV/0!</v>
      </c>
      <c r="AF745" t="e">
        <f>Q745/G745</f>
        <v>#DIV/0!</v>
      </c>
      <c r="AG745" t="e">
        <f>Q745/K745</f>
        <v>#DIV/0!</v>
      </c>
      <c r="AH745" t="e">
        <f>Q745/L745</f>
        <v>#DIV/0!</v>
      </c>
      <c r="AI745" s="1">
        <f>R745</f>
        <v>0</v>
      </c>
      <c r="AJ745" s="1">
        <f>P745</f>
        <v>0</v>
      </c>
    </row>
    <row r="746" spans="1:36" x14ac:dyDescent="0.25">
      <c r="A746" t="s">
        <v>114</v>
      </c>
      <c r="B746">
        <v>2020</v>
      </c>
      <c r="C746" s="1">
        <v>968041.55500000005</v>
      </c>
      <c r="D746" s="1">
        <v>56025.906999999999</v>
      </c>
      <c r="E746" s="1">
        <v>44293.284</v>
      </c>
      <c r="F746" s="1">
        <v>0</v>
      </c>
      <c r="G746" s="1">
        <v>900674.74399999995</v>
      </c>
      <c r="H746" s="1">
        <v>348048.82400000002</v>
      </c>
      <c r="I746" s="1">
        <v>66046.462</v>
      </c>
      <c r="J746" s="1">
        <v>387697.73700000002</v>
      </c>
      <c r="K746" s="1">
        <v>187443.24600000001</v>
      </c>
      <c r="L746" s="1">
        <v>221821.09599999999</v>
      </c>
      <c r="M746" s="1">
        <v>130901.024</v>
      </c>
      <c r="N746" s="1">
        <v>512977.00599999999</v>
      </c>
      <c r="O746" s="1">
        <v>512977.00599999999</v>
      </c>
      <c r="P746" s="1">
        <v>89477.554999999993</v>
      </c>
      <c r="Q746" s="1">
        <v>-41459.745000000003</v>
      </c>
      <c r="R746" s="1">
        <v>0</v>
      </c>
      <c r="T746">
        <f>E746/G746</f>
        <v>4.9177890570449925E-2</v>
      </c>
      <c r="U746">
        <f>D746/C746</f>
        <v>5.7875518577299084E-2</v>
      </c>
      <c r="V746">
        <f>(E746-F746)/O746</f>
        <v>8.6345554443818487E-2</v>
      </c>
      <c r="W746">
        <f>H746/K746</f>
        <v>1.8568224325351259</v>
      </c>
      <c r="X746">
        <f>(H746-I746)/K746</f>
        <v>1.5044679817377895</v>
      </c>
      <c r="Y746">
        <f>(H746-K746)/G746</f>
        <v>0.1783169552270692</v>
      </c>
      <c r="Z746">
        <f>J746/N746</f>
        <v>0.75577995205500503</v>
      </c>
      <c r="AA746">
        <f>J746/G746</f>
        <v>0.43045254636339625</v>
      </c>
      <c r="AB746">
        <f>C746/G746</f>
        <v>1.0747959365451021</v>
      </c>
      <c r="AC746">
        <f>C746/(G746-K746)</f>
        <v>1.3572613628457562</v>
      </c>
      <c r="AD746">
        <f>Q746/E746</f>
        <v>-0.93602779599724428</v>
      </c>
      <c r="AE746">
        <f>Q746/J746</f>
        <v>-0.10693832087031244</v>
      </c>
      <c r="AF746">
        <f>Q746/G746</f>
        <v>-4.603187252245191E-2</v>
      </c>
      <c r="AG746">
        <f>Q746/K746</f>
        <v>-0.22118559022393369</v>
      </c>
      <c r="AH746">
        <f>Q746/L746</f>
        <v>-0.18690623095650022</v>
      </c>
      <c r="AI746" s="1">
        <f>R746</f>
        <v>0</v>
      </c>
      <c r="AJ746" s="1">
        <f>P746</f>
        <v>89477.554999999993</v>
      </c>
    </row>
    <row r="747" spans="1:36" x14ac:dyDescent="0.25">
      <c r="A747" t="s">
        <v>114</v>
      </c>
      <c r="B747">
        <v>2021</v>
      </c>
      <c r="C747" s="1">
        <v>1067216.2660000001</v>
      </c>
      <c r="D747" s="1">
        <v>160760.038</v>
      </c>
      <c r="E747" s="1">
        <v>171676.16099999999</v>
      </c>
      <c r="F747" s="1">
        <v>0</v>
      </c>
      <c r="G747" s="1">
        <v>1595184.5079999999</v>
      </c>
      <c r="H747" s="1">
        <v>562869.36899999995</v>
      </c>
      <c r="I747" s="1" t="s">
        <v>223</v>
      </c>
      <c r="J747" s="1">
        <v>411853.46500000003</v>
      </c>
      <c r="K747" s="1">
        <v>231690.37599999999</v>
      </c>
      <c r="L747" s="1">
        <v>193776.30799999999</v>
      </c>
      <c r="M747" s="1">
        <v>125998.091</v>
      </c>
      <c r="N747" s="1">
        <v>1183331.0430000001</v>
      </c>
      <c r="O747" s="1">
        <v>1183331.0430000001</v>
      </c>
      <c r="P747" s="1">
        <v>263156.82500000001</v>
      </c>
      <c r="Q747" s="1">
        <v>47394.326999999997</v>
      </c>
      <c r="R747" s="1">
        <v>0</v>
      </c>
      <c r="T747">
        <f>E747/G747</f>
        <v>0.10762150719181884</v>
      </c>
      <c r="U747">
        <f>D747/C747</f>
        <v>0.15063492107606238</v>
      </c>
      <c r="V747">
        <f>(E747-F747)/O747</f>
        <v>0.14507872671434682</v>
      </c>
      <c r="W747">
        <f>H747/K747</f>
        <v>2.429403321439644</v>
      </c>
      <c r="X747" t="e">
        <f>(H747-I747)/K747</f>
        <v>#VALUE!</v>
      </c>
      <c r="Y747">
        <f>(H747-K747)/G747</f>
        <v>0.20761171597335998</v>
      </c>
      <c r="Z747">
        <f>J747/N747</f>
        <v>0.3480458553304428</v>
      </c>
      <c r="AA747">
        <f>J747/G747</f>
        <v>0.25818547192159669</v>
      </c>
      <c r="AB747">
        <f>C747/G747</f>
        <v>0.66902371521777604</v>
      </c>
      <c r="AC747">
        <f>C747/(G747-K747)</f>
        <v>0.78270690056772463</v>
      </c>
      <c r="AD747">
        <f>Q747/E747</f>
        <v>0.27606818980533937</v>
      </c>
      <c r="AE747">
        <f>Q747/J747</f>
        <v>0.11507570295663287</v>
      </c>
      <c r="AF747">
        <f>Q747/G747</f>
        <v>2.971087467456774E-2</v>
      </c>
      <c r="AG747">
        <f>Q747/K747</f>
        <v>0.20455889371943528</v>
      </c>
      <c r="AH747">
        <f>Q747/L747</f>
        <v>0.24458267106626885</v>
      </c>
      <c r="AI747" s="1">
        <f>R747</f>
        <v>0</v>
      </c>
      <c r="AJ747" s="1">
        <f>P747</f>
        <v>263156.82500000001</v>
      </c>
    </row>
    <row r="748" spans="1:36" x14ac:dyDescent="0.25">
      <c r="A748" t="s">
        <v>114</v>
      </c>
      <c r="B748">
        <v>2022</v>
      </c>
      <c r="C748" s="1">
        <v>1687378.828</v>
      </c>
      <c r="D748" s="1">
        <v>101083.93700000001</v>
      </c>
      <c r="E748" s="1">
        <v>129610.561</v>
      </c>
      <c r="F748" s="1">
        <v>0</v>
      </c>
      <c r="G748" s="1">
        <v>1797887.237</v>
      </c>
      <c r="H748" s="1">
        <v>1028219.3</v>
      </c>
      <c r="I748" s="1">
        <v>256116.568</v>
      </c>
      <c r="J748" s="1">
        <v>651491.76699999999</v>
      </c>
      <c r="K748" s="1">
        <v>358897.36800000002</v>
      </c>
      <c r="L748" s="1">
        <v>369769.60499999998</v>
      </c>
      <c r="M748" s="1">
        <v>226583.05300000001</v>
      </c>
      <c r="N748" s="1">
        <v>1146395.47</v>
      </c>
      <c r="O748" s="1">
        <v>1146395.47</v>
      </c>
      <c r="P748" s="1">
        <v>226221.25099999999</v>
      </c>
      <c r="Q748" s="1">
        <v>-27217.937999999998</v>
      </c>
      <c r="R748" s="1">
        <v>7</v>
      </c>
      <c r="T748">
        <f>E748/G748</f>
        <v>7.2090483948410167E-2</v>
      </c>
      <c r="U748">
        <f>D748/C748</f>
        <v>5.9905893876724646E-2</v>
      </c>
      <c r="V748">
        <f>(E748-F748)/O748</f>
        <v>0.11305920547644872</v>
      </c>
      <c r="W748">
        <f>H748/K748</f>
        <v>2.8649396503793807</v>
      </c>
      <c r="X748">
        <f>(H748-I748)/K748</f>
        <v>2.151319014409713</v>
      </c>
      <c r="Y748">
        <f>(H748-K748)/G748</f>
        <v>0.37228248703564276</v>
      </c>
      <c r="Z748">
        <f>J748/N748</f>
        <v>0.568295831629551</v>
      </c>
      <c r="AA748">
        <f>J748/G748</f>
        <v>0.36236519932534567</v>
      </c>
      <c r="AB748">
        <f>C748/G748</f>
        <v>0.93853429362767093</v>
      </c>
      <c r="AC748">
        <f>C748/(G748-K748)</f>
        <v>1.1726134174750051</v>
      </c>
      <c r="AD748">
        <f>Q748/E748</f>
        <v>-0.20999784114814532</v>
      </c>
      <c r="AE748">
        <f>Q748/J748</f>
        <v>-4.1777869466153972E-2</v>
      </c>
      <c r="AF748">
        <f>Q748/G748</f>
        <v>-1.5138845996491157E-2</v>
      </c>
      <c r="AG748">
        <f>Q748/K748</f>
        <v>-7.5837663986435239E-2</v>
      </c>
      <c r="AH748">
        <f>Q748/L748</f>
        <v>-7.3607829394198049E-2</v>
      </c>
      <c r="AI748" s="1">
        <f>R748</f>
        <v>7</v>
      </c>
      <c r="AJ748" s="1">
        <f>P748</f>
        <v>226221.25099999999</v>
      </c>
    </row>
    <row r="749" spans="1:36" x14ac:dyDescent="0.25">
      <c r="A749" t="s">
        <v>114</v>
      </c>
      <c r="B749">
        <v>2023</v>
      </c>
      <c r="C749" s="1">
        <v>1953218.8</v>
      </c>
      <c r="D749" s="1">
        <v>-154485.68400000001</v>
      </c>
      <c r="E749" s="1">
        <v>-85869.055999999997</v>
      </c>
      <c r="F749" s="1">
        <v>0</v>
      </c>
      <c r="G749" s="1">
        <v>1673935.085</v>
      </c>
      <c r="H749" s="1">
        <v>710891.61699999997</v>
      </c>
      <c r="I749" s="1">
        <v>200182.342</v>
      </c>
      <c r="J749" s="1">
        <v>611997.473</v>
      </c>
      <c r="K749" s="1">
        <v>333753.41499999998</v>
      </c>
      <c r="L749" s="1">
        <v>377131.09899999999</v>
      </c>
      <c r="M749" s="1">
        <v>183916.69899999999</v>
      </c>
      <c r="N749" s="1">
        <v>1061937.611</v>
      </c>
      <c r="O749" s="1">
        <v>1061937.611</v>
      </c>
      <c r="P749" s="1">
        <v>141763.39199999999</v>
      </c>
      <c r="Q749" s="1">
        <v>-124804.216</v>
      </c>
      <c r="R749" s="1">
        <v>8.3000000000000007</v>
      </c>
      <c r="T749">
        <f>E749/G749</f>
        <v>-5.1297721619832107E-2</v>
      </c>
      <c r="U749">
        <f>D749/C749</f>
        <v>-7.9092871725379668E-2</v>
      </c>
      <c r="V749">
        <f>(E749-F749)/O749</f>
        <v>-8.0860735235791542E-2</v>
      </c>
      <c r="W749">
        <f>H749/K749</f>
        <v>2.1299905410705686</v>
      </c>
      <c r="X749">
        <f>(H749-I749)/K749</f>
        <v>1.5301993988585854</v>
      </c>
      <c r="Y749">
        <f>(H749-K749)/G749</f>
        <v>0.22530037477528586</v>
      </c>
      <c r="Z749">
        <f>J749/N749</f>
        <v>0.57630266285012477</v>
      </c>
      <c r="AA749">
        <f>J749/G749</f>
        <v>0.36560406582313792</v>
      </c>
      <c r="AB749">
        <f>C749/G749</f>
        <v>1.1668426198259654</v>
      </c>
      <c r="AC749">
        <f>C749/(G749-K749)</f>
        <v>1.4574283798404735</v>
      </c>
      <c r="AD749">
        <f>Q749/E749</f>
        <v>1.4534248053221874</v>
      </c>
      <c r="AE749">
        <f>Q749/J749</f>
        <v>-0.20392929955774508</v>
      </c>
      <c r="AF749">
        <f>Q749/G749</f>
        <v>-7.455738105877624E-2</v>
      </c>
      <c r="AG749">
        <f>Q749/K749</f>
        <v>-0.37394139023266626</v>
      </c>
      <c r="AH749">
        <f>Q749/L749</f>
        <v>-0.33093058708478457</v>
      </c>
      <c r="AI749" s="1">
        <f>R749</f>
        <v>8.3000000000000007</v>
      </c>
      <c r="AJ749" s="1">
        <f>P749</f>
        <v>141763.39199999999</v>
      </c>
    </row>
    <row r="750" spans="1:36" s="8" customFormat="1" x14ac:dyDescent="0.25">
      <c r="A750" s="8" t="s">
        <v>114</v>
      </c>
      <c r="B750" s="8">
        <v>2024</v>
      </c>
      <c r="C750" s="9">
        <v>1790746.2220000001</v>
      </c>
      <c r="D750" s="9">
        <v>-158243.269</v>
      </c>
      <c r="E750" s="9">
        <v>-117821.185</v>
      </c>
      <c r="F750" s="9">
        <v>0</v>
      </c>
      <c r="G750" s="9">
        <v>1584592.7479999999</v>
      </c>
      <c r="H750" s="9">
        <v>629621.17599999998</v>
      </c>
      <c r="I750" s="9">
        <v>144980.91800000001</v>
      </c>
      <c r="J750" s="9">
        <v>644645.29</v>
      </c>
      <c r="K750" s="9">
        <v>349153.34700000001</v>
      </c>
      <c r="L750" s="9">
        <v>348734.29300000001</v>
      </c>
      <c r="M750" s="9">
        <v>200440.75700000001</v>
      </c>
      <c r="N750" s="9">
        <v>939947.45799999998</v>
      </c>
      <c r="O750" s="9">
        <v>939947.45799999998</v>
      </c>
      <c r="P750" s="9">
        <v>23828.656999999999</v>
      </c>
      <c r="Q750" s="9">
        <v>-90248.673999999999</v>
      </c>
      <c r="R750" s="9">
        <v>7</v>
      </c>
      <c r="T750" s="8">
        <f>E750/G750</f>
        <v>-7.4354237168325094E-2</v>
      </c>
      <c r="U750" s="8">
        <f>D750/C750</f>
        <v>-8.8367222030637904E-2</v>
      </c>
      <c r="V750" s="8">
        <f>(E750-F750)/O750</f>
        <v>-0.12534869262873202</v>
      </c>
      <c r="W750" s="8">
        <f>H750/K750</f>
        <v>1.8032797949950625</v>
      </c>
      <c r="X750" s="8">
        <f>(H750-I750)/K750</f>
        <v>1.3880441421058465</v>
      </c>
      <c r="Y750" s="8">
        <f>(H750-K750)/G750</f>
        <v>0.17699678946151531</v>
      </c>
      <c r="Z750" s="8">
        <f>J750/N750</f>
        <v>0.6858311967475953</v>
      </c>
      <c r="AA750" s="8">
        <f>J750/G750</f>
        <v>0.40682080036882767</v>
      </c>
      <c r="AB750" s="8">
        <f>C750/G750</f>
        <v>1.1300987110159362</v>
      </c>
      <c r="AC750" s="8">
        <f>C750/(G750-K750)</f>
        <v>1.4494812295532415</v>
      </c>
      <c r="AD750" s="8">
        <f>Q750/E750</f>
        <v>0.76598002303236046</v>
      </c>
      <c r="AE750" s="8">
        <f>Q750/J750</f>
        <v>-0.13999741470227758</v>
      </c>
      <c r="AF750" s="8">
        <f>Q750/G750</f>
        <v>-5.6953860298747251E-2</v>
      </c>
      <c r="AG750" s="8">
        <f>Q750/K750</f>
        <v>-0.25847861627401209</v>
      </c>
      <c r="AH750" s="8">
        <f>Q750/L750</f>
        <v>-0.25878921520345005</v>
      </c>
      <c r="AI750" s="9">
        <f>R750</f>
        <v>7</v>
      </c>
      <c r="AJ750" s="9">
        <f>P750</f>
        <v>23828.656999999999</v>
      </c>
    </row>
    <row r="751" spans="1:36" x14ac:dyDescent="0.25">
      <c r="A751" s="15" t="s">
        <v>119</v>
      </c>
      <c r="B751" s="15">
        <v>2018</v>
      </c>
      <c r="C751" s="6">
        <v>8642220</v>
      </c>
      <c r="D751" s="6">
        <v>579537</v>
      </c>
      <c r="E751" s="6">
        <v>160422</v>
      </c>
      <c r="F751" s="6"/>
      <c r="G751" s="6">
        <v>7786371</v>
      </c>
      <c r="H751" s="6">
        <v>2329463</v>
      </c>
      <c r="I751" s="6">
        <v>1317085</v>
      </c>
      <c r="J751" s="6">
        <v>4737161</v>
      </c>
      <c r="K751" s="6">
        <v>2032796</v>
      </c>
      <c r="L751" s="6">
        <v>1404582</v>
      </c>
      <c r="M751" s="6">
        <v>299132</v>
      </c>
      <c r="N751" s="6">
        <v>3017740</v>
      </c>
      <c r="O751" s="6">
        <v>3049210</v>
      </c>
      <c r="P751" s="6">
        <v>2677740</v>
      </c>
      <c r="Q751" s="6">
        <v>360779</v>
      </c>
      <c r="R751" s="6">
        <v>80</v>
      </c>
      <c r="S751" s="15"/>
      <c r="T751" s="15">
        <f>E751/G751</f>
        <v>2.0602922722279739E-2</v>
      </c>
      <c r="U751" s="15">
        <f>D751/C751</f>
        <v>6.7058811277657823E-2</v>
      </c>
      <c r="V751" s="15">
        <f>(E751-F751)/O751</f>
        <v>5.2611004161733692E-2</v>
      </c>
      <c r="W751" s="15">
        <f>H751/K751</f>
        <v>1.1459403698157611</v>
      </c>
      <c r="X751" s="15">
        <f>(H751-I751)/K751</f>
        <v>0.49802242822201537</v>
      </c>
      <c r="Y751" s="15">
        <f>(H751-K751)/G751</f>
        <v>3.8100804598188293E-2</v>
      </c>
      <c r="Z751" s="15">
        <f>J751/N751</f>
        <v>1.56977108697237</v>
      </c>
      <c r="AA751" s="15">
        <f>J751/G751</f>
        <v>0.60839138027201634</v>
      </c>
      <c r="AB751" s="15">
        <f>C751/G751</f>
        <v>1.1099162883453666</v>
      </c>
      <c r="AC751" s="15">
        <f>C751/(G751-K751)</f>
        <v>1.5020608925754857</v>
      </c>
      <c r="AD751" s="15">
        <f>Q751/E751</f>
        <v>2.2489371781925174</v>
      </c>
      <c r="AE751" s="15">
        <f>Q751/J751</f>
        <v>7.6159328340328736E-2</v>
      </c>
      <c r="AF751" s="15">
        <f>Q751/G751</f>
        <v>4.6334678889562289E-2</v>
      </c>
      <c r="AG751" s="15">
        <f>Q751/K751</f>
        <v>0.1774791961416689</v>
      </c>
      <c r="AH751" s="15">
        <f>Q751/L751</f>
        <v>0.25685862413159216</v>
      </c>
      <c r="AI751" s="6">
        <f>R751</f>
        <v>80</v>
      </c>
      <c r="AJ751" s="6">
        <f>P751</f>
        <v>2677740</v>
      </c>
    </row>
    <row r="752" spans="1:36" x14ac:dyDescent="0.25">
      <c r="A752" t="s">
        <v>119</v>
      </c>
      <c r="B752">
        <v>2019</v>
      </c>
      <c r="C752" s="1">
        <v>9166118</v>
      </c>
      <c r="D752" s="1">
        <v>451903</v>
      </c>
      <c r="E752" s="1">
        <v>387913</v>
      </c>
      <c r="G752" s="1">
        <v>8686654</v>
      </c>
      <c r="H752" s="1">
        <v>2651826</v>
      </c>
      <c r="I752" s="1">
        <v>1121098</v>
      </c>
      <c r="J752" s="1">
        <v>5330730</v>
      </c>
      <c r="K752" s="1">
        <v>2590014</v>
      </c>
      <c r="L752" s="1">
        <v>1331011</v>
      </c>
      <c r="M752" s="1">
        <v>162924</v>
      </c>
      <c r="N752" s="1">
        <v>3322544</v>
      </c>
      <c r="O752" s="1">
        <v>3355924</v>
      </c>
      <c r="P752" s="1">
        <v>2982544</v>
      </c>
      <c r="Q752" s="1">
        <v>147619</v>
      </c>
      <c r="R752" s="1">
        <v>93</v>
      </c>
      <c r="T752">
        <f>E752/G752</f>
        <v>4.4656204794158945E-2</v>
      </c>
      <c r="U752">
        <f>D752/C752</f>
        <v>4.9301460007388082E-2</v>
      </c>
      <c r="V752">
        <f>(E752-F752)/O752</f>
        <v>0.11559051992834164</v>
      </c>
      <c r="W752">
        <f>H752/K752</f>
        <v>1.0238655080628907</v>
      </c>
      <c r="X752">
        <f>(H752-I752)/K752</f>
        <v>0.59101147715803848</v>
      </c>
      <c r="Y752">
        <f>(H752-K752)/G752</f>
        <v>7.1157433000094165E-3</v>
      </c>
      <c r="Z752">
        <f>J752/N752</f>
        <v>1.6044121612836428</v>
      </c>
      <c r="AA752">
        <f>J752/G752</f>
        <v>0.61366896851192643</v>
      </c>
      <c r="AB752">
        <f>C752/G752</f>
        <v>1.0551954757263269</v>
      </c>
      <c r="AC752">
        <f>C752/(G752-K752)</f>
        <v>1.5034704361746798</v>
      </c>
      <c r="AD752">
        <f>Q752/E752</f>
        <v>0.38054666896958855</v>
      </c>
      <c r="AE752">
        <f>Q752/J752</f>
        <v>2.7692079696401806E-2</v>
      </c>
      <c r="AF752">
        <f>Q752/G752</f>
        <v>1.6993769983240956E-2</v>
      </c>
      <c r="AG752">
        <f>Q752/K752</f>
        <v>5.6995444812267426E-2</v>
      </c>
      <c r="AH752">
        <f>Q752/L752</f>
        <v>0.11090742300401725</v>
      </c>
      <c r="AI752" s="1">
        <f>R752</f>
        <v>93</v>
      </c>
      <c r="AJ752" s="1">
        <f>P752</f>
        <v>2982544</v>
      </c>
    </row>
    <row r="753" spans="1:36" x14ac:dyDescent="0.25">
      <c r="A753" t="s">
        <v>119</v>
      </c>
      <c r="B753">
        <v>2020</v>
      </c>
      <c r="C753" s="1">
        <v>8909174</v>
      </c>
      <c r="D753" s="1">
        <v>224918</v>
      </c>
      <c r="E753" s="1">
        <v>-87019</v>
      </c>
      <c r="G753" s="1">
        <v>9371660</v>
      </c>
      <c r="H753" s="1">
        <v>2185654</v>
      </c>
      <c r="I753" s="1">
        <v>1056294</v>
      </c>
      <c r="J753" s="1">
        <v>5892585</v>
      </c>
      <c r="K753" s="1">
        <v>2637252</v>
      </c>
      <c r="L753" s="1">
        <v>1365614</v>
      </c>
      <c r="M753" s="1">
        <v>270817</v>
      </c>
      <c r="N753" s="1">
        <v>3437193</v>
      </c>
      <c r="O753" s="1">
        <v>3479075</v>
      </c>
      <c r="P753" s="1">
        <v>3097193</v>
      </c>
      <c r="Q753" s="1">
        <v>914918</v>
      </c>
      <c r="R753" s="1">
        <v>80</v>
      </c>
      <c r="T753">
        <f>E753/G753</f>
        <v>-9.2853347219169283E-3</v>
      </c>
      <c r="U753">
        <f>D753/C753</f>
        <v>2.5245662504739495E-2</v>
      </c>
      <c r="V753">
        <f>(E753-F753)/O753</f>
        <v>-2.5012108103447037E-2</v>
      </c>
      <c r="W753">
        <f>H753/K753</f>
        <v>0.82876190822871687</v>
      </c>
      <c r="X753">
        <f>(H753-I753)/K753</f>
        <v>0.42823363106748996</v>
      </c>
      <c r="Y753">
        <f>(H753-K753)/G753</f>
        <v>-4.8187620976433206E-2</v>
      </c>
      <c r="Z753">
        <f>J753/N753</f>
        <v>1.7143596533566781</v>
      </c>
      <c r="AA753">
        <f>J753/G753</f>
        <v>0.62876640851247267</v>
      </c>
      <c r="AB753">
        <f>C753/G753</f>
        <v>0.95065057844608103</v>
      </c>
      <c r="AC753">
        <f>C753/(G753-K753)</f>
        <v>1.322933508038123</v>
      </c>
      <c r="AD753">
        <f>Q753/E753</f>
        <v>-10.514002689067905</v>
      </c>
      <c r="AE753">
        <f>Q753/J753</f>
        <v>0.15526598258658975</v>
      </c>
      <c r="AF753">
        <f>Q753/G753</f>
        <v>9.7626034235130166E-2</v>
      </c>
      <c r="AG753">
        <f>Q753/K753</f>
        <v>0.34692096166767528</v>
      </c>
      <c r="AH753">
        <f>Q753/L753</f>
        <v>0.6699682340690708</v>
      </c>
      <c r="AI753" s="1">
        <f>R753</f>
        <v>80</v>
      </c>
      <c r="AJ753" s="1">
        <f>P753</f>
        <v>3097193</v>
      </c>
    </row>
    <row r="754" spans="1:36" x14ac:dyDescent="0.25">
      <c r="A754" t="s">
        <v>119</v>
      </c>
      <c r="B754">
        <v>2021</v>
      </c>
      <c r="C754" s="1">
        <v>11760469</v>
      </c>
      <c r="D754" s="1">
        <v>1172434</v>
      </c>
      <c r="E754" s="1">
        <v>802185</v>
      </c>
      <c r="G754" s="1">
        <v>10752396</v>
      </c>
      <c r="H754" s="1">
        <v>3611819</v>
      </c>
      <c r="I754" s="1">
        <v>1346248</v>
      </c>
      <c r="J754" s="1">
        <v>6462159</v>
      </c>
      <c r="K754" s="1">
        <v>3395861</v>
      </c>
      <c r="L754" s="1">
        <v>2335838</v>
      </c>
      <c r="M754" s="1">
        <v>193108</v>
      </c>
      <c r="N754" s="1">
        <v>4249055</v>
      </c>
      <c r="O754" s="1">
        <v>4290237</v>
      </c>
      <c r="P754" s="1">
        <v>3909055</v>
      </c>
      <c r="Q754" s="1">
        <v>22200</v>
      </c>
      <c r="R754" s="1">
        <v>37.5</v>
      </c>
      <c r="T754">
        <f>E754/G754</f>
        <v>7.4605232173368619E-2</v>
      </c>
      <c r="U754">
        <f>D754/C754</f>
        <v>9.969279286395806E-2</v>
      </c>
      <c r="V754">
        <f>(E754-F754)/O754</f>
        <v>0.18697918087042745</v>
      </c>
      <c r="W754">
        <f>H754/K754</f>
        <v>1.0635944757456208</v>
      </c>
      <c r="X754">
        <f>(H754-I754)/K754</f>
        <v>0.66715657678568119</v>
      </c>
      <c r="Y754">
        <f>(H754-K754)/G754</f>
        <v>2.008463973983101E-2</v>
      </c>
      <c r="Z754">
        <f>J754/N754</f>
        <v>1.5208461646177798</v>
      </c>
      <c r="AA754">
        <f>J754/G754</f>
        <v>0.60099711729367111</v>
      </c>
      <c r="AB754">
        <f>C754/G754</f>
        <v>1.0937533364656584</v>
      </c>
      <c r="AC754">
        <f>C754/(G754-K754)</f>
        <v>1.5986424315251677</v>
      </c>
      <c r="AD754">
        <f>Q754/E754</f>
        <v>2.7674414256063127E-2</v>
      </c>
      <c r="AE754">
        <f>Q754/J754</f>
        <v>3.4353843661228392E-3</v>
      </c>
      <c r="AF754">
        <f>Q754/G754</f>
        <v>2.0646561008355719E-3</v>
      </c>
      <c r="AG754">
        <f>Q754/K754</f>
        <v>6.5373700513654707E-3</v>
      </c>
      <c r="AH754">
        <f>Q754/L754</f>
        <v>9.5040837592333029E-3</v>
      </c>
      <c r="AI754" s="1">
        <f>R754</f>
        <v>37.5</v>
      </c>
      <c r="AJ754" s="1">
        <f>P754</f>
        <v>3909055</v>
      </c>
    </row>
    <row r="755" spans="1:36" x14ac:dyDescent="0.25">
      <c r="A755" t="s">
        <v>119</v>
      </c>
      <c r="B755">
        <v>2022</v>
      </c>
      <c r="C755" s="1">
        <v>12925850</v>
      </c>
      <c r="D755" s="1">
        <v>1675516</v>
      </c>
      <c r="E755" s="1">
        <v>1777464</v>
      </c>
      <c r="G755" s="1">
        <v>12511175</v>
      </c>
      <c r="H755" s="1">
        <v>5284347</v>
      </c>
      <c r="I755" s="1">
        <v>1855248</v>
      </c>
      <c r="J755" s="1">
        <v>6569095</v>
      </c>
      <c r="K755" s="1">
        <v>3692707</v>
      </c>
      <c r="L755" s="1">
        <v>2108705</v>
      </c>
      <c r="M755" s="1">
        <v>125574</v>
      </c>
      <c r="N755" s="1">
        <v>5892995</v>
      </c>
      <c r="O755" s="1">
        <v>5942080</v>
      </c>
      <c r="P755" s="1">
        <v>5552995</v>
      </c>
      <c r="Q755" s="1">
        <v>949098</v>
      </c>
      <c r="R755" s="1">
        <v>58</v>
      </c>
      <c r="T755">
        <f>E755/G755</f>
        <v>0.14207010932226588</v>
      </c>
      <c r="U755">
        <f>D755/C755</f>
        <v>0.12962520840022126</v>
      </c>
      <c r="V755">
        <f>(E755-F755)/O755</f>
        <v>0.29913161721148152</v>
      </c>
      <c r="W755">
        <f>H755/K755</f>
        <v>1.4310225533734466</v>
      </c>
      <c r="X755">
        <f>(H755-I755)/K755</f>
        <v>0.92861388677736956</v>
      </c>
      <c r="Y755">
        <f>(H755-K755)/G755</f>
        <v>0.12721746758397992</v>
      </c>
      <c r="Z755">
        <f>J755/N755</f>
        <v>1.1147294372386198</v>
      </c>
      <c r="AA755">
        <f>J755/G755</f>
        <v>0.52505819797101394</v>
      </c>
      <c r="AB755">
        <f>C755/G755</f>
        <v>1.0331443689341728</v>
      </c>
      <c r="AC755">
        <f>C755/(G755-K755)</f>
        <v>1.4657704716964444</v>
      </c>
      <c r="AD755">
        <f>Q755/E755</f>
        <v>0.53396186926992617</v>
      </c>
      <c r="AE755">
        <f>Q755/J755</f>
        <v>0.14447926236414604</v>
      </c>
      <c r="AF755">
        <f>Q755/G755</f>
        <v>7.5860021141099854E-2</v>
      </c>
      <c r="AG755">
        <f>Q755/K755</f>
        <v>0.25701957940340242</v>
      </c>
      <c r="AH755">
        <f>Q755/L755</f>
        <v>0.4500857161148667</v>
      </c>
      <c r="AI755" s="1">
        <f>R755</f>
        <v>58</v>
      </c>
      <c r="AJ755" s="1">
        <f>P755</f>
        <v>5552995</v>
      </c>
    </row>
    <row r="756" spans="1:36" x14ac:dyDescent="0.25">
      <c r="A756" t="s">
        <v>119</v>
      </c>
      <c r="B756">
        <v>2023</v>
      </c>
      <c r="C756" s="1">
        <v>20704226</v>
      </c>
      <c r="D756" s="1">
        <v>2825715</v>
      </c>
      <c r="E756" s="1">
        <v>2087844</v>
      </c>
      <c r="G756" s="1">
        <v>14334909</v>
      </c>
      <c r="H756" s="1">
        <v>6490119</v>
      </c>
      <c r="I756" s="1">
        <v>2359023</v>
      </c>
      <c r="J756" s="1">
        <v>7130109</v>
      </c>
      <c r="K756" s="1">
        <v>3758254</v>
      </c>
      <c r="L756" s="1">
        <v>1544235</v>
      </c>
      <c r="M756" s="1">
        <v>17456</v>
      </c>
      <c r="N756" s="1">
        <v>7155218</v>
      </c>
      <c r="O756" s="1">
        <v>7204800</v>
      </c>
      <c r="P756" s="1">
        <v>6815218</v>
      </c>
      <c r="Q756" s="1">
        <v>2524466</v>
      </c>
      <c r="R756" s="1">
        <v>70.5</v>
      </c>
      <c r="T756">
        <f>E756/G756</f>
        <v>0.14564752381755616</v>
      </c>
      <c r="U756">
        <f>D756/C756</f>
        <v>0.13648010797409185</v>
      </c>
      <c r="V756">
        <f>(E756-F756)/O756</f>
        <v>0.28978514323784144</v>
      </c>
      <c r="W756">
        <f>H756/K756</f>
        <v>1.7268973837319137</v>
      </c>
      <c r="X756">
        <f>(H756-I756)/K756</f>
        <v>1.0992061739307668</v>
      </c>
      <c r="Y756">
        <f>(H756-K756)/G756</f>
        <v>0.19057428268292459</v>
      </c>
      <c r="Z756">
        <f>J756/N756</f>
        <v>0.99649081271877393</v>
      </c>
      <c r="AA756">
        <f>J756/G756</f>
        <v>0.49739478639173784</v>
      </c>
      <c r="AB756">
        <f>C756/G756</f>
        <v>1.4443221090555929</v>
      </c>
      <c r="AC756">
        <f>C756/(G756-K756)</f>
        <v>1.9575400729247574</v>
      </c>
      <c r="AD756">
        <f>Q756/E756</f>
        <v>1.2091257775964104</v>
      </c>
      <c r="AE756">
        <f>Q756/J756</f>
        <v>0.35405713993993643</v>
      </c>
      <c r="AF756">
        <f>Q756/G756</f>
        <v>0.1761061754908943</v>
      </c>
      <c r="AG756">
        <f>Q756/K756</f>
        <v>0.67171244945126118</v>
      </c>
      <c r="AH756">
        <f>Q756/L756</f>
        <v>1.6347680242968201</v>
      </c>
      <c r="AI756" s="1">
        <f>R756</f>
        <v>70.5</v>
      </c>
      <c r="AJ756" s="1">
        <f>P756</f>
        <v>6815218</v>
      </c>
    </row>
    <row r="757" spans="1:36" s="8" customFormat="1" x14ac:dyDescent="0.25">
      <c r="A757" s="8" t="s">
        <v>119</v>
      </c>
      <c r="B757" s="8">
        <v>2024</v>
      </c>
      <c r="C757" s="9">
        <v>19968249</v>
      </c>
      <c r="D757" s="9">
        <v>1881034</v>
      </c>
      <c r="E757" s="9">
        <v>1182832</v>
      </c>
      <c r="F757" s="9"/>
      <c r="G757" s="9">
        <v>15105262</v>
      </c>
      <c r="H757" s="9">
        <v>6663847</v>
      </c>
      <c r="I757" s="9">
        <v>2039119</v>
      </c>
      <c r="J757" s="9">
        <v>7172232</v>
      </c>
      <c r="K757" s="9">
        <v>3232856</v>
      </c>
      <c r="L757" s="9">
        <v>1136843</v>
      </c>
      <c r="M757" s="9">
        <v>62604</v>
      </c>
      <c r="N757" s="9">
        <v>7863982</v>
      </c>
      <c r="O757" s="9">
        <v>7933030</v>
      </c>
      <c r="P757" s="9">
        <v>7523982</v>
      </c>
      <c r="Q757" s="9">
        <v>1663652</v>
      </c>
      <c r="R757" s="9">
        <v>74</v>
      </c>
      <c r="T757" s="8">
        <f>E757/G757</f>
        <v>7.8305957222059436E-2</v>
      </c>
      <c r="U757" s="8">
        <f>D757/C757</f>
        <v>9.4201249193156603E-2</v>
      </c>
      <c r="V757" s="8">
        <f>(E757-F757)/O757</f>
        <v>0.14910217155361824</v>
      </c>
      <c r="W757" s="8">
        <f>H757/K757</f>
        <v>2.0612879138446005</v>
      </c>
      <c r="X757" s="8">
        <f>(H757-I757)/K757</f>
        <v>1.4305394363374058</v>
      </c>
      <c r="Y757" s="8">
        <f>(H757-K757)/G757</f>
        <v>0.22713879441482049</v>
      </c>
      <c r="Z757" s="8">
        <f>J757/N757</f>
        <v>0.91203565827083533</v>
      </c>
      <c r="AA757" s="8">
        <f>J757/G757</f>
        <v>0.47481678901034619</v>
      </c>
      <c r="AB757" s="8">
        <f>C757/G757</f>
        <v>1.3219399306016673</v>
      </c>
      <c r="AC757" s="8">
        <f>C757/(G757-K757)</f>
        <v>1.6819041565795509</v>
      </c>
      <c r="AD757" s="8">
        <f>Q757/E757</f>
        <v>1.406498978722253</v>
      </c>
      <c r="AE757" s="8">
        <f>Q757/J757</f>
        <v>0.23195735999616299</v>
      </c>
      <c r="AF757" s="8">
        <f>Q757/G757</f>
        <v>0.11013724886069504</v>
      </c>
      <c r="AG757" s="8">
        <f>Q757/K757</f>
        <v>0.51460751731595844</v>
      </c>
      <c r="AH757" s="8">
        <f>Q757/L757</f>
        <v>1.4633964408453939</v>
      </c>
      <c r="AI757" s="9">
        <f>R757</f>
        <v>74</v>
      </c>
      <c r="AJ757" s="9">
        <f>P757</f>
        <v>7523982</v>
      </c>
    </row>
    <row r="758" spans="1:36" x14ac:dyDescent="0.25">
      <c r="A758" s="15" t="s">
        <v>126</v>
      </c>
      <c r="B758" s="15">
        <v>2018</v>
      </c>
      <c r="C758" s="6">
        <v>2217901</v>
      </c>
      <c r="D758" s="6">
        <v>396710</v>
      </c>
      <c r="E758" s="6">
        <v>194697</v>
      </c>
      <c r="F758" s="6"/>
      <c r="G758" s="6">
        <v>2948436</v>
      </c>
      <c r="H758" s="6">
        <v>1309875</v>
      </c>
      <c r="I758" s="6">
        <v>455489</v>
      </c>
      <c r="J758" s="6">
        <v>1633496</v>
      </c>
      <c r="K758" s="6">
        <v>1190942</v>
      </c>
      <c r="L758" s="6">
        <v>934227</v>
      </c>
      <c r="M758" s="6">
        <v>104592</v>
      </c>
      <c r="N758" s="6">
        <v>1302901</v>
      </c>
      <c r="O758" s="6">
        <v>1314940</v>
      </c>
      <c r="P758" s="6">
        <v>638352</v>
      </c>
      <c r="Q758" s="6">
        <v>171194</v>
      </c>
      <c r="R758" s="6">
        <v>63.8</v>
      </c>
      <c r="S758" s="15"/>
      <c r="T758" s="15">
        <f>E758/G758</f>
        <v>6.603399225894678E-2</v>
      </c>
      <c r="U758" s="15">
        <f>D758/C758</f>
        <v>0.17886731644018375</v>
      </c>
      <c r="V758" s="15">
        <f>(E758-F758)/O758</f>
        <v>0.14806531096475886</v>
      </c>
      <c r="W758" s="15">
        <f>H758/K758</f>
        <v>1.0998646449617193</v>
      </c>
      <c r="X758" s="15">
        <f>(H758-I758)/K758</f>
        <v>0.71740353434508142</v>
      </c>
      <c r="Y758" s="15">
        <f>(H758-K758)/G758</f>
        <v>4.0337656981531904E-2</v>
      </c>
      <c r="Z758" s="15">
        <f>J758/N758</f>
        <v>1.2537376208936826</v>
      </c>
      <c r="AA758" s="15">
        <f>J758/G758</f>
        <v>0.55402118275587464</v>
      </c>
      <c r="AB758" s="15">
        <f>C758/G758</f>
        <v>0.75222965667221542</v>
      </c>
      <c r="AC758" s="15">
        <f>C758/(G758-K758)</f>
        <v>1.2619678929202602</v>
      </c>
      <c r="AD758" s="15">
        <f>Q758/E758</f>
        <v>0.87928422112307847</v>
      </c>
      <c r="AE758" s="15">
        <f>Q758/J758</f>
        <v>0.10480221561607742</v>
      </c>
      <c r="AF758" s="15">
        <f>Q758/G758</f>
        <v>5.806264745105541E-2</v>
      </c>
      <c r="AG758" s="15">
        <f>Q758/K758</f>
        <v>0.14374671478543877</v>
      </c>
      <c r="AH758" s="15">
        <f>Q758/L758</f>
        <v>0.18324668415706247</v>
      </c>
      <c r="AI758" s="6">
        <f>R758</f>
        <v>63.8</v>
      </c>
      <c r="AJ758" s="6">
        <f>P758</f>
        <v>638352</v>
      </c>
    </row>
    <row r="759" spans="1:36" x14ac:dyDescent="0.25">
      <c r="A759" t="s">
        <v>126</v>
      </c>
      <c r="B759">
        <v>2019</v>
      </c>
      <c r="C759" s="1">
        <v>2019914</v>
      </c>
      <c r="D759" s="1">
        <v>224186</v>
      </c>
      <c r="E759" s="1">
        <v>52920</v>
      </c>
      <c r="G759" s="1">
        <v>2926601</v>
      </c>
      <c r="H759" s="1">
        <v>1305324</v>
      </c>
      <c r="I759" s="1">
        <v>568570</v>
      </c>
      <c r="J759" s="1">
        <v>1592437</v>
      </c>
      <c r="K759" s="1">
        <v>1164503</v>
      </c>
      <c r="L759" s="1">
        <v>936243</v>
      </c>
      <c r="M759" s="1">
        <v>58372</v>
      </c>
      <c r="N759" s="1">
        <v>1323210</v>
      </c>
      <c r="O759" s="1">
        <v>1334164</v>
      </c>
      <c r="P759" s="1">
        <v>666785</v>
      </c>
      <c r="Q759" s="1">
        <v>106380</v>
      </c>
      <c r="R759" s="1">
        <v>54.4</v>
      </c>
      <c r="T759">
        <f>E759/G759</f>
        <v>1.808241027731488E-2</v>
      </c>
      <c r="U759">
        <f>D759/C759</f>
        <v>0.11098789354398257</v>
      </c>
      <c r="V759">
        <f>(E759-F759)/O759</f>
        <v>3.9665288525248768E-2</v>
      </c>
      <c r="W759">
        <f>H759/K759</f>
        <v>1.1209279838695134</v>
      </c>
      <c r="X759">
        <f>(H759-I759)/K759</f>
        <v>0.6326767728378544</v>
      </c>
      <c r="Y759">
        <f>(H759-K759)/G759</f>
        <v>4.8117594438052878E-2</v>
      </c>
      <c r="Z759">
        <f>J759/N759</f>
        <v>1.2034650584563298</v>
      </c>
      <c r="AA759">
        <f>J759/G759</f>
        <v>0.5441250788884443</v>
      </c>
      <c r="AB759">
        <f>C759/G759</f>
        <v>0.69019111248851484</v>
      </c>
      <c r="AC759">
        <f>C759/(G759-K759)</f>
        <v>1.1463119531376802</v>
      </c>
      <c r="AD759">
        <f>Q759/E759</f>
        <v>2.010204081632653</v>
      </c>
      <c r="AE759">
        <f>Q759/J759</f>
        <v>6.6803270710238463E-2</v>
      </c>
      <c r="AF759">
        <f>Q759/G759</f>
        <v>3.6349334945214605E-2</v>
      </c>
      <c r="AG759">
        <f>Q759/K759</f>
        <v>9.1352276464723575E-2</v>
      </c>
      <c r="AH759">
        <f>Q759/L759</f>
        <v>0.11362434752516173</v>
      </c>
      <c r="AI759" s="1">
        <f>R759</f>
        <v>54.4</v>
      </c>
      <c r="AJ759" s="1">
        <f>P759</f>
        <v>666785</v>
      </c>
    </row>
    <row r="760" spans="1:36" x14ac:dyDescent="0.25">
      <c r="A760" t="s">
        <v>126</v>
      </c>
      <c r="B760">
        <v>2020</v>
      </c>
      <c r="C760" s="1">
        <v>1876181</v>
      </c>
      <c r="D760" s="1">
        <v>200518</v>
      </c>
      <c r="E760" s="1">
        <v>46750</v>
      </c>
      <c r="G760" s="1">
        <v>2975527</v>
      </c>
      <c r="H760" s="1">
        <v>1344576</v>
      </c>
      <c r="I760" s="1">
        <v>596194</v>
      </c>
      <c r="J760" s="1">
        <v>1616790</v>
      </c>
      <c r="K760" s="1">
        <v>1185629</v>
      </c>
      <c r="L760" s="1">
        <v>904973</v>
      </c>
      <c r="M760" s="1">
        <v>21968</v>
      </c>
      <c r="N760" s="1">
        <v>1344297</v>
      </c>
      <c r="O760" s="1">
        <v>1358737</v>
      </c>
      <c r="P760" s="1">
        <v>689341</v>
      </c>
      <c r="Q760" s="1">
        <v>146909</v>
      </c>
      <c r="R760" s="1">
        <v>43</v>
      </c>
      <c r="T760">
        <f>E760/G760</f>
        <v>1.5711502533836862E-2</v>
      </c>
      <c r="U760">
        <f>D760/C760</f>
        <v>0.10687561594536987</v>
      </c>
      <c r="V760">
        <f>(E760-F760)/O760</f>
        <v>3.4406952927608508E-2</v>
      </c>
      <c r="W760">
        <f>H760/K760</f>
        <v>1.1340613294715294</v>
      </c>
      <c r="X760">
        <f>(H760-I760)/K760</f>
        <v>0.63121094372691622</v>
      </c>
      <c r="Y760">
        <f>(H760-K760)/G760</f>
        <v>5.3418100390283808E-2</v>
      </c>
      <c r="Z760">
        <f>J760/N760</f>
        <v>1.2027029741195585</v>
      </c>
      <c r="AA760">
        <f>J760/G760</f>
        <v>0.543362570731168</v>
      </c>
      <c r="AB760">
        <f>C760/G760</f>
        <v>0.63053738043714613</v>
      </c>
      <c r="AC760">
        <f>C760/(G760-K760)</f>
        <v>1.0482055402039669</v>
      </c>
      <c r="AD760">
        <f>Q760/E760</f>
        <v>3.1424385026737967</v>
      </c>
      <c r="AE760">
        <f>Q760/J760</f>
        <v>9.0864614452093345E-2</v>
      </c>
      <c r="AF760">
        <f>Q760/G760</f>
        <v>4.9372430497185878E-2</v>
      </c>
      <c r="AG760">
        <f>Q760/K760</f>
        <v>0.12390806905026783</v>
      </c>
      <c r="AH760">
        <f>Q760/L760</f>
        <v>0.16233522989083651</v>
      </c>
      <c r="AI760" s="1">
        <f>R760</f>
        <v>43</v>
      </c>
      <c r="AJ760" s="1">
        <f>P760</f>
        <v>689341</v>
      </c>
    </row>
    <row r="761" spans="1:36" x14ac:dyDescent="0.25">
      <c r="A761" t="s">
        <v>126</v>
      </c>
      <c r="B761">
        <v>2021</v>
      </c>
      <c r="C761" s="1">
        <v>1922928</v>
      </c>
      <c r="D761" s="1">
        <v>335172</v>
      </c>
      <c r="E761" s="1">
        <v>266031</v>
      </c>
      <c r="G761" s="1">
        <v>3122699</v>
      </c>
      <c r="H761" s="1">
        <v>1379633</v>
      </c>
      <c r="I761" s="1">
        <v>542713</v>
      </c>
      <c r="J761" s="1">
        <v>1292296</v>
      </c>
      <c r="K761" s="1">
        <v>974318</v>
      </c>
      <c r="L761" s="1">
        <v>677076</v>
      </c>
      <c r="M761" s="1">
        <v>8056</v>
      </c>
      <c r="N761" s="1">
        <v>1807755</v>
      </c>
      <c r="O761" s="1">
        <v>1830403</v>
      </c>
      <c r="P761" s="1">
        <v>932437</v>
      </c>
      <c r="Q761" s="1">
        <v>524294</v>
      </c>
      <c r="R761" s="1">
        <v>16.600000000000001</v>
      </c>
      <c r="T761">
        <f>E761/G761</f>
        <v>8.5192649051349489E-2</v>
      </c>
      <c r="U761">
        <f>D761/C761</f>
        <v>0.17430293801952024</v>
      </c>
      <c r="V761">
        <f>(E761-F761)/O761</f>
        <v>0.14534012455180634</v>
      </c>
      <c r="W761">
        <f>H761/K761</f>
        <v>1.4159986780496716</v>
      </c>
      <c r="X761">
        <f>(H761-I761)/K761</f>
        <v>0.85898033290978926</v>
      </c>
      <c r="Y761">
        <f>(H761-K761)/G761</f>
        <v>0.12979637166438393</v>
      </c>
      <c r="Z761">
        <f>J761/N761</f>
        <v>0.71486235690123934</v>
      </c>
      <c r="AA761">
        <f>J761/G761</f>
        <v>0.41383943825517605</v>
      </c>
      <c r="AB761">
        <f>C761/G761</f>
        <v>0.61579037877169718</v>
      </c>
      <c r="AC761">
        <f>C761/(G761-K761)</f>
        <v>0.89505911660920479</v>
      </c>
      <c r="AD761">
        <f>Q761/E761</f>
        <v>1.9708003954426363</v>
      </c>
      <c r="AE761">
        <f>Q761/J761</f>
        <v>0.40570736116183909</v>
      </c>
      <c r="AF761">
        <f>Q761/G761</f>
        <v>0.16789770643920532</v>
      </c>
      <c r="AG761">
        <f>Q761/K761</f>
        <v>0.53811383962936121</v>
      </c>
      <c r="AH761">
        <f>Q761/L761</f>
        <v>0.77435029450165127</v>
      </c>
      <c r="AI761" s="1">
        <f>R761</f>
        <v>16.600000000000001</v>
      </c>
      <c r="AJ761" s="1">
        <f>P761</f>
        <v>932437</v>
      </c>
    </row>
    <row r="762" spans="1:36" x14ac:dyDescent="0.25">
      <c r="A762" t="s">
        <v>126</v>
      </c>
      <c r="B762">
        <v>2022</v>
      </c>
      <c r="C762" s="1">
        <v>2663611</v>
      </c>
      <c r="D762" s="1">
        <v>534207</v>
      </c>
      <c r="E762" s="1">
        <v>383206</v>
      </c>
      <c r="G762" s="1">
        <v>3528291</v>
      </c>
      <c r="H762" s="1">
        <v>1849176</v>
      </c>
      <c r="I762" s="1">
        <v>898042</v>
      </c>
      <c r="J762" s="1">
        <v>1306475</v>
      </c>
      <c r="K762" s="1">
        <v>1012194</v>
      </c>
      <c r="L762" s="1">
        <v>497849</v>
      </c>
      <c r="M762" s="1">
        <v>2667</v>
      </c>
      <c r="N762" s="1">
        <v>2179235</v>
      </c>
      <c r="O762" s="1">
        <v>2221816</v>
      </c>
      <c r="P762" s="1">
        <v>1298336</v>
      </c>
      <c r="Q762" s="1">
        <v>267758</v>
      </c>
      <c r="R762" s="1">
        <v>15.7</v>
      </c>
      <c r="T762">
        <f>E762/G762</f>
        <v>0.10860952228713561</v>
      </c>
      <c r="U762">
        <f>D762/C762</f>
        <v>0.20055743875513354</v>
      </c>
      <c r="V762">
        <f>(E762-F762)/O762</f>
        <v>0.17247422828893122</v>
      </c>
      <c r="W762">
        <f>H762/K762</f>
        <v>1.8268987960805934</v>
      </c>
      <c r="X762">
        <f>(H762-I762)/K762</f>
        <v>0.93967559578499771</v>
      </c>
      <c r="Y762">
        <f>(H762-K762)/G762</f>
        <v>0.23722022928380906</v>
      </c>
      <c r="Z762">
        <f>J762/N762</f>
        <v>0.59951083751867051</v>
      </c>
      <c r="AA762">
        <f>J762/G762</f>
        <v>0.37028550082745443</v>
      </c>
      <c r="AB762">
        <f>C762/G762</f>
        <v>0.75492951119961482</v>
      </c>
      <c r="AC762">
        <f>C762/(G762-K762)</f>
        <v>1.0586281053552387</v>
      </c>
      <c r="AD762">
        <f>Q762/E762</f>
        <v>0.69873123072185717</v>
      </c>
      <c r="AE762">
        <f>Q762/J762</f>
        <v>0.20494689909871983</v>
      </c>
      <c r="AF762">
        <f>Q762/G762</f>
        <v>7.5888865175803247E-2</v>
      </c>
      <c r="AG762">
        <f>Q762/K762</f>
        <v>0.26453229321651778</v>
      </c>
      <c r="AH762">
        <f>Q762/L762</f>
        <v>0.53782974355678126</v>
      </c>
      <c r="AI762" s="1">
        <f>R762</f>
        <v>15.7</v>
      </c>
      <c r="AJ762" s="1">
        <f>P762</f>
        <v>1298336</v>
      </c>
    </row>
    <row r="763" spans="1:36" x14ac:dyDescent="0.25">
      <c r="A763" t="s">
        <v>126</v>
      </c>
      <c r="B763">
        <v>2023</v>
      </c>
      <c r="C763" s="1">
        <v>2631464</v>
      </c>
      <c r="D763" s="1">
        <v>494248</v>
      </c>
      <c r="E763" s="1">
        <v>219794</v>
      </c>
      <c r="G763" s="1">
        <v>3402950</v>
      </c>
      <c r="H763" s="1">
        <v>1706476</v>
      </c>
      <c r="I763" s="1">
        <v>1114943</v>
      </c>
      <c r="J763" s="1">
        <v>1045850</v>
      </c>
      <c r="K763" s="1">
        <v>614736</v>
      </c>
      <c r="L763" s="1">
        <v>277311</v>
      </c>
      <c r="M763" s="1">
        <v>0</v>
      </c>
      <c r="N763" s="1">
        <v>2291627</v>
      </c>
      <c r="O763" s="1">
        <v>2357100</v>
      </c>
      <c r="P763" s="1">
        <v>1504225</v>
      </c>
      <c r="Q763" s="1">
        <v>282529</v>
      </c>
      <c r="R763" s="1">
        <v>16.100000000000001</v>
      </c>
      <c r="T763">
        <f>E763/G763</f>
        <v>6.4589253441866612E-2</v>
      </c>
      <c r="U763">
        <f>D763/C763</f>
        <v>0.18782244408435761</v>
      </c>
      <c r="V763">
        <f>(E763-F763)/O763</f>
        <v>9.3247634805481316E-2</v>
      </c>
      <c r="W763">
        <f>H763/K763</f>
        <v>2.7759493506155488</v>
      </c>
      <c r="X763">
        <f>(H763-I763)/K763</f>
        <v>0.96225534213060571</v>
      </c>
      <c r="Y763">
        <f>(H763-K763)/G763</f>
        <v>0.32082164004760577</v>
      </c>
      <c r="Z763">
        <f>J763/N763</f>
        <v>0.45637880859319602</v>
      </c>
      <c r="AA763">
        <f>J763/G763</f>
        <v>0.30733628175553562</v>
      </c>
      <c r="AB763">
        <f>C763/G763</f>
        <v>0.77328905802318582</v>
      </c>
      <c r="AC763">
        <f>C763/(G763-K763)</f>
        <v>0.94378121621941502</v>
      </c>
      <c r="AD763">
        <f>Q763/E763</f>
        <v>1.2854263537676187</v>
      </c>
      <c r="AE763">
        <f>Q763/J763</f>
        <v>0.27014294592914856</v>
      </c>
      <c r="AF763">
        <f>Q763/G763</f>
        <v>8.3024728544351223E-2</v>
      </c>
      <c r="AG763">
        <f>Q763/K763</f>
        <v>0.45959403711511931</v>
      </c>
      <c r="AH763">
        <f>Q763/L763</f>
        <v>1.0188164191106737</v>
      </c>
      <c r="AI763" s="1">
        <f>R763</f>
        <v>16.100000000000001</v>
      </c>
      <c r="AJ763" s="1">
        <f>P763</f>
        <v>1504225</v>
      </c>
    </row>
    <row r="764" spans="1:36" s="8" customFormat="1" x14ac:dyDescent="0.25">
      <c r="A764" s="8" t="s">
        <v>126</v>
      </c>
      <c r="B764" s="8">
        <v>2024</v>
      </c>
      <c r="C764" s="9">
        <v>2489049</v>
      </c>
      <c r="D764" s="9">
        <v>354753</v>
      </c>
      <c r="E764" s="9">
        <v>239451</v>
      </c>
      <c r="F764" s="9"/>
      <c r="G764" s="9">
        <v>3674918</v>
      </c>
      <c r="H764" s="9">
        <v>1767354</v>
      </c>
      <c r="I764" s="9">
        <v>1104834</v>
      </c>
      <c r="J764" s="9">
        <v>880468</v>
      </c>
      <c r="K764" s="9">
        <v>367001</v>
      </c>
      <c r="L764" s="9">
        <v>0</v>
      </c>
      <c r="M764" s="9">
        <v>0</v>
      </c>
      <c r="N764" s="9">
        <v>2703687</v>
      </c>
      <c r="O764" s="9">
        <v>2794450</v>
      </c>
      <c r="P764" s="9">
        <v>1715395</v>
      </c>
      <c r="Q764" s="9">
        <v>426791</v>
      </c>
      <c r="R764" s="9">
        <v>23.5</v>
      </c>
      <c r="T764" s="8">
        <f>E764/G764</f>
        <v>6.5158188563663191E-2</v>
      </c>
      <c r="U764" s="8">
        <f>D764/C764</f>
        <v>0.14252551878247474</v>
      </c>
      <c r="V764" s="8">
        <f>(E764-F764)/O764</f>
        <v>8.5688060262305646E-2</v>
      </c>
      <c r="W764" s="8">
        <f>H764/K764</f>
        <v>4.815665352410484</v>
      </c>
      <c r="X764" s="8">
        <f>(H764-I764)/K764</f>
        <v>1.8052266887556165</v>
      </c>
      <c r="Y764" s="8">
        <f>(H764-K764)/G764</f>
        <v>0.3810569378690899</v>
      </c>
      <c r="Z764" s="8">
        <f>J764/N764</f>
        <v>0.32565455986584246</v>
      </c>
      <c r="AA764" s="8">
        <f>J764/G764</f>
        <v>0.23958847517141879</v>
      </c>
      <c r="AB764" s="8">
        <f>C764/G764</f>
        <v>0.67730735760634664</v>
      </c>
      <c r="AC764" s="8">
        <f>C764/(G764-K764)</f>
        <v>0.75245207180228524</v>
      </c>
      <c r="AD764" s="8">
        <f>Q764/E764</f>
        <v>1.7823730115973624</v>
      </c>
      <c r="AE764" s="8">
        <f>Q764/J764</f>
        <v>0.48473198344516782</v>
      </c>
      <c r="AF764" s="8">
        <f>Q764/G764</f>
        <v>0.11613619678044516</v>
      </c>
      <c r="AG764" s="8">
        <f>Q764/K764</f>
        <v>1.16291508742483</v>
      </c>
      <c r="AH764" s="8" t="e">
        <f>Q764/L764</f>
        <v>#DIV/0!</v>
      </c>
      <c r="AI764" s="9">
        <f>R764</f>
        <v>23.5</v>
      </c>
      <c r="AJ764" s="9">
        <f>P764</f>
        <v>1715395</v>
      </c>
    </row>
    <row r="765" spans="1:36" x14ac:dyDescent="0.25">
      <c r="A765" s="15" t="s">
        <v>123</v>
      </c>
      <c r="B765" s="15">
        <v>2018</v>
      </c>
      <c r="C765" s="6">
        <v>2317242.7760000001</v>
      </c>
      <c r="D765" s="6">
        <v>300569.02</v>
      </c>
      <c r="E765" s="6">
        <v>210580.52499999999</v>
      </c>
      <c r="F765" s="6"/>
      <c r="G765" s="6">
        <v>1250273.8899999999</v>
      </c>
      <c r="H765" s="6">
        <v>648296.72600000002</v>
      </c>
      <c r="I765" s="6">
        <v>153988.122</v>
      </c>
      <c r="J765" s="6">
        <v>461617.946</v>
      </c>
      <c r="K765" s="6">
        <v>388432.57400000002</v>
      </c>
      <c r="L765" s="6">
        <v>0</v>
      </c>
      <c r="M765" s="6">
        <v>0</v>
      </c>
      <c r="N765" s="6">
        <v>788655.94400000002</v>
      </c>
      <c r="O765" s="6">
        <v>788655.94400000002</v>
      </c>
      <c r="P765" s="6">
        <v>276825.33500000002</v>
      </c>
      <c r="Q765" s="6">
        <v>208455.71100000001</v>
      </c>
      <c r="R765" s="6">
        <v>200.7</v>
      </c>
      <c r="S765" s="15"/>
      <c r="T765" s="15">
        <f>E765/G765</f>
        <v>0.16842751551022153</v>
      </c>
      <c r="U765" s="15">
        <f>D765/C765</f>
        <v>0.12970976675945844</v>
      </c>
      <c r="V765" s="15">
        <f>(E765-F765)/O765</f>
        <v>0.26701190373580697</v>
      </c>
      <c r="W765" s="15">
        <f>H765/K765</f>
        <v>1.669007105464847</v>
      </c>
      <c r="X765" s="15">
        <f>(H765-I765)/K765</f>
        <v>1.2725724799794984</v>
      </c>
      <c r="Y765" s="15">
        <f>(H765-K765)/G765</f>
        <v>0.20784578009543175</v>
      </c>
      <c r="Z765" s="15">
        <f>J765/N765</f>
        <v>0.58532234431495012</v>
      </c>
      <c r="AA765" s="15">
        <f>J765/G765</f>
        <v>0.36921345770085628</v>
      </c>
      <c r="AB765" s="15">
        <f>C765/G765</f>
        <v>1.8533881212219829</v>
      </c>
      <c r="AC765" s="15">
        <f>C765/(G765-K765)</f>
        <v>2.6887116374912807</v>
      </c>
      <c r="AD765" s="15">
        <f>Q765/E765</f>
        <v>0.98990973168102803</v>
      </c>
      <c r="AE765" s="15">
        <f>Q765/J765</f>
        <v>0.4515762716902692</v>
      </c>
      <c r="AF765" s="15">
        <f>Q765/G765</f>
        <v>0.16672803668642558</v>
      </c>
      <c r="AG765" s="15">
        <f>Q765/K765</f>
        <v>0.53665867631379438</v>
      </c>
      <c r="AH765" s="15" t="e">
        <f>Q765/L765</f>
        <v>#DIV/0!</v>
      </c>
      <c r="AI765" s="6">
        <f>R765</f>
        <v>200.7</v>
      </c>
      <c r="AJ765" s="6">
        <f>P765</f>
        <v>276825.33500000002</v>
      </c>
    </row>
    <row r="766" spans="1:36" x14ac:dyDescent="0.25">
      <c r="A766" t="s">
        <v>123</v>
      </c>
      <c r="B766">
        <v>2019</v>
      </c>
      <c r="C766" s="1">
        <v>2545600.341</v>
      </c>
      <c r="D766" s="1">
        <v>205101.946</v>
      </c>
      <c r="E766" s="1">
        <v>155958.609</v>
      </c>
      <c r="G766" s="1">
        <v>1482640.746</v>
      </c>
      <c r="H766" s="1">
        <v>694918.63500000001</v>
      </c>
      <c r="I766" s="1">
        <v>165241.943</v>
      </c>
      <c r="J766" s="1">
        <v>536964.63800000004</v>
      </c>
      <c r="K766" s="1">
        <v>456882.98200000002</v>
      </c>
      <c r="L766" s="1">
        <v>0</v>
      </c>
      <c r="M766" s="1">
        <v>0</v>
      </c>
      <c r="N766" s="1">
        <v>945676.10800000001</v>
      </c>
      <c r="O766" s="1">
        <v>945676.10800000001</v>
      </c>
      <c r="P766" s="1">
        <v>432885.49900000001</v>
      </c>
      <c r="Q766" s="1">
        <v>95561.498000000007</v>
      </c>
      <c r="R766" s="1">
        <v>230</v>
      </c>
      <c r="T766">
        <f>E766/G766</f>
        <v>0.1051897497224186</v>
      </c>
      <c r="U766">
        <f>D766/C766</f>
        <v>8.0571149640649736E-2</v>
      </c>
      <c r="V766">
        <f>(E766-F766)/O766</f>
        <v>0.16491757344894242</v>
      </c>
      <c r="W766">
        <f>H766/K766</f>
        <v>1.5209991669157858</v>
      </c>
      <c r="X766">
        <f>(H766-I766)/K766</f>
        <v>1.1593268142344597</v>
      </c>
      <c r="Y766">
        <f>(H766-K766)/G766</f>
        <v>0.16054843605384092</v>
      </c>
      <c r="Z766">
        <f>J766/N766</f>
        <v>0.56781030360978524</v>
      </c>
      <c r="AA766">
        <f>J766/G766</f>
        <v>0.36216773311314354</v>
      </c>
      <c r="AB766">
        <f>C766/G766</f>
        <v>1.7169367210956172</v>
      </c>
      <c r="AC766">
        <f>C766/(G766-K766)</f>
        <v>2.4816778681482154</v>
      </c>
      <c r="AD766">
        <f>Q766/E766</f>
        <v>0.61273628056018381</v>
      </c>
      <c r="AE766">
        <f>Q766/J766</f>
        <v>0.17796609168889069</v>
      </c>
      <c r="AF766">
        <f>Q766/G766</f>
        <v>6.4453575997971399E-2</v>
      </c>
      <c r="AG766">
        <f>Q766/K766</f>
        <v>0.20915967931587351</v>
      </c>
      <c r="AH766" t="e">
        <f>Q766/L766</f>
        <v>#DIV/0!</v>
      </c>
      <c r="AI766" s="1">
        <f>R766</f>
        <v>230</v>
      </c>
      <c r="AJ766" s="1">
        <f>P766</f>
        <v>432885.49900000001</v>
      </c>
    </row>
    <row r="767" spans="1:36" x14ac:dyDescent="0.25">
      <c r="A767" t="s">
        <v>123</v>
      </c>
      <c r="B767">
        <v>2020</v>
      </c>
      <c r="C767" s="1">
        <v>2892690.4470000002</v>
      </c>
      <c r="D767" s="1">
        <v>225521.55900000001</v>
      </c>
      <c r="E767" s="1">
        <v>148558.45699999999</v>
      </c>
      <c r="G767" s="1">
        <v>2113046.9849999999</v>
      </c>
      <c r="H767" s="1">
        <v>757867.14800000004</v>
      </c>
      <c r="I767" s="1">
        <v>258310.283</v>
      </c>
      <c r="J767" s="1">
        <v>1018587.8689999999</v>
      </c>
      <c r="K767" s="1">
        <v>917648.25699999998</v>
      </c>
      <c r="L767" s="1">
        <v>248500</v>
      </c>
      <c r="M767" s="1">
        <v>0</v>
      </c>
      <c r="N767" s="1">
        <v>1094459.1159999999</v>
      </c>
      <c r="O767" s="1">
        <v>1094459.1159999999</v>
      </c>
      <c r="P767" s="1">
        <v>581164.50699999998</v>
      </c>
      <c r="Q767" s="1">
        <v>192957.38099999999</v>
      </c>
      <c r="R767" s="1">
        <v>178.6</v>
      </c>
      <c r="T767">
        <f>E767/G767</f>
        <v>7.030532593670652E-2</v>
      </c>
      <c r="U767">
        <f>D767/C767</f>
        <v>7.7962562234713942E-2</v>
      </c>
      <c r="V767">
        <f>(E767-F767)/O767</f>
        <v>0.13573687205690013</v>
      </c>
      <c r="W767">
        <f>H767/K767</f>
        <v>0.8258797880547819</v>
      </c>
      <c r="X767">
        <f>(H767-I767)/K767</f>
        <v>0.54438818053571481</v>
      </c>
      <c r="Y767">
        <f>(H767-K767)/G767</f>
        <v>-7.561644872747586E-2</v>
      </c>
      <c r="Z767">
        <f>J767/N767</f>
        <v>0.93067694727849481</v>
      </c>
      <c r="AA767">
        <f>J767/G767</f>
        <v>0.48204695694449973</v>
      </c>
      <c r="AB767">
        <f>C767/G767</f>
        <v>1.3689664581689367</v>
      </c>
      <c r="AC767">
        <f>C767/(G767-K767)</f>
        <v>2.4198540447167018</v>
      </c>
      <c r="AD767">
        <f>Q767/E767</f>
        <v>1.2988650050397332</v>
      </c>
      <c r="AE767">
        <f>Q767/J767</f>
        <v>0.18943616635591407</v>
      </c>
      <c r="AF767">
        <f>Q767/G767</f>
        <v>9.1317127527100403E-2</v>
      </c>
      <c r="AG767">
        <f>Q767/K767</f>
        <v>0.21027379448288974</v>
      </c>
      <c r="AH767">
        <f>Q767/L767</f>
        <v>0.77648845472837025</v>
      </c>
      <c r="AI767" s="1">
        <f>R767</f>
        <v>178.6</v>
      </c>
      <c r="AJ767" s="1">
        <f>P767</f>
        <v>581164.50699999998</v>
      </c>
    </row>
    <row r="768" spans="1:36" x14ac:dyDescent="0.25">
      <c r="A768" t="s">
        <v>123</v>
      </c>
      <c r="B768">
        <v>2021</v>
      </c>
      <c r="C768" s="1">
        <v>3269820.1170000001</v>
      </c>
      <c r="D768" s="1">
        <v>253895.81899999999</v>
      </c>
      <c r="E768" s="1">
        <v>190430.16399999999</v>
      </c>
      <c r="G768" s="1">
        <v>2723988.6749999998</v>
      </c>
      <c r="H768" s="1">
        <v>960898.02500000002</v>
      </c>
      <c r="I768" s="1">
        <v>382386.11800000002</v>
      </c>
      <c r="J768" s="1">
        <v>1315089.2</v>
      </c>
      <c r="K768" s="1">
        <v>1201646.726</v>
      </c>
      <c r="L768" s="1">
        <v>705000</v>
      </c>
      <c r="M768" s="1">
        <v>0</v>
      </c>
      <c r="N768" s="1">
        <v>1408899.4750000001</v>
      </c>
      <c r="O768" s="1">
        <v>1408899.4750000001</v>
      </c>
      <c r="P768" s="1">
        <v>767960.95600000001</v>
      </c>
      <c r="Q768" s="1">
        <v>25755.794999999998</v>
      </c>
      <c r="R768" s="1">
        <v>228</v>
      </c>
      <c r="T768">
        <f>E768/G768</f>
        <v>6.9908574050881467E-2</v>
      </c>
      <c r="U768">
        <f>D768/C768</f>
        <v>7.7648252783075036E-2</v>
      </c>
      <c r="V768">
        <f>(E768-F768)/O768</f>
        <v>0.13516235003210572</v>
      </c>
      <c r="W768">
        <f>H768/K768</f>
        <v>0.79965101573455288</v>
      </c>
      <c r="X768">
        <f>(H768-I768)/K768</f>
        <v>0.48143259951760564</v>
      </c>
      <c r="Y768">
        <f>(H768-K768)/G768</f>
        <v>-8.8380947839293067E-2</v>
      </c>
      <c r="Z768">
        <f>J768/N768</f>
        <v>0.93341592025222375</v>
      </c>
      <c r="AA768">
        <f>J768/G768</f>
        <v>0.48278071493817792</v>
      </c>
      <c r="AB768">
        <f>C768/G768</f>
        <v>1.200379482855229</v>
      </c>
      <c r="AC768">
        <f>C768/(G768-K768)</f>
        <v>2.1478880741267679</v>
      </c>
      <c r="AD768">
        <f>Q768/E768</f>
        <v>0.1352506055710796</v>
      </c>
      <c r="AE768">
        <f>Q768/J768</f>
        <v>1.9584827401821867E-2</v>
      </c>
      <c r="AF768">
        <f>Q768/G768</f>
        <v>9.4551769749923794E-3</v>
      </c>
      <c r="AG768">
        <f>Q768/K768</f>
        <v>2.1433749572750883E-2</v>
      </c>
      <c r="AH768">
        <f>Q768/L768</f>
        <v>3.6533042553191487E-2</v>
      </c>
      <c r="AI768" s="1">
        <f>R768</f>
        <v>228</v>
      </c>
      <c r="AJ768" s="1">
        <f>P768</f>
        <v>767960.95600000001</v>
      </c>
    </row>
    <row r="769" spans="1:36" x14ac:dyDescent="0.25">
      <c r="A769" t="s">
        <v>123</v>
      </c>
      <c r="B769">
        <v>2022</v>
      </c>
      <c r="C769" s="1">
        <v>4341314.2699999996</v>
      </c>
      <c r="D769" s="1">
        <v>410111.14600000001</v>
      </c>
      <c r="E769" s="1">
        <v>283280.13799999998</v>
      </c>
      <c r="G769" s="1">
        <v>3212877.841</v>
      </c>
      <c r="H769" s="1">
        <v>1306433.757</v>
      </c>
      <c r="I769" s="1">
        <v>550188.52</v>
      </c>
      <c r="J769" s="1">
        <v>1519079.794</v>
      </c>
      <c r="K769" s="1">
        <v>1381160.69</v>
      </c>
      <c r="L769" s="1">
        <v>685000</v>
      </c>
      <c r="M769" s="1">
        <v>0</v>
      </c>
      <c r="N769" s="1">
        <v>1693798.047</v>
      </c>
      <c r="O769" s="1">
        <v>1693798.047</v>
      </c>
      <c r="P769" s="1">
        <v>1060527.7180000001</v>
      </c>
      <c r="Q769" s="1">
        <v>396867.71799999999</v>
      </c>
      <c r="R769" s="1">
        <v>380.25</v>
      </c>
      <c r="T769">
        <f>E769/G769</f>
        <v>8.8170217486958594E-2</v>
      </c>
      <c r="U769">
        <f>D769/C769</f>
        <v>9.4467048569602877E-2</v>
      </c>
      <c r="V769">
        <f>(E769-F769)/O769</f>
        <v>0.16724552168526616</v>
      </c>
      <c r="W769">
        <f>H769/K769</f>
        <v>0.94589555470189357</v>
      </c>
      <c r="X769">
        <f>(H769-I769)/K769</f>
        <v>0.54754326739490389</v>
      </c>
      <c r="Y769">
        <f>(H769-K769)/G769</f>
        <v>-2.3258566524502967E-2</v>
      </c>
      <c r="Z769">
        <f>J769/N769</f>
        <v>0.89684823801193103</v>
      </c>
      <c r="AA769">
        <f>J769/G769</f>
        <v>0.47280969559900549</v>
      </c>
      <c r="AB769">
        <f>C769/G769</f>
        <v>1.351222948659877</v>
      </c>
      <c r="AC769">
        <f>C769/(G769-K769)</f>
        <v>2.3700789544007494</v>
      </c>
      <c r="AD769">
        <f>Q769/E769</f>
        <v>1.4009726230788551</v>
      </c>
      <c r="AE769">
        <f>Q769/J769</f>
        <v>0.26125534653777377</v>
      </c>
      <c r="AF769">
        <f>Q769/G769</f>
        <v>0.12352406087013751</v>
      </c>
      <c r="AG769">
        <f>Q769/K769</f>
        <v>0.28734362400655933</v>
      </c>
      <c r="AH769">
        <f>Q769/L769</f>
        <v>0.5793689313868613</v>
      </c>
      <c r="AI769" s="1">
        <f>R769</f>
        <v>380.25</v>
      </c>
      <c r="AJ769" s="1">
        <f>P769</f>
        <v>1060527.7180000001</v>
      </c>
    </row>
    <row r="770" spans="1:36" x14ac:dyDescent="0.25">
      <c r="A770" t="s">
        <v>123</v>
      </c>
      <c r="B770">
        <v>2023</v>
      </c>
      <c r="C770" s="1">
        <v>8470935</v>
      </c>
      <c r="D770" s="1">
        <v>1048766</v>
      </c>
      <c r="E770" s="1">
        <v>581938</v>
      </c>
      <c r="G770" s="1">
        <v>4074644</v>
      </c>
      <c r="H770" s="1">
        <v>1767725</v>
      </c>
      <c r="I770" s="1">
        <v>827472</v>
      </c>
      <c r="J770" s="1">
        <v>1880254</v>
      </c>
      <c r="K770" s="1">
        <v>1688673</v>
      </c>
      <c r="L770" s="1">
        <v>550009</v>
      </c>
      <c r="M770" s="1">
        <v>0</v>
      </c>
      <c r="N770" s="1">
        <v>2194390</v>
      </c>
      <c r="O770" s="1">
        <v>2194390</v>
      </c>
      <c r="P770" s="1">
        <v>1590359</v>
      </c>
      <c r="Q770" s="1">
        <v>784651</v>
      </c>
      <c r="R770" s="1">
        <v>386.25</v>
      </c>
      <c r="T770">
        <f>E770/G770</f>
        <v>0.1428193481442796</v>
      </c>
      <c r="U770">
        <f>D770/C770</f>
        <v>0.12380758440479121</v>
      </c>
      <c r="V770">
        <f>(E770-F770)/O770</f>
        <v>0.26519351619356635</v>
      </c>
      <c r="W770">
        <f>H770/K770</f>
        <v>1.0468130893310901</v>
      </c>
      <c r="X770">
        <f>(H770-I770)/K770</f>
        <v>0.55679992514832655</v>
      </c>
      <c r="Y770">
        <f>(H770-K770)/G770</f>
        <v>1.9400958709521618E-2</v>
      </c>
      <c r="Z770">
        <f>J770/N770</f>
        <v>0.85684586604933488</v>
      </c>
      <c r="AA770">
        <f>J770/G770</f>
        <v>0.46145233792203688</v>
      </c>
      <c r="AB770">
        <f>C770/G770</f>
        <v>2.0789386753787569</v>
      </c>
      <c r="AC770">
        <f>C770/(G770-K770)</f>
        <v>3.5503092870785102</v>
      </c>
      <c r="AD770">
        <f>Q770/E770</f>
        <v>1.3483412322274881</v>
      </c>
      <c r="AE770">
        <f>Q770/J770</f>
        <v>0.41731117178849242</v>
      </c>
      <c r="AF770">
        <f>Q770/G770</f>
        <v>0.19256921586278458</v>
      </c>
      <c r="AG770">
        <f>Q770/K770</f>
        <v>0.46465538325063527</v>
      </c>
      <c r="AH770">
        <f>Q770/L770</f>
        <v>1.4266148372117546</v>
      </c>
      <c r="AI770" s="1">
        <f>R770</f>
        <v>386.25</v>
      </c>
      <c r="AJ770" s="1">
        <f>P770</f>
        <v>1590359</v>
      </c>
    </row>
    <row r="771" spans="1:36" s="8" customFormat="1" x14ac:dyDescent="0.25">
      <c r="A771" s="8" t="s">
        <v>123</v>
      </c>
      <c r="B771" s="8">
        <v>2024</v>
      </c>
      <c r="C771" s="9">
        <v>9933567</v>
      </c>
      <c r="D771" s="9">
        <v>1002766</v>
      </c>
      <c r="E771" s="9">
        <v>644971</v>
      </c>
      <c r="F771" s="9"/>
      <c r="G771" s="9">
        <v>5077997</v>
      </c>
      <c r="H771" s="9">
        <v>2372709</v>
      </c>
      <c r="I771" s="9">
        <v>828048</v>
      </c>
      <c r="J771" s="9">
        <v>2083535</v>
      </c>
      <c r="K771" s="9">
        <v>1789606</v>
      </c>
      <c r="L771" s="9">
        <v>470000</v>
      </c>
      <c r="M771" s="9">
        <v>0</v>
      </c>
      <c r="N771" s="9">
        <v>2994462</v>
      </c>
      <c r="O771" s="9">
        <v>2994462</v>
      </c>
      <c r="P771" s="9">
        <v>2240777</v>
      </c>
      <c r="Q771" s="9">
        <v>766547</v>
      </c>
      <c r="R771" s="9">
        <v>426.25</v>
      </c>
      <c r="T771" s="8">
        <f>E771/G771</f>
        <v>0.12701287535223041</v>
      </c>
      <c r="U771" s="8">
        <f>D771/C771</f>
        <v>0.10094722268445967</v>
      </c>
      <c r="V771" s="8">
        <f>(E771-F771)/O771</f>
        <v>0.2153879394695942</v>
      </c>
      <c r="W771" s="8">
        <f>H771/K771</f>
        <v>1.3258275843956715</v>
      </c>
      <c r="X771" s="8">
        <f>(H771-I771)/K771</f>
        <v>0.86312909098427248</v>
      </c>
      <c r="Y771" s="8">
        <f>(H771-K771)/G771</f>
        <v>0.11482933132886845</v>
      </c>
      <c r="Z771" s="8">
        <f>J771/N771</f>
        <v>0.69579610627885746</v>
      </c>
      <c r="AA771" s="8">
        <f>J771/G771</f>
        <v>0.41030646532481213</v>
      </c>
      <c r="AB771" s="8">
        <f>C771/G771</f>
        <v>1.9561978866864238</v>
      </c>
      <c r="AC771" s="8">
        <f>C771/(G771-K771)</f>
        <v>3.0207986215751106</v>
      </c>
      <c r="AD771" s="8">
        <f>Q771/E771</f>
        <v>1.1884983976023729</v>
      </c>
      <c r="AE771" s="8">
        <f>Q771/J771</f>
        <v>0.3679069466075684</v>
      </c>
      <c r="AF771" s="8">
        <f>Q771/G771</f>
        <v>0.15095459883099577</v>
      </c>
      <c r="AG771" s="8">
        <f>Q771/K771</f>
        <v>0.42833282856673482</v>
      </c>
      <c r="AH771" s="8">
        <f>Q771/L771</f>
        <v>1.6309510638297873</v>
      </c>
      <c r="AI771" s="9">
        <f>R771</f>
        <v>426.25</v>
      </c>
      <c r="AJ771" s="9">
        <f>P771</f>
        <v>2240777</v>
      </c>
    </row>
    <row r="772" spans="1:36" x14ac:dyDescent="0.25">
      <c r="A772" s="15" t="s">
        <v>134</v>
      </c>
      <c r="B772" s="15">
        <v>2018</v>
      </c>
      <c r="C772" s="6">
        <v>18479195</v>
      </c>
      <c r="D772" s="6">
        <v>868341</v>
      </c>
      <c r="E772" s="6">
        <v>-477104</v>
      </c>
      <c r="F772" s="6"/>
      <c r="G772" s="6">
        <v>16563049</v>
      </c>
      <c r="H772" s="6">
        <v>8254873</v>
      </c>
      <c r="I772" s="6">
        <v>2026676</v>
      </c>
      <c r="J772" s="6">
        <v>12876571</v>
      </c>
      <c r="K772" s="6">
        <v>9791958</v>
      </c>
      <c r="L772" s="6">
        <v>7583518</v>
      </c>
      <c r="M772" s="6">
        <v>2607274</v>
      </c>
      <c r="N772" s="6">
        <v>1556820</v>
      </c>
      <c r="O772" s="6">
        <v>3686478</v>
      </c>
      <c r="P772" s="6">
        <v>608907</v>
      </c>
      <c r="Q772" s="6">
        <v>-151346</v>
      </c>
      <c r="R772" s="6">
        <v>37.299999999999997</v>
      </c>
      <c r="S772" s="15"/>
      <c r="T772" s="15">
        <f>E772/G772</f>
        <v>-2.8805324430302658E-2</v>
      </c>
      <c r="U772" s="15">
        <f>D772/C772</f>
        <v>4.6990196272077872E-2</v>
      </c>
      <c r="V772" s="15">
        <f>(E772-F772)/O772</f>
        <v>-0.12942000467655035</v>
      </c>
      <c r="W772" s="15">
        <f>H772/K772</f>
        <v>0.84302577686709845</v>
      </c>
      <c r="X772" s="15">
        <f>(H772-I772)/K772</f>
        <v>0.63605225839408219</v>
      </c>
      <c r="Y772" s="15">
        <f>(H772-K772)/G772</f>
        <v>-9.2802055949964282E-2</v>
      </c>
      <c r="Z772" s="15">
        <f>J772/N772</f>
        <v>8.271072442543133</v>
      </c>
      <c r="AA772" s="15">
        <f>J772/G772</f>
        <v>0.77742757387241923</v>
      </c>
      <c r="AB772" s="15">
        <f>C772/G772</f>
        <v>1.1156879992325084</v>
      </c>
      <c r="AC772" s="15">
        <f>C772/(G772-K772)</f>
        <v>2.7291310957126407</v>
      </c>
      <c r="AD772" s="15">
        <f>Q772/E772</f>
        <v>0.31721804889499983</v>
      </c>
      <c r="AE772" s="15">
        <f>Q772/J772</f>
        <v>-1.17535949594034E-2</v>
      </c>
      <c r="AF772" s="15">
        <f>Q772/G772</f>
        <v>-9.1375688135680814E-3</v>
      </c>
      <c r="AG772" s="15">
        <f>Q772/K772</f>
        <v>-1.5456152896080641E-2</v>
      </c>
      <c r="AH772" s="15">
        <f>Q772/L772</f>
        <v>-1.995722829430879E-2</v>
      </c>
      <c r="AI772" s="6">
        <f>R772</f>
        <v>37.299999999999997</v>
      </c>
      <c r="AJ772" s="6">
        <f>P772</f>
        <v>608907</v>
      </c>
    </row>
    <row r="773" spans="1:36" x14ac:dyDescent="0.25">
      <c r="A773" t="s">
        <v>134</v>
      </c>
      <c r="B773">
        <v>2019</v>
      </c>
      <c r="C773" s="1">
        <v>17659156</v>
      </c>
      <c r="D773" s="1">
        <v>589234</v>
      </c>
      <c r="E773" s="1">
        <v>-884280</v>
      </c>
      <c r="G773" s="1">
        <v>18573304</v>
      </c>
      <c r="H773" s="1">
        <v>7765060</v>
      </c>
      <c r="I773" s="1">
        <v>2374752</v>
      </c>
      <c r="J773" s="1">
        <v>13551229</v>
      </c>
      <c r="K773" s="1">
        <v>8736268</v>
      </c>
      <c r="L773" s="1">
        <v>7709517</v>
      </c>
      <c r="M773" s="1">
        <v>3964876</v>
      </c>
      <c r="N773" s="1">
        <v>2228715</v>
      </c>
      <c r="O773" s="1">
        <v>5022075</v>
      </c>
      <c r="P773" s="1">
        <v>-380822</v>
      </c>
      <c r="Q773" s="1">
        <v>-183813</v>
      </c>
      <c r="R773" s="1">
        <v>22</v>
      </c>
      <c r="T773">
        <f>E773/G773</f>
        <v>-4.7610269018371745E-2</v>
      </c>
      <c r="U773">
        <f>D773/C773</f>
        <v>3.3367053329162503E-2</v>
      </c>
      <c r="V773">
        <f>(E773-F773)/O773</f>
        <v>-0.17607861292394081</v>
      </c>
      <c r="W773">
        <f>H773/K773</f>
        <v>0.88883033350167373</v>
      </c>
      <c r="X773">
        <f>(H773-I773)/K773</f>
        <v>0.61700350767627554</v>
      </c>
      <c r="Y773">
        <f>(H773-K773)/G773</f>
        <v>-5.2290534845065802E-2</v>
      </c>
      <c r="Z773">
        <f>J773/N773</f>
        <v>6.0802879686276619</v>
      </c>
      <c r="AA773">
        <f>J773/G773</f>
        <v>0.72960788236707907</v>
      </c>
      <c r="AB773">
        <f>C773/G773</f>
        <v>0.95078161645337844</v>
      </c>
      <c r="AC773">
        <f>C773/(G773-K773)</f>
        <v>1.7951704151535077</v>
      </c>
      <c r="AD773">
        <f>Q773/E773</f>
        <v>0.20786741756004887</v>
      </c>
      <c r="AE773">
        <f>Q773/J773</f>
        <v>-1.3564304757893176E-2</v>
      </c>
      <c r="AF773">
        <f>Q773/G773</f>
        <v>-9.8966236701881361E-3</v>
      </c>
      <c r="AG773">
        <f>Q773/K773</f>
        <v>-2.1040219919993296E-2</v>
      </c>
      <c r="AH773">
        <f>Q773/L773</f>
        <v>-2.3842349656924031E-2</v>
      </c>
      <c r="AI773" s="1">
        <f>R773</f>
        <v>22</v>
      </c>
      <c r="AJ773" s="1">
        <f>P773</f>
        <v>-380822</v>
      </c>
    </row>
    <row r="774" spans="1:36" x14ac:dyDescent="0.25">
      <c r="A774" t="s">
        <v>134</v>
      </c>
      <c r="B774">
        <v>2020</v>
      </c>
      <c r="C774" s="1">
        <v>15423082</v>
      </c>
      <c r="D774" s="1">
        <v>29526</v>
      </c>
      <c r="E774" s="1">
        <v>-1025523</v>
      </c>
      <c r="G774" s="1">
        <v>18356491</v>
      </c>
      <c r="H774" s="1">
        <v>7462630</v>
      </c>
      <c r="I774" s="1">
        <v>2541327</v>
      </c>
      <c r="J774" s="1">
        <v>14422742</v>
      </c>
      <c r="K774" s="1">
        <v>9898973</v>
      </c>
      <c r="L774" s="1">
        <v>9046150</v>
      </c>
      <c r="M774" s="1">
        <v>3734864</v>
      </c>
      <c r="N774" s="1">
        <v>1336650</v>
      </c>
      <c r="O774" s="1">
        <v>3933749</v>
      </c>
      <c r="P774" s="1">
        <v>-1280004</v>
      </c>
      <c r="Q774" s="1">
        <v>-766962</v>
      </c>
      <c r="R774" s="1">
        <v>17.100000000000001</v>
      </c>
      <c r="T774">
        <f>E774/G774</f>
        <v>-5.5867049971587708E-2</v>
      </c>
      <c r="U774">
        <f>D774/C774</f>
        <v>1.9144033598472731E-3</v>
      </c>
      <c r="V774">
        <f>(E774-F774)/O774</f>
        <v>-0.26069863633902418</v>
      </c>
      <c r="W774">
        <f>H774/K774</f>
        <v>0.7538792155509465</v>
      </c>
      <c r="X774">
        <f>(H774-I774)/K774</f>
        <v>0.49715288646610106</v>
      </c>
      <c r="Y774">
        <f>(H774-K774)/G774</f>
        <v>-0.132723786915484</v>
      </c>
      <c r="Z774">
        <f>J774/N774</f>
        <v>10.79021583810272</v>
      </c>
      <c r="AA774">
        <f>J774/G774</f>
        <v>0.78570256156255569</v>
      </c>
      <c r="AB774">
        <f>C774/G774</f>
        <v>0.84019772624299494</v>
      </c>
      <c r="AC774">
        <f>C774/(G774-K774)</f>
        <v>1.8235943452913728</v>
      </c>
      <c r="AD774">
        <f>Q774/E774</f>
        <v>0.74787401160188505</v>
      </c>
      <c r="AE774">
        <f>Q774/J774</f>
        <v>-5.317726684703921E-2</v>
      </c>
      <c r="AF774">
        <f>Q774/G774</f>
        <v>-4.1781514778614276E-2</v>
      </c>
      <c r="AG774">
        <f>Q774/K774</f>
        <v>-7.7478946553344474E-2</v>
      </c>
      <c r="AH774">
        <f>Q774/L774</f>
        <v>-8.4783250333014593E-2</v>
      </c>
      <c r="AI774" s="1">
        <f>R774</f>
        <v>17.100000000000001</v>
      </c>
      <c r="AJ774" s="1">
        <f>P774</f>
        <v>-1280004</v>
      </c>
    </row>
    <row r="775" spans="1:36" x14ac:dyDescent="0.25">
      <c r="A775" t="s">
        <v>134</v>
      </c>
      <c r="B775">
        <v>2021</v>
      </c>
      <c r="C775" s="1">
        <v>17468490</v>
      </c>
      <c r="D775" s="1">
        <v>289222</v>
      </c>
      <c r="E775" s="1">
        <v>-1046120</v>
      </c>
      <c r="G775" s="1">
        <v>20168590</v>
      </c>
      <c r="H775" s="1">
        <v>9007059</v>
      </c>
      <c r="I775" s="1">
        <v>3405296</v>
      </c>
      <c r="J775" s="1">
        <v>16266994</v>
      </c>
      <c r="K775" s="1">
        <v>11243835</v>
      </c>
      <c r="L775" s="1">
        <v>9423787</v>
      </c>
      <c r="M775" s="1">
        <v>4127341</v>
      </c>
      <c r="N775" s="1">
        <v>1003056</v>
      </c>
      <c r="O775" s="1">
        <v>3901596</v>
      </c>
      <c r="P775" s="1">
        <v>-2254731</v>
      </c>
      <c r="Q775" s="1">
        <v>60688</v>
      </c>
      <c r="R775" s="1">
        <v>27.1</v>
      </c>
      <c r="T775">
        <f>E775/G775</f>
        <v>-5.1868772184867656E-2</v>
      </c>
      <c r="U775">
        <f>D775/C775</f>
        <v>1.6556783099168845E-2</v>
      </c>
      <c r="V775">
        <f>(E775-F775)/O775</f>
        <v>-0.26812617195629684</v>
      </c>
      <c r="W775">
        <f>H775/K775</f>
        <v>0.80106645108185948</v>
      </c>
      <c r="X775">
        <f>(H775-I775)/K775</f>
        <v>0.49820750660250707</v>
      </c>
      <c r="Y775">
        <f>(H775-K775)/G775</f>
        <v>-0.11090393527757766</v>
      </c>
      <c r="Z775">
        <f>J775/N775</f>
        <v>16.217433523153243</v>
      </c>
      <c r="AA775">
        <f>J775/G775</f>
        <v>0.80655087936241454</v>
      </c>
      <c r="AB775">
        <f>C775/G775</f>
        <v>0.86612351185680303</v>
      </c>
      <c r="AC775">
        <f>C775/(G775-K775)</f>
        <v>1.9573075115227252</v>
      </c>
      <c r="AD775">
        <f>Q775/E775</f>
        <v>-5.8012465109165294E-2</v>
      </c>
      <c r="AE775">
        <f>Q775/J775</f>
        <v>3.7307445985410703E-3</v>
      </c>
      <c r="AF775">
        <f>Q775/G775</f>
        <v>3.0090353366298782E-3</v>
      </c>
      <c r="AG775">
        <f>Q775/K775</f>
        <v>5.3974466896748305E-3</v>
      </c>
      <c r="AH775">
        <f>Q775/L775</f>
        <v>6.4398739063181287E-3</v>
      </c>
      <c r="AI775" s="1">
        <f>R775</f>
        <v>27.1</v>
      </c>
      <c r="AJ775" s="1">
        <f>P775</f>
        <v>-2254731</v>
      </c>
    </row>
    <row r="776" spans="1:36" x14ac:dyDescent="0.25">
      <c r="A776" t="s">
        <v>134</v>
      </c>
      <c r="B776">
        <v>2022</v>
      </c>
      <c r="C776" s="1">
        <v>21191341</v>
      </c>
      <c r="D776" s="1">
        <v>1305879</v>
      </c>
      <c r="E776" s="1">
        <v>-3549</v>
      </c>
      <c r="G776" s="1">
        <v>22570137</v>
      </c>
      <c r="H776" s="1">
        <v>10073282</v>
      </c>
      <c r="I776" s="1">
        <v>3743877</v>
      </c>
      <c r="J776" s="1">
        <v>17390856</v>
      </c>
      <c r="K776" s="1">
        <v>12747921</v>
      </c>
      <c r="L776" s="1">
        <v>10704057</v>
      </c>
      <c r="M776" s="1">
        <v>3770960</v>
      </c>
      <c r="N776" s="1">
        <v>1884496</v>
      </c>
      <c r="O776" s="1">
        <v>5179281</v>
      </c>
      <c r="P776" s="1">
        <v>-1670920</v>
      </c>
      <c r="Q776" s="1">
        <v>-228416</v>
      </c>
      <c r="R776" s="1">
        <v>28</v>
      </c>
      <c r="T776">
        <f>E776/G776</f>
        <v>-1.5724317490850852E-4</v>
      </c>
      <c r="U776">
        <f>D776/C776</f>
        <v>6.1623235641387678E-2</v>
      </c>
      <c r="V776">
        <f>(E776-F776)/O776</f>
        <v>-6.8523024720998924E-4</v>
      </c>
      <c r="W776">
        <f>H776/K776</f>
        <v>0.79019018081458148</v>
      </c>
      <c r="X776">
        <f>(H776-I776)/K776</f>
        <v>0.49650488107041141</v>
      </c>
      <c r="Y776">
        <f>(H776-K776)/G776</f>
        <v>-0.11850344550411901</v>
      </c>
      <c r="Z776">
        <f>J776/N776</f>
        <v>9.228385732843158</v>
      </c>
      <c r="AA776">
        <f>J776/G776</f>
        <v>0.77052505263924631</v>
      </c>
      <c r="AB776">
        <f>C776/G776</f>
        <v>0.93891060563788342</v>
      </c>
      <c r="AC776">
        <f>C776/(G776-K776)</f>
        <v>2.1574908350620676</v>
      </c>
      <c r="AD776">
        <f>Q776/E776</f>
        <v>64.360664976049591</v>
      </c>
      <c r="AE776">
        <f>Q776/J776</f>
        <v>-1.3134258601186739E-2</v>
      </c>
      <c r="AF776">
        <f>Q776/G776</f>
        <v>-1.0120275300056885E-2</v>
      </c>
      <c r="AG776">
        <f>Q776/K776</f>
        <v>-1.7917902064187564E-2</v>
      </c>
      <c r="AH776">
        <f>Q776/L776</f>
        <v>-2.1339198772951228E-2</v>
      </c>
      <c r="AI776" s="1">
        <f>R776</f>
        <v>28</v>
      </c>
      <c r="AJ776" s="1">
        <f>P776</f>
        <v>-1670920</v>
      </c>
    </row>
    <row r="777" spans="1:36" x14ac:dyDescent="0.25">
      <c r="A777" t="s">
        <v>134</v>
      </c>
      <c r="B777">
        <v>2023</v>
      </c>
      <c r="C777" s="1">
        <v>33754554</v>
      </c>
      <c r="D777" s="1">
        <v>5588327</v>
      </c>
      <c r="E777" s="1">
        <v>2335444</v>
      </c>
      <c r="G777" s="1">
        <v>26078689</v>
      </c>
      <c r="H777" s="1">
        <v>13940660</v>
      </c>
      <c r="I777" s="1">
        <v>5491770</v>
      </c>
      <c r="J777" s="1">
        <v>18768986</v>
      </c>
      <c r="K777" s="1">
        <v>12534915</v>
      </c>
      <c r="L777" s="1">
        <v>10746780</v>
      </c>
      <c r="M777" s="1">
        <v>4552726</v>
      </c>
      <c r="N777" s="1">
        <v>3518022</v>
      </c>
      <c r="O777" s="1">
        <v>7309703</v>
      </c>
      <c r="P777" s="1">
        <v>270659</v>
      </c>
      <c r="Q777" s="1">
        <v>-705594</v>
      </c>
      <c r="R777" s="1">
        <v>75.7</v>
      </c>
      <c r="T777">
        <f>E777/G777</f>
        <v>8.9553734852238928E-2</v>
      </c>
      <c r="U777">
        <f>D777/C777</f>
        <v>0.16555772000424002</v>
      </c>
      <c r="V777">
        <f>(E777-F777)/O777</f>
        <v>0.31949916432993242</v>
      </c>
      <c r="W777">
        <f>H777/K777</f>
        <v>1.1121463528073385</v>
      </c>
      <c r="X777">
        <f>(H777-I777)/K777</f>
        <v>0.67402850358378974</v>
      </c>
      <c r="Y777">
        <f>(H777-K777)/G777</f>
        <v>5.3903975004264977E-2</v>
      </c>
      <c r="Z777">
        <f>J777/N777</f>
        <v>5.3350962557937383</v>
      </c>
      <c r="AA777">
        <f>J777/G777</f>
        <v>0.71970588705590222</v>
      </c>
      <c r="AB777">
        <f>C777/G777</f>
        <v>1.2943347727333994</v>
      </c>
      <c r="AC777">
        <f>C777/(G777-K777)</f>
        <v>2.4922561466250102</v>
      </c>
      <c r="AD777">
        <f>Q777/E777</f>
        <v>-0.3021241357103831</v>
      </c>
      <c r="AE777">
        <f>Q777/J777</f>
        <v>-3.7593613208513232E-2</v>
      </c>
      <c r="AF777">
        <f>Q777/G777</f>
        <v>-2.7056344741869503E-2</v>
      </c>
      <c r="AG777">
        <f>Q777/K777</f>
        <v>-5.6290289962077925E-2</v>
      </c>
      <c r="AH777">
        <f>Q777/L777</f>
        <v>-6.5656317520224661E-2</v>
      </c>
      <c r="AI777" s="1">
        <f>R777</f>
        <v>75.7</v>
      </c>
      <c r="AJ777" s="1">
        <f>P777</f>
        <v>270659</v>
      </c>
    </row>
    <row r="778" spans="1:36" s="8" customFormat="1" x14ac:dyDescent="0.25">
      <c r="A778" s="8" t="s">
        <v>134</v>
      </c>
      <c r="B778" s="8">
        <v>2024</v>
      </c>
      <c r="C778" s="9">
        <v>33601738</v>
      </c>
      <c r="D778" s="9">
        <v>2047123</v>
      </c>
      <c r="E778" s="9">
        <v>-663418</v>
      </c>
      <c r="F778" s="9"/>
      <c r="G778" s="9">
        <v>29007367</v>
      </c>
      <c r="H778" s="9">
        <v>15085070</v>
      </c>
      <c r="I778" s="9">
        <v>5502332</v>
      </c>
      <c r="J778" s="9">
        <v>21920906</v>
      </c>
      <c r="K778" s="9">
        <v>15547460</v>
      </c>
      <c r="L778" s="9">
        <v>12320236</v>
      </c>
      <c r="M778" s="9">
        <v>4193908</v>
      </c>
      <c r="N778" s="9">
        <v>2533206</v>
      </c>
      <c r="O778" s="9">
        <v>7086461</v>
      </c>
      <c r="P778" s="9">
        <v>-1199092</v>
      </c>
      <c r="Q778" s="9">
        <v>-40274</v>
      </c>
      <c r="R778" s="9">
        <v>68</v>
      </c>
      <c r="T778" s="8">
        <f>E778/G778</f>
        <v>-2.2870672819080753E-2</v>
      </c>
      <c r="U778" s="8">
        <f>D778/C778</f>
        <v>6.0923128440558638E-2</v>
      </c>
      <c r="V778" s="8">
        <f>(E778-F778)/O778</f>
        <v>-9.3617674605137882E-2</v>
      </c>
      <c r="W778" s="8">
        <f>H778/K778</f>
        <v>0.97025945073986364</v>
      </c>
      <c r="X778" s="8">
        <f>(H778-I778)/K778</f>
        <v>0.61635392533571398</v>
      </c>
      <c r="Y778" s="8">
        <f>(H778-K778)/G778</f>
        <v>-1.5940433338882499E-2</v>
      </c>
      <c r="Z778" s="8">
        <f>J778/N778</f>
        <v>8.6534241589511467</v>
      </c>
      <c r="AA778" s="8">
        <f>J778/G778</f>
        <v>0.75570133614677959</v>
      </c>
      <c r="AB778" s="8">
        <f>C778/G778</f>
        <v>1.1583863506122427</v>
      </c>
      <c r="AC778" s="8">
        <f>C778/(G778-K778)</f>
        <v>2.4964316618235176</v>
      </c>
      <c r="AD778" s="8">
        <f>Q778/E778</f>
        <v>6.0706824355082317E-2</v>
      </c>
      <c r="AE778" s="8">
        <f>Q778/J778</f>
        <v>-1.837241581164574E-3</v>
      </c>
      <c r="AF778" s="8">
        <f>Q778/G778</f>
        <v>-1.3884059177104906E-3</v>
      </c>
      <c r="AG778" s="8">
        <f>Q778/K778</f>
        <v>-2.5903909706151357E-3</v>
      </c>
      <c r="AH778" s="8">
        <f>Q778/L778</f>
        <v>-3.2689308873628717E-3</v>
      </c>
      <c r="AI778" s="9">
        <f>R778</f>
        <v>68</v>
      </c>
      <c r="AJ778" s="9">
        <f>P778</f>
        <v>-1199092</v>
      </c>
    </row>
    <row r="779" spans="1:36" x14ac:dyDescent="0.25">
      <c r="A779" s="15" t="s">
        <v>135</v>
      </c>
      <c r="B779" s="15">
        <v>2018</v>
      </c>
      <c r="C779" s="6">
        <v>4731146</v>
      </c>
      <c r="D779" s="6">
        <v>761078</v>
      </c>
      <c r="E779" s="6">
        <v>525856</v>
      </c>
      <c r="F779" s="6"/>
      <c r="G779" s="6">
        <v>6058249</v>
      </c>
      <c r="H779" s="6">
        <v>1197344</v>
      </c>
      <c r="I779" s="6">
        <v>607221</v>
      </c>
      <c r="J779" s="6">
        <v>4729822</v>
      </c>
      <c r="K779" s="6">
        <v>2151463</v>
      </c>
      <c r="L779" s="6">
        <v>1357314</v>
      </c>
      <c r="M779" s="6">
        <v>1165460</v>
      </c>
      <c r="N779" s="6">
        <v>1031332</v>
      </c>
      <c r="O779" s="6">
        <v>1328427</v>
      </c>
      <c r="P779" s="6">
        <v>-527174</v>
      </c>
      <c r="Q779" s="6">
        <v>36316</v>
      </c>
      <c r="R779" s="6">
        <v>7.3</v>
      </c>
      <c r="S779" s="15"/>
      <c r="T779" s="15">
        <f>E779/G779</f>
        <v>8.6799997821152608E-2</v>
      </c>
      <c r="U779" s="15">
        <f>D779/C779</f>
        <v>0.16086546473095525</v>
      </c>
      <c r="V779" s="15">
        <f>(E779-F779)/O779</f>
        <v>0.39584862397406856</v>
      </c>
      <c r="W779" s="15">
        <f>H779/K779</f>
        <v>0.55652548986433881</v>
      </c>
      <c r="X779" s="15">
        <f>(H779-I779)/K779</f>
        <v>0.27428916974170597</v>
      </c>
      <c r="Y779" s="15">
        <f>(H779-K779)/G779</f>
        <v>-0.15749088556776059</v>
      </c>
      <c r="Z779" s="15">
        <f>J779/N779</f>
        <v>4.5861293938324419</v>
      </c>
      <c r="AA779" s="15">
        <f>J779/G779</f>
        <v>0.78072426537766937</v>
      </c>
      <c r="AB779" s="15">
        <f>C779/G779</f>
        <v>0.78094281037309621</v>
      </c>
      <c r="AC779" s="15">
        <f>C779/(G779-K779)</f>
        <v>1.2110072064351618</v>
      </c>
      <c r="AD779" s="15">
        <f>Q779/E779</f>
        <v>6.906073145499908E-2</v>
      </c>
      <c r="AE779" s="15">
        <f>Q779/J779</f>
        <v>7.6780902114286752E-3</v>
      </c>
      <c r="AF779" s="15">
        <f>Q779/G779</f>
        <v>5.9944713398211264E-3</v>
      </c>
      <c r="AG779" s="15">
        <f>Q779/K779</f>
        <v>1.6879676759488777E-2</v>
      </c>
      <c r="AH779" s="15">
        <f>Q779/L779</f>
        <v>2.6755783849573497E-2</v>
      </c>
      <c r="AI779" s="6">
        <f>R779</f>
        <v>7.3</v>
      </c>
      <c r="AJ779" s="6">
        <f>P779</f>
        <v>-527174</v>
      </c>
    </row>
    <row r="780" spans="1:36" x14ac:dyDescent="0.25">
      <c r="A780" t="s">
        <v>135</v>
      </c>
      <c r="B780">
        <v>2019</v>
      </c>
      <c r="C780" s="1">
        <v>4082833</v>
      </c>
      <c r="D780" s="1">
        <v>228905</v>
      </c>
      <c r="E780" s="1">
        <v>-60334</v>
      </c>
      <c r="G780" s="1">
        <v>6008582</v>
      </c>
      <c r="H780" s="1">
        <v>1019920</v>
      </c>
      <c r="I780" s="1">
        <v>506041</v>
      </c>
      <c r="J780" s="1">
        <v>4822398</v>
      </c>
      <c r="K780" s="1">
        <v>2357626</v>
      </c>
      <c r="L780" s="1">
        <v>1238937</v>
      </c>
      <c r="M780" s="1">
        <v>892729</v>
      </c>
      <c r="N780" s="1">
        <v>944820</v>
      </c>
      <c r="O780" s="1">
        <v>1186184</v>
      </c>
      <c r="P780" s="1">
        <v>-622216</v>
      </c>
      <c r="Q780" s="1">
        <v>91178</v>
      </c>
      <c r="R780" s="1">
        <v>3.4</v>
      </c>
      <c r="T780">
        <f>E780/G780</f>
        <v>-1.004130425448134E-2</v>
      </c>
      <c r="U780">
        <f>D780/C780</f>
        <v>5.6065237054760748E-2</v>
      </c>
      <c r="V780">
        <f>(E780-F780)/O780</f>
        <v>-5.0863946908742658E-2</v>
      </c>
      <c r="W780">
        <f>H780/K780</f>
        <v>0.43260466248675572</v>
      </c>
      <c r="X780">
        <f>(H780-I780)/K780</f>
        <v>0.21796459658995956</v>
      </c>
      <c r="Y780">
        <f>(H780-K780)/G780</f>
        <v>-0.22263256122659222</v>
      </c>
      <c r="Z780">
        <f>J780/N780</f>
        <v>5.1040388645456281</v>
      </c>
      <c r="AA780">
        <f>J780/G780</f>
        <v>0.80258503587036012</v>
      </c>
      <c r="AB780">
        <f>C780/G780</f>
        <v>0.67950025480221454</v>
      </c>
      <c r="AC780">
        <f>C780/(G780-K780)</f>
        <v>1.1182914831074382</v>
      </c>
      <c r="AD780">
        <f>Q780/E780</f>
        <v>-1.5112208704876189</v>
      </c>
      <c r="AE780">
        <f>Q780/J780</f>
        <v>1.8907190986724862E-2</v>
      </c>
      <c r="AF780">
        <f>Q780/G780</f>
        <v>1.5174628556288322E-2</v>
      </c>
      <c r="AG780">
        <f>Q780/K780</f>
        <v>3.8673648831494052E-2</v>
      </c>
      <c r="AH780">
        <f>Q780/L780</f>
        <v>7.3593733983245313E-2</v>
      </c>
      <c r="AI780" s="1">
        <f>R780</f>
        <v>3.4</v>
      </c>
      <c r="AJ780" s="1">
        <f>P780</f>
        <v>-622216</v>
      </c>
    </row>
    <row r="781" spans="1:36" x14ac:dyDescent="0.25">
      <c r="A781" t="s">
        <v>135</v>
      </c>
      <c r="B781">
        <v>2020</v>
      </c>
      <c r="C781" s="1">
        <v>3217870</v>
      </c>
      <c r="D781" s="1">
        <v>-913850</v>
      </c>
      <c r="E781" s="1">
        <v>-1232604</v>
      </c>
      <c r="G781" s="1">
        <v>5831109</v>
      </c>
      <c r="H781" s="1">
        <v>850167</v>
      </c>
      <c r="I781" s="1">
        <v>426707</v>
      </c>
      <c r="J781" s="1">
        <v>5992500</v>
      </c>
      <c r="K781" s="1">
        <v>3085571</v>
      </c>
      <c r="L781" s="1">
        <v>1576058</v>
      </c>
      <c r="M781" s="1">
        <v>1051016</v>
      </c>
      <c r="N781" s="1">
        <v>127455</v>
      </c>
      <c r="O781" s="1">
        <v>-161391</v>
      </c>
      <c r="P781" s="1">
        <v>-1374313</v>
      </c>
      <c r="Q781" s="1">
        <v>-191540</v>
      </c>
      <c r="R781" s="1">
        <v>1.5</v>
      </c>
      <c r="S781" s="14"/>
      <c r="T781">
        <f>E781/G781</f>
        <v>-0.21138414665203481</v>
      </c>
      <c r="U781">
        <f>D781/C781</f>
        <v>-0.28399220602448205</v>
      </c>
      <c r="V781">
        <f>(E781-F781)/O781</f>
        <v>7.637377548933955</v>
      </c>
      <c r="W781">
        <f>H781/K781</f>
        <v>0.27552987761422443</v>
      </c>
      <c r="X781">
        <f>(H781-I781)/K781</f>
        <v>0.13723878011557666</v>
      </c>
      <c r="Y781">
        <f>(H781-K781)/G781</f>
        <v>-0.38335829427987028</v>
      </c>
      <c r="Z781">
        <f>J781/N781</f>
        <v>47.016594092032484</v>
      </c>
      <c r="AA781">
        <f>J781/G781</f>
        <v>1.0276775824290028</v>
      </c>
      <c r="AB781">
        <f>C781/G781</f>
        <v>0.55184528363301044</v>
      </c>
      <c r="AC781">
        <f>C781/(G781-K781)</f>
        <v>1.1720362275080511</v>
      </c>
      <c r="AD781">
        <f>Q781/E781</f>
        <v>0.15539459550674831</v>
      </c>
      <c r="AE781">
        <f>Q781/J781</f>
        <v>-3.1963287442636629E-2</v>
      </c>
      <c r="AF781">
        <f>Q781/G781</f>
        <v>-3.2847953965532112E-2</v>
      </c>
      <c r="AG781">
        <f>Q781/K781</f>
        <v>-6.2076030660127415E-2</v>
      </c>
      <c r="AH781">
        <f>Q781/L781</f>
        <v>-0.12153106040513738</v>
      </c>
      <c r="AI781" s="1">
        <f>R781</f>
        <v>1.5</v>
      </c>
      <c r="AJ781" s="1">
        <f>P781</f>
        <v>-1374313</v>
      </c>
    </row>
    <row r="782" spans="1:36" x14ac:dyDescent="0.25">
      <c r="A782" t="s">
        <v>135</v>
      </c>
      <c r="B782">
        <v>2021</v>
      </c>
      <c r="C782" s="1">
        <v>4332235</v>
      </c>
      <c r="D782" s="1">
        <v>426618</v>
      </c>
      <c r="E782" s="1">
        <v>222907</v>
      </c>
      <c r="G782" s="1">
        <v>6649107</v>
      </c>
      <c r="H782" s="1">
        <v>1466387</v>
      </c>
      <c r="I782" s="1">
        <v>515934</v>
      </c>
      <c r="J782" s="1">
        <v>6512686</v>
      </c>
      <c r="K782" s="1">
        <v>3808401</v>
      </c>
      <c r="L782" s="1">
        <v>1222840</v>
      </c>
      <c r="M782" s="1">
        <v>862840</v>
      </c>
      <c r="N782" s="1">
        <v>260362</v>
      </c>
      <c r="O782" s="1">
        <v>136421</v>
      </c>
      <c r="P782" s="1">
        <v>-1214547</v>
      </c>
      <c r="Q782" s="1">
        <v>268281</v>
      </c>
      <c r="R782" s="1">
        <v>3.3</v>
      </c>
      <c r="T782">
        <f>E782/G782</f>
        <v>3.3524351465542668E-2</v>
      </c>
      <c r="U782">
        <f>D782/C782</f>
        <v>9.8475267385079529E-2</v>
      </c>
      <c r="V782">
        <f>(E782-F782)/O782</f>
        <v>1.6339639791527698</v>
      </c>
      <c r="W782">
        <f>H782/K782</f>
        <v>0.38504007324858913</v>
      </c>
      <c r="X782">
        <f>(H782-I782)/K782</f>
        <v>0.24956746939200994</v>
      </c>
      <c r="Y782">
        <f>(H782-K782)/G782</f>
        <v>-0.35222985582876015</v>
      </c>
      <c r="Z782">
        <f>J782/N782</f>
        <v>25.013965171568817</v>
      </c>
      <c r="AA782">
        <f>J782/G782</f>
        <v>0.97948280874409155</v>
      </c>
      <c r="AB782">
        <f>C782/G782</f>
        <v>0.65155140382009191</v>
      </c>
      <c r="AC782">
        <f>C782/(G782-K782)</f>
        <v>1.5250557431849687</v>
      </c>
      <c r="AD782">
        <f>Q782/E782</f>
        <v>1.2035557429780133</v>
      </c>
      <c r="AE782">
        <f>Q782/J782</f>
        <v>4.1193602762362565E-2</v>
      </c>
      <c r="AF782">
        <f>Q782/G782</f>
        <v>4.0348425735967253E-2</v>
      </c>
      <c r="AG782">
        <f>Q782/K782</f>
        <v>7.0444525143229408E-2</v>
      </c>
      <c r="AH782">
        <f>Q782/L782</f>
        <v>0.21939174380949267</v>
      </c>
      <c r="AI782" s="1">
        <f>R782</f>
        <v>3.3</v>
      </c>
      <c r="AJ782" s="1">
        <f>P782</f>
        <v>-1214547</v>
      </c>
    </row>
    <row r="783" spans="1:36" x14ac:dyDescent="0.25">
      <c r="A783" t="s">
        <v>135</v>
      </c>
      <c r="B783">
        <v>2022</v>
      </c>
      <c r="C783" s="1">
        <v>4535128</v>
      </c>
      <c r="D783" s="1">
        <v>304626</v>
      </c>
      <c r="E783" s="1">
        <v>34515</v>
      </c>
      <c r="G783" s="1">
        <v>6638959</v>
      </c>
      <c r="H783" s="1">
        <v>1408193</v>
      </c>
      <c r="I783" s="1">
        <v>473853</v>
      </c>
      <c r="J783" s="1">
        <v>5746380</v>
      </c>
      <c r="K783" s="1">
        <v>3521794</v>
      </c>
      <c r="L783" s="1">
        <v>1431319</v>
      </c>
      <c r="M783" s="1">
        <v>830593</v>
      </c>
      <c r="N783" s="1">
        <v>586529</v>
      </c>
      <c r="O783" s="1">
        <v>892579</v>
      </c>
      <c r="P783" s="1">
        <v>-868718</v>
      </c>
      <c r="Q783" s="1">
        <v>-256325</v>
      </c>
      <c r="R783" s="1">
        <v>3.3</v>
      </c>
      <c r="T783">
        <f>E783/G783</f>
        <v>5.1988572304784526E-3</v>
      </c>
      <c r="U783">
        <f>D783/C783</f>
        <v>6.7170320220289265E-2</v>
      </c>
      <c r="V783">
        <f>(E783-F783)/O783</f>
        <v>3.8668846118942973E-2</v>
      </c>
      <c r="W783">
        <f>H783/K783</f>
        <v>0.39985104182697795</v>
      </c>
      <c r="X783">
        <f>(H783-I783)/K783</f>
        <v>0.26530228627795949</v>
      </c>
      <c r="Y783">
        <f>(H783-K783)/G783</f>
        <v>-0.31836331569452381</v>
      </c>
      <c r="Z783">
        <f>J783/N783</f>
        <v>9.7972649263719269</v>
      </c>
      <c r="AA783">
        <f>J783/G783</f>
        <v>0.86555437381071343</v>
      </c>
      <c r="AB783">
        <f>C783/G783</f>
        <v>0.68310830056338656</v>
      </c>
      <c r="AC783">
        <f>C783/(G783-K783)</f>
        <v>1.4548886568404302</v>
      </c>
      <c r="AD783">
        <f>Q783/E783</f>
        <v>-7.4264812400405624</v>
      </c>
      <c r="AE783">
        <f>Q783/J783</f>
        <v>-4.4606343471890131E-2</v>
      </c>
      <c r="AF783">
        <f>Q783/G783</f>
        <v>-3.8609215691797462E-2</v>
      </c>
      <c r="AG783">
        <f>Q783/K783</f>
        <v>-7.2782508005862917E-2</v>
      </c>
      <c r="AH783">
        <f>Q783/L783</f>
        <v>-0.17908306953236838</v>
      </c>
      <c r="AI783" s="1">
        <f>R783</f>
        <v>3.3</v>
      </c>
      <c r="AJ783" s="1">
        <f>P783</f>
        <v>-868718</v>
      </c>
    </row>
    <row r="784" spans="1:36" x14ac:dyDescent="0.25">
      <c r="A784" t="s">
        <v>135</v>
      </c>
      <c r="B784">
        <v>2023</v>
      </c>
      <c r="C784" s="1">
        <v>8570559</v>
      </c>
      <c r="D784" s="1">
        <v>2646819</v>
      </c>
      <c r="E784" s="1">
        <v>1681228</v>
      </c>
      <c r="G784" s="1">
        <v>7375298</v>
      </c>
      <c r="H784" s="1">
        <v>1958461</v>
      </c>
      <c r="I784" s="1">
        <v>1151748</v>
      </c>
      <c r="J784" s="1">
        <v>5080950</v>
      </c>
      <c r="K784" s="1">
        <v>2471637</v>
      </c>
      <c r="L784" s="1">
        <v>1126989</v>
      </c>
      <c r="M784" s="1">
        <v>588880</v>
      </c>
      <c r="N784" s="1">
        <v>1520709</v>
      </c>
      <c r="O784" s="1">
        <v>2294348</v>
      </c>
      <c r="P784" s="1">
        <v>68364</v>
      </c>
      <c r="Q784" s="1">
        <v>413624</v>
      </c>
      <c r="R784" s="1">
        <v>25</v>
      </c>
      <c r="T784">
        <f>E784/G784</f>
        <v>0.22795390776074403</v>
      </c>
      <c r="U784">
        <f>D784/C784</f>
        <v>0.30882688048702539</v>
      </c>
      <c r="V784">
        <f>(E784-F784)/O784</f>
        <v>0.73276939679595254</v>
      </c>
      <c r="W784">
        <f>H784/K784</f>
        <v>0.79237404198108374</v>
      </c>
      <c r="X784">
        <f>(H784-I784)/K784</f>
        <v>0.32638813871130751</v>
      </c>
      <c r="Y784">
        <f>(H784-K784)/G784</f>
        <v>-6.9580374921799776E-2</v>
      </c>
      <c r="Z784">
        <f>J784/N784</f>
        <v>3.3411717823725642</v>
      </c>
      <c r="AA784">
        <f>J784/G784</f>
        <v>0.68891453606349196</v>
      </c>
      <c r="AB784">
        <f>C784/G784</f>
        <v>1.1620627397021788</v>
      </c>
      <c r="AC784">
        <f>C784/(G784-K784)</f>
        <v>1.7477878262791819</v>
      </c>
      <c r="AD784">
        <f>Q784/E784</f>
        <v>0.24602492939684564</v>
      </c>
      <c r="AE784">
        <f>Q784/J784</f>
        <v>8.1406823527096314E-2</v>
      </c>
      <c r="AF784">
        <f>Q784/G784</f>
        <v>5.6082344062572113E-2</v>
      </c>
      <c r="AG784">
        <f>Q784/K784</f>
        <v>0.16734819878485394</v>
      </c>
      <c r="AH784">
        <f>Q784/L784</f>
        <v>0.36701689191287579</v>
      </c>
      <c r="AI784" s="1">
        <f>R784</f>
        <v>25</v>
      </c>
      <c r="AJ784" s="1">
        <f>P784</f>
        <v>68364</v>
      </c>
    </row>
    <row r="785" spans="1:36" s="8" customFormat="1" x14ac:dyDescent="0.25">
      <c r="A785" s="8" t="s">
        <v>135</v>
      </c>
      <c r="B785" s="8">
        <v>2024</v>
      </c>
      <c r="C785" s="9">
        <v>7214937</v>
      </c>
      <c r="D785" s="9">
        <v>941770</v>
      </c>
      <c r="E785" s="9">
        <v>401171</v>
      </c>
      <c r="F785" s="9"/>
      <c r="G785" s="9">
        <v>8848463</v>
      </c>
      <c r="H785" s="9">
        <v>2972513</v>
      </c>
      <c r="I785" s="9">
        <v>922075</v>
      </c>
      <c r="J785" s="9">
        <v>5723056</v>
      </c>
      <c r="K785" s="9">
        <v>2707791</v>
      </c>
      <c r="L785" s="9">
        <v>979169</v>
      </c>
      <c r="M785" s="9">
        <v>262874</v>
      </c>
      <c r="N785" s="9">
        <v>1622405</v>
      </c>
      <c r="O785" s="9">
        <v>3125407</v>
      </c>
      <c r="P785" s="9">
        <v>169123</v>
      </c>
      <c r="Q785" s="9">
        <v>278144</v>
      </c>
      <c r="R785" s="9">
        <v>16.899999999999999</v>
      </c>
      <c r="T785" s="8">
        <f>E785/G785</f>
        <v>4.5337930440574818E-2</v>
      </c>
      <c r="U785" s="8">
        <f>D785/C785</f>
        <v>0.13053059229761813</v>
      </c>
      <c r="V785" s="8">
        <f>(E785-F785)/O785</f>
        <v>0.12835800265373437</v>
      </c>
      <c r="W785" s="8">
        <f>H785/K785</f>
        <v>1.0977630843739417</v>
      </c>
      <c r="X785" s="8">
        <f>(H785-I785)/K785</f>
        <v>0.75723643368339733</v>
      </c>
      <c r="Y785" s="8">
        <f>(H785-K785)/G785</f>
        <v>2.9917286199874486E-2</v>
      </c>
      <c r="Z785" s="8">
        <f>J785/N785</f>
        <v>3.5275137835497303</v>
      </c>
      <c r="AA785" s="8">
        <f>J785/G785</f>
        <v>0.64678532305554082</v>
      </c>
      <c r="AB785" s="8">
        <f>C785/G785</f>
        <v>0.81538872909340299</v>
      </c>
      <c r="AC785" s="8">
        <f>C785/(G785-K785)</f>
        <v>1.1749425795743527</v>
      </c>
      <c r="AD785" s="8">
        <f>Q785/E785</f>
        <v>0.69333027561812788</v>
      </c>
      <c r="AE785" s="8">
        <f>Q785/J785</f>
        <v>4.8600607787168251E-2</v>
      </c>
      <c r="AF785" s="8">
        <f>Q785/G785</f>
        <v>3.1434159808319255E-2</v>
      </c>
      <c r="AG785" s="8">
        <f>Q785/K785</f>
        <v>0.10271989234028771</v>
      </c>
      <c r="AH785" s="8">
        <f>Q785/L785</f>
        <v>0.28406128053482083</v>
      </c>
      <c r="AI785" s="9">
        <f>R785</f>
        <v>16.899999999999999</v>
      </c>
      <c r="AJ785" s="9">
        <f>P785</f>
        <v>169123</v>
      </c>
    </row>
    <row r="786" spans="1:36" x14ac:dyDescent="0.25">
      <c r="A786" s="15" t="s">
        <v>136</v>
      </c>
      <c r="B786" s="15">
        <v>2018</v>
      </c>
      <c r="C786" s="6">
        <v>21354621.221000001</v>
      </c>
      <c r="D786" s="6">
        <v>172861.731</v>
      </c>
      <c r="E786" s="6">
        <v>-1337199.1880000001</v>
      </c>
      <c r="F786" s="6">
        <v>0</v>
      </c>
      <c r="G786" s="6">
        <v>31290119.839000002</v>
      </c>
      <c r="H786" s="6">
        <v>9224835.4189999998</v>
      </c>
      <c r="I786" s="6">
        <v>1563783.872</v>
      </c>
      <c r="J786" s="6">
        <v>29326303.173</v>
      </c>
      <c r="K786" s="6">
        <v>12638032.200999999</v>
      </c>
      <c r="L786" s="6">
        <v>20944605.313999999</v>
      </c>
      <c r="M786" s="6">
        <v>13486082.991</v>
      </c>
      <c r="N786" s="6">
        <v>1577632.939</v>
      </c>
      <c r="O786" s="6">
        <v>1963816.666</v>
      </c>
      <c r="P786" s="6">
        <v>670056.62300000002</v>
      </c>
      <c r="Q786" s="6">
        <v>298810.027</v>
      </c>
      <c r="R786" s="6">
        <v>35.5</v>
      </c>
      <c r="S786" s="15"/>
      <c r="T786" s="15">
        <f>E786/G786</f>
        <v>-4.2735508680708703E-2</v>
      </c>
      <c r="U786" s="15">
        <f>D786/C786</f>
        <v>8.094816068664747E-3</v>
      </c>
      <c r="V786" s="15">
        <f>(E786-F786)/O786</f>
        <v>-0.68091854558077169</v>
      </c>
      <c r="W786" s="15">
        <f>H786/K786</f>
        <v>0.72992656390526311</v>
      </c>
      <c r="X786" s="15">
        <f>(H786-I786)/K786</f>
        <v>0.60619022211336115</v>
      </c>
      <c r="Y786" s="15">
        <f>(H786-K786)/G786</f>
        <v>-0.10908225342575363</v>
      </c>
      <c r="Z786" s="15">
        <f>J786/N786</f>
        <v>18.588799997792137</v>
      </c>
      <c r="AA786" s="15">
        <f>J786/G786</f>
        <v>0.93723844216306584</v>
      </c>
      <c r="AB786" s="15">
        <f>C786/G786</f>
        <v>0.68247169812317576</v>
      </c>
      <c r="AC786" s="15">
        <f>C786/(G786-K786)</f>
        <v>1.1448917480686778</v>
      </c>
      <c r="AD786" s="15">
        <f>Q786/E786</f>
        <v>-0.22345962342896666</v>
      </c>
      <c r="AE786" s="15">
        <f>Q786/J786</f>
        <v>1.0189147443415472E-2</v>
      </c>
      <c r="AF786" s="15">
        <f>Q786/G786</f>
        <v>9.5496606768365015E-3</v>
      </c>
      <c r="AG786" s="15">
        <f>Q786/K786</f>
        <v>2.3643714642249156E-2</v>
      </c>
      <c r="AH786" s="15">
        <f>Q786/L786</f>
        <v>1.4266682160884E-2</v>
      </c>
      <c r="AI786" s="6">
        <f>R786</f>
        <v>35.5</v>
      </c>
      <c r="AJ786" s="6">
        <f>P786</f>
        <v>670056.62300000002</v>
      </c>
    </row>
    <row r="787" spans="1:36" x14ac:dyDescent="0.25">
      <c r="A787" t="s">
        <v>136</v>
      </c>
      <c r="B787">
        <v>2019</v>
      </c>
      <c r="C787" s="1">
        <v>24919775.401000001</v>
      </c>
      <c r="D787" s="1">
        <v>510381.17</v>
      </c>
      <c r="E787" s="1">
        <v>-1297874.139</v>
      </c>
      <c r="F787" s="1">
        <v>0</v>
      </c>
      <c r="G787" s="1">
        <v>35396621.126000002</v>
      </c>
      <c r="H787" s="1">
        <v>7500398.5240000002</v>
      </c>
      <c r="I787" s="1">
        <v>1928211.01</v>
      </c>
      <c r="J787" s="1">
        <v>34242596.931000002</v>
      </c>
      <c r="K787" s="1">
        <v>16050845.074999999</v>
      </c>
      <c r="L787" s="1">
        <v>25596595.833999999</v>
      </c>
      <c r="M787" s="1">
        <v>15137416.981000001</v>
      </c>
      <c r="N787" s="1">
        <v>732371.43299999996</v>
      </c>
      <c r="O787" s="1">
        <v>1154024.1950000001</v>
      </c>
      <c r="P787" s="1">
        <v>-678041.38800000004</v>
      </c>
      <c r="Q787" s="1">
        <v>1620078.682</v>
      </c>
      <c r="R787" s="1">
        <v>16.8</v>
      </c>
      <c r="T787">
        <f>E787/G787</f>
        <v>-3.6666611041206644E-2</v>
      </c>
      <c r="U787">
        <f>D787/C787</f>
        <v>2.0480969903906878E-2</v>
      </c>
      <c r="V787">
        <f>(E787-F787)/O787</f>
        <v>-1.1246507175700939</v>
      </c>
      <c r="W787">
        <f>H787/K787</f>
        <v>0.46728994572891674</v>
      </c>
      <c r="X787">
        <f>(H787-I787)/K787</f>
        <v>0.34715851333453862</v>
      </c>
      <c r="Y787">
        <f>(H787-K787)/G787</f>
        <v>-0.24156109478820875</v>
      </c>
      <c r="Z787">
        <f>J787/N787</f>
        <v>46.755779087030561</v>
      </c>
      <c r="AA787">
        <f>J787/G787</f>
        <v>0.96739733459608857</v>
      </c>
      <c r="AB787">
        <f>C787/G787</f>
        <v>0.70401565483592421</v>
      </c>
      <c r="AC787">
        <f>C787/(G787-K787)</f>
        <v>1.2881248772499809</v>
      </c>
      <c r="AD787">
        <f>Q787/E787</f>
        <v>-1.2482556153312798</v>
      </c>
      <c r="AE787">
        <f>Q787/J787</f>
        <v>4.7311793707250464E-2</v>
      </c>
      <c r="AF787">
        <f>Q787/G787</f>
        <v>4.5769303127354097E-2</v>
      </c>
      <c r="AG787">
        <f>Q787/K787</f>
        <v>0.10093416729336914</v>
      </c>
      <c r="AH787">
        <f>Q787/L787</f>
        <v>6.3292739882545121E-2</v>
      </c>
      <c r="AI787" s="1">
        <f>R787</f>
        <v>16.8</v>
      </c>
      <c r="AJ787" s="1">
        <f>P787</f>
        <v>-678041.38800000004</v>
      </c>
    </row>
    <row r="788" spans="1:36" x14ac:dyDescent="0.25">
      <c r="A788" t="s">
        <v>136</v>
      </c>
      <c r="B788">
        <v>2020</v>
      </c>
      <c r="C788" s="1">
        <v>27202063.579999998</v>
      </c>
      <c r="D788" s="1">
        <v>286803.54200000002</v>
      </c>
      <c r="E788" s="1">
        <v>-1690368.9920000001</v>
      </c>
      <c r="F788" s="1">
        <v>0</v>
      </c>
      <c r="G788" s="1">
        <v>39716089.682999998</v>
      </c>
      <c r="H788" s="1">
        <v>6643219.6349999998</v>
      </c>
      <c r="I788" s="1">
        <v>1578108.058</v>
      </c>
      <c r="J788" s="1">
        <v>38927937.979999997</v>
      </c>
      <c r="K788" s="1">
        <v>21632016.638</v>
      </c>
      <c r="L788" s="1">
        <v>29810311.066</v>
      </c>
      <c r="M788" s="1">
        <v>14098980.497</v>
      </c>
      <c r="N788" s="1">
        <v>336693</v>
      </c>
      <c r="O788" s="1">
        <v>788151.70299999998</v>
      </c>
      <c r="P788" s="1">
        <v>-2335605.5060000001</v>
      </c>
      <c r="Q788" s="1">
        <v>-1159481.094</v>
      </c>
      <c r="R788" s="1">
        <v>9.1</v>
      </c>
      <c r="T788">
        <f>E788/G788</f>
        <v>-4.2561314708772613E-2</v>
      </c>
      <c r="U788">
        <f>D788/C788</f>
        <v>1.0543447968810314E-2</v>
      </c>
      <c r="V788">
        <f>(E788-F788)/O788</f>
        <v>-2.144725419694995</v>
      </c>
      <c r="W788">
        <f>H788/K788</f>
        <v>0.30710126319569075</v>
      </c>
      <c r="X788">
        <f>(H788-I788)/K788</f>
        <v>0.23414883881433152</v>
      </c>
      <c r="Y788">
        <f>(H788-K788)/G788</f>
        <v>-0.37739860904322053</v>
      </c>
      <c r="Z788">
        <f>J788/N788</f>
        <v>115.61849512760882</v>
      </c>
      <c r="AA788">
        <f>J788/G788</f>
        <v>0.98015535493824402</v>
      </c>
      <c r="AB788">
        <f>C788/G788</f>
        <v>0.68491293571742329</v>
      </c>
      <c r="AC788">
        <f>C788/(G788-K788)</f>
        <v>1.5042000500833523</v>
      </c>
      <c r="AD788">
        <f>Q788/E788</f>
        <v>0.68593372186041612</v>
      </c>
      <c r="AE788">
        <f>Q788/J788</f>
        <v>-2.9785320111116766E-2</v>
      </c>
      <c r="AF788">
        <f>Q788/G788</f>
        <v>-2.9194241005460871E-2</v>
      </c>
      <c r="AG788">
        <f>Q788/K788</f>
        <v>-5.3600231240724515E-2</v>
      </c>
      <c r="AH788">
        <f>Q788/L788</f>
        <v>-3.8895303421454072E-2</v>
      </c>
      <c r="AI788" s="1">
        <f>R788</f>
        <v>9.1</v>
      </c>
      <c r="AJ788" s="1">
        <f>P788</f>
        <v>-2335605.5060000001</v>
      </c>
    </row>
    <row r="789" spans="1:36" x14ac:dyDescent="0.25">
      <c r="A789" t="s">
        <v>136</v>
      </c>
      <c r="B789">
        <v>2021</v>
      </c>
      <c r="C789" s="1">
        <v>35533768.138999999</v>
      </c>
      <c r="D789" s="1">
        <v>1313421.7779999999</v>
      </c>
      <c r="E789" s="1">
        <v>-658286.26100000006</v>
      </c>
      <c r="F789" s="1">
        <v>0</v>
      </c>
      <c r="G789" s="1">
        <v>42046147.82</v>
      </c>
      <c r="H789" s="1">
        <v>8175501.6629999997</v>
      </c>
      <c r="I789" s="1">
        <v>2956237.2519999999</v>
      </c>
      <c r="J789" s="1">
        <v>41500510.674999997</v>
      </c>
      <c r="K789" s="1">
        <v>23825308.918000001</v>
      </c>
      <c r="L789" s="1">
        <v>31561610.563999999</v>
      </c>
      <c r="M789" s="1">
        <v>14614054.200999999</v>
      </c>
      <c r="N789" s="1">
        <v>66938.642000000007</v>
      </c>
      <c r="O789" s="1">
        <v>545637.14500000002</v>
      </c>
      <c r="P789" s="1">
        <v>-3191949.4040000001</v>
      </c>
      <c r="Q789" s="1">
        <v>1206579.3729999999</v>
      </c>
      <c r="R789" s="1">
        <v>21.7</v>
      </c>
      <c r="T789">
        <f>E789/G789</f>
        <v>-1.5656279947883225E-2</v>
      </c>
      <c r="U789">
        <f>D789/C789</f>
        <v>3.6962637141723709E-2</v>
      </c>
      <c r="V789">
        <f>(E789-F789)/O789</f>
        <v>-1.2064542654990984</v>
      </c>
      <c r="W789">
        <f>H789/K789</f>
        <v>0.34314357438712639</v>
      </c>
      <c r="X789">
        <f>(H789-I789)/K789</f>
        <v>0.21906387148906389</v>
      </c>
      <c r="Y789">
        <f>(H789-K789)/G789</f>
        <v>-0.37220549482908616</v>
      </c>
      <c r="Z789">
        <f>J789/N789</f>
        <v>619.9783777358374</v>
      </c>
      <c r="AA789">
        <f>J789/G789</f>
        <v>0.98702289809435384</v>
      </c>
      <c r="AB789">
        <f>C789/G789</f>
        <v>0.84511352362457637</v>
      </c>
      <c r="AC789">
        <f>C789/(G789-K789)</f>
        <v>1.9501719064702152</v>
      </c>
      <c r="AD789">
        <f>Q789/E789</f>
        <v>-1.8329098516610236</v>
      </c>
      <c r="AE789">
        <f>Q789/J789</f>
        <v>2.9073843993125754E-2</v>
      </c>
      <c r="AF789">
        <f>Q789/G789</f>
        <v>2.8696549756838101E-2</v>
      </c>
      <c r="AG789">
        <f>Q789/K789</f>
        <v>5.0642758805466322E-2</v>
      </c>
      <c r="AH789">
        <f>Q789/L789</f>
        <v>3.8229334670780581E-2</v>
      </c>
      <c r="AI789" s="1">
        <f>R789</f>
        <v>21.7</v>
      </c>
      <c r="AJ789" s="1">
        <f>P789</f>
        <v>-3191949.4040000001</v>
      </c>
    </row>
    <row r="790" spans="1:36" x14ac:dyDescent="0.25">
      <c r="A790" t="s">
        <v>136</v>
      </c>
      <c r="B790">
        <v>2022</v>
      </c>
      <c r="C790" s="1">
        <v>34596520.506999999</v>
      </c>
      <c r="D790" s="1">
        <v>-2276211.4389999998</v>
      </c>
      <c r="E790" s="1">
        <v>-3982472.9470000002</v>
      </c>
      <c r="F790" s="1">
        <v>0</v>
      </c>
      <c r="G790" s="1">
        <v>57702595.795000002</v>
      </c>
      <c r="H790" s="1">
        <v>6540287.9230000004</v>
      </c>
      <c r="I790" s="1">
        <v>1940663.584</v>
      </c>
      <c r="J790" s="1">
        <v>51513503.204999998</v>
      </c>
      <c r="K790" s="1">
        <v>30572403.622000001</v>
      </c>
      <c r="L790" s="1">
        <v>40168705.737000003</v>
      </c>
      <c r="M790" s="1">
        <v>16842373.116</v>
      </c>
      <c r="N790" s="1">
        <v>5615480.8770000003</v>
      </c>
      <c r="O790" s="1">
        <v>6189092.5899999999</v>
      </c>
      <c r="P790" s="1">
        <v>-7131204.8119999999</v>
      </c>
      <c r="Q790" s="1">
        <v>-1319198.4739999999</v>
      </c>
      <c r="R790" s="1">
        <v>18</v>
      </c>
      <c r="T790">
        <f>E790/G790</f>
        <v>-6.9017223439107156E-2</v>
      </c>
      <c r="U790">
        <f>D790/C790</f>
        <v>-6.579307414858232E-2</v>
      </c>
      <c r="V790">
        <f>(E790-F790)/O790</f>
        <v>-0.64346637073012347</v>
      </c>
      <c r="W790">
        <f>H790/K790</f>
        <v>0.21392782863476223</v>
      </c>
      <c r="X790">
        <f>(H790-I790)/K790</f>
        <v>0.1504502032574925</v>
      </c>
      <c r="Y790">
        <f>(H790-K790)/G790</f>
        <v>-0.41648240201149517</v>
      </c>
      <c r="Z790">
        <f>J790/N790</f>
        <v>9.1734803008572321</v>
      </c>
      <c r="AA790">
        <f>J790/G790</f>
        <v>0.89274152220139291</v>
      </c>
      <c r="AB790">
        <f>C790/G790</f>
        <v>0.59956610322889203</v>
      </c>
      <c r="AC790">
        <f>C790/(G790-K790)</f>
        <v>1.2752036655837071</v>
      </c>
      <c r="AD790">
        <f>Q790/E790</f>
        <v>0.33125108231902822</v>
      </c>
      <c r="AE790">
        <f>Q790/J790</f>
        <v>-2.5608789772075841E-2</v>
      </c>
      <c r="AF790">
        <f>Q790/G790</f>
        <v>-2.2862029962858448E-2</v>
      </c>
      <c r="AG790">
        <f>Q790/K790</f>
        <v>-4.3149975720283257E-2</v>
      </c>
      <c r="AH790">
        <f>Q790/L790</f>
        <v>-3.2841448331377684E-2</v>
      </c>
      <c r="AI790" s="1">
        <f>R790</f>
        <v>18</v>
      </c>
      <c r="AJ790" s="1">
        <f>P790</f>
        <v>-7131204.8119999999</v>
      </c>
    </row>
    <row r="791" spans="1:36" x14ac:dyDescent="0.25">
      <c r="A791" t="s">
        <v>136</v>
      </c>
      <c r="B791">
        <v>2023</v>
      </c>
      <c r="C791" s="1">
        <v>22526749.864</v>
      </c>
      <c r="D791" s="1">
        <v>4789262.926</v>
      </c>
      <c r="E791" s="1">
        <v>-1200714.8359999999</v>
      </c>
      <c r="F791" s="1">
        <v>0</v>
      </c>
      <c r="G791" s="1">
        <v>45703676.088</v>
      </c>
      <c r="H791" s="1">
        <v>6003268.1469999999</v>
      </c>
      <c r="I791" s="1">
        <v>2312319.3530000001</v>
      </c>
      <c r="J791" s="1">
        <v>41248650.693000004</v>
      </c>
      <c r="K791" s="1">
        <v>21862801.379999999</v>
      </c>
      <c r="L791" s="1">
        <v>33266835.993000001</v>
      </c>
      <c r="M791" s="1">
        <v>16224681.228</v>
      </c>
      <c r="N791" s="1">
        <v>3864574.5890000002</v>
      </c>
      <c r="O791" s="1">
        <v>4455025.3949999996</v>
      </c>
      <c r="P791" s="1">
        <v>-3184739.7370000002</v>
      </c>
      <c r="Q791" s="1">
        <v>-1406105.642</v>
      </c>
      <c r="R791" s="1">
        <v>18.600000000000001</v>
      </c>
      <c r="T791">
        <f>E791/G791</f>
        <v>-2.6271734328067776E-2</v>
      </c>
      <c r="U791">
        <f>D791/C791</f>
        <v>0.21260336954572046</v>
      </c>
      <c r="V791">
        <f>(E791-F791)/O791</f>
        <v>-0.26951919002472935</v>
      </c>
      <c r="W791">
        <f>H791/K791</f>
        <v>0.27458823975283264</v>
      </c>
      <c r="X791">
        <f>(H791-I791)/K791</f>
        <v>0.16882323220374057</v>
      </c>
      <c r="Y791">
        <f>(H791-K791)/G791</f>
        <v>-0.34700782498246552</v>
      </c>
      <c r="Z791">
        <f>J791/N791</f>
        <v>10.673529451445658</v>
      </c>
      <c r="AA791">
        <f>J791/G791</f>
        <v>0.90252369664046106</v>
      </c>
      <c r="AB791">
        <f>C791/G791</f>
        <v>0.49288704524830651</v>
      </c>
      <c r="AC791">
        <f>C791/(G791-K791)</f>
        <v>0.9448793360103086</v>
      </c>
      <c r="AD791">
        <f>Q791/E791</f>
        <v>1.1710571068516389</v>
      </c>
      <c r="AE791">
        <f>Q791/J791</f>
        <v>-3.4088524554783062E-2</v>
      </c>
      <c r="AF791">
        <f>Q791/G791</f>
        <v>-3.0765701194201935E-2</v>
      </c>
      <c r="AG791">
        <f>Q791/K791</f>
        <v>-6.4314980388848961E-2</v>
      </c>
      <c r="AH791">
        <f>Q791/L791</f>
        <v>-4.2267489529087536E-2</v>
      </c>
      <c r="AI791" s="1">
        <f>R791</f>
        <v>18.600000000000001</v>
      </c>
      <c r="AJ791" s="1">
        <f>P791</f>
        <v>-3184739.7370000002</v>
      </c>
    </row>
    <row r="792" spans="1:36" s="8" customFormat="1" x14ac:dyDescent="0.25">
      <c r="A792" s="8" t="s">
        <v>136</v>
      </c>
      <c r="B792" s="8">
        <v>2024</v>
      </c>
      <c r="C792" s="9">
        <v>31199516.960999999</v>
      </c>
      <c r="D792" s="9">
        <v>3216385.682</v>
      </c>
      <c r="E792" s="9">
        <v>-958758.70499999996</v>
      </c>
      <c r="F792" s="9">
        <v>0</v>
      </c>
      <c r="G792" s="9">
        <v>44907458.259000003</v>
      </c>
      <c r="H792" s="9">
        <v>8389590.7699999996</v>
      </c>
      <c r="I792" s="9">
        <v>2502610.4029999999</v>
      </c>
      <c r="J792" s="9">
        <v>41364121.588</v>
      </c>
      <c r="K792" s="9">
        <v>22840264.272999998</v>
      </c>
      <c r="L792" s="9">
        <v>31161263.638999999</v>
      </c>
      <c r="M792" s="9">
        <v>15075734.608999999</v>
      </c>
      <c r="N792" s="9">
        <v>2936044.1579999998</v>
      </c>
      <c r="O792" s="9">
        <v>3543336.6710000001</v>
      </c>
      <c r="P792" s="9">
        <v>-3524140.7409999999</v>
      </c>
      <c r="Q792" s="9">
        <v>537090.59299999999</v>
      </c>
      <c r="R792" s="9">
        <v>24.9</v>
      </c>
      <c r="T792" s="8">
        <f>E792/G792</f>
        <v>-2.1349654203772554E-2</v>
      </c>
      <c r="U792" s="8">
        <f>D792/C792</f>
        <v>0.10309088073448523</v>
      </c>
      <c r="V792" s="8">
        <f>(E792-F792)/O792</f>
        <v>-0.27058075312087665</v>
      </c>
      <c r="W792" s="8">
        <f>H792/K792</f>
        <v>0.36731583617959834</v>
      </c>
      <c r="X792" s="8">
        <f>(H792-I792)/K792</f>
        <v>0.25774572030495874</v>
      </c>
      <c r="Y792" s="8">
        <f>(H792-K792)/G792</f>
        <v>-0.32178782908747472</v>
      </c>
      <c r="Z792" s="8">
        <f>J792/N792</f>
        <v>14.088385379113907</v>
      </c>
      <c r="AA792" s="8">
        <f>J792/G792</f>
        <v>0.92109692224030792</v>
      </c>
      <c r="AB792" s="8">
        <f>C792/G792</f>
        <v>0.69475134355321111</v>
      </c>
      <c r="AC792" s="8">
        <f>C792/(G792-K792)</f>
        <v>1.413841604908797</v>
      </c>
      <c r="AD792" s="8">
        <f>Q792/E792</f>
        <v>-0.56019370692441328</v>
      </c>
      <c r="AE792" s="8">
        <f>Q792/J792</f>
        <v>1.2984455426120145E-2</v>
      </c>
      <c r="AF792" s="8">
        <f>Q792/G792</f>
        <v>1.1959941929965731E-2</v>
      </c>
      <c r="AG792" s="8">
        <f>Q792/K792</f>
        <v>2.3515077872146475E-2</v>
      </c>
      <c r="AH792" s="8">
        <f>Q792/L792</f>
        <v>1.7235841242580492E-2</v>
      </c>
      <c r="AI792" s="9">
        <f>R792</f>
        <v>24.9</v>
      </c>
      <c r="AJ792" s="9">
        <f>P792</f>
        <v>-3524140.7409999999</v>
      </c>
    </row>
    <row r="793" spans="1:36" x14ac:dyDescent="0.25">
      <c r="A793" t="s">
        <v>207</v>
      </c>
      <c r="B793">
        <v>2018</v>
      </c>
      <c r="C793" s="1">
        <v>7077000</v>
      </c>
      <c r="D793" s="1">
        <v>1122000</v>
      </c>
      <c r="E793" s="1">
        <v>870000</v>
      </c>
      <c r="G793" s="1">
        <v>8950000</v>
      </c>
      <c r="H793" s="1">
        <v>4150000</v>
      </c>
      <c r="I793" s="1">
        <v>369000</v>
      </c>
      <c r="J793" s="1">
        <v>2130000</v>
      </c>
      <c r="K793" s="1">
        <v>1302000</v>
      </c>
      <c r="L793" s="1">
        <v>332000</v>
      </c>
      <c r="M793" s="1">
        <v>0</v>
      </c>
      <c r="N793" s="1">
        <v>6820000</v>
      </c>
      <c r="O793" s="1">
        <v>6820000</v>
      </c>
      <c r="P793" s="1">
        <v>2754000</v>
      </c>
      <c r="Q793" s="1">
        <v>1164000</v>
      </c>
      <c r="R793" s="1">
        <v>42.6</v>
      </c>
      <c r="T793">
        <f>E793/G793</f>
        <v>9.720670391061452E-2</v>
      </c>
      <c r="U793">
        <f>D793/C793</f>
        <v>0.15854175498092413</v>
      </c>
      <c r="V793">
        <f>(E793-F793)/O793</f>
        <v>0.12756598240469208</v>
      </c>
      <c r="W793">
        <f>H793/K793</f>
        <v>3.1874039938556069</v>
      </c>
      <c r="X793">
        <f>(H793-I793)/K793</f>
        <v>2.903993855606759</v>
      </c>
      <c r="Y793">
        <f>(H793-K793)/G793</f>
        <v>0.31821229050279332</v>
      </c>
      <c r="Z793">
        <f>J793/N793</f>
        <v>0.31231671554252199</v>
      </c>
      <c r="AA793">
        <f>J793/G793</f>
        <v>0.23798882681564246</v>
      </c>
      <c r="AB793">
        <f>C793/G793</f>
        <v>0.79072625698324017</v>
      </c>
      <c r="AC793">
        <f>C793/(G793-K793)</f>
        <v>0.92533995815899583</v>
      </c>
      <c r="AD793">
        <f>Q793/E793</f>
        <v>1.3379310344827586</v>
      </c>
      <c r="AE793">
        <f>Q793/J793</f>
        <v>0.54647887323943667</v>
      </c>
      <c r="AF793">
        <f>Q793/G793</f>
        <v>0.13005586592178772</v>
      </c>
      <c r="AG793">
        <f>Q793/K793</f>
        <v>0.89400921658986177</v>
      </c>
      <c r="AH793">
        <f>Q793/L793</f>
        <v>3.5060240963855422</v>
      </c>
      <c r="AI793" s="1">
        <f>R793</f>
        <v>42.6</v>
      </c>
      <c r="AJ793" s="1">
        <f>P793</f>
        <v>2754000</v>
      </c>
    </row>
    <row r="794" spans="1:36" x14ac:dyDescent="0.25">
      <c r="A794" t="s">
        <v>207</v>
      </c>
      <c r="B794">
        <v>2019</v>
      </c>
      <c r="C794" s="1">
        <v>7549000</v>
      </c>
      <c r="D794" s="1">
        <v>841000</v>
      </c>
      <c r="E794" s="1">
        <v>581000</v>
      </c>
      <c r="G794" s="1">
        <v>9427000</v>
      </c>
      <c r="H794" s="1">
        <v>4338000</v>
      </c>
      <c r="I794" s="1">
        <v>413000</v>
      </c>
      <c r="J794" s="1">
        <v>2495000</v>
      </c>
      <c r="K794" s="1">
        <v>1150000</v>
      </c>
      <c r="L794" s="1">
        <v>262000</v>
      </c>
      <c r="M794" s="1">
        <v>0</v>
      </c>
      <c r="N794" s="1">
        <v>6932000</v>
      </c>
      <c r="O794" s="1">
        <v>6932000</v>
      </c>
      <c r="P794" s="1">
        <v>2975000</v>
      </c>
      <c r="Q794" s="1">
        <v>596000</v>
      </c>
      <c r="R794" s="1">
        <v>40.700000000000003</v>
      </c>
      <c r="T794">
        <f>E794/G794</f>
        <v>6.1631484035217989E-2</v>
      </c>
      <c r="U794">
        <f>D794/C794</f>
        <v>0.11140548417008875</v>
      </c>
      <c r="V794">
        <f>(E794-F794)/O794</f>
        <v>8.3814195037507214E-2</v>
      </c>
      <c r="W794">
        <f>H794/K794</f>
        <v>3.7721739130434782</v>
      </c>
      <c r="X794">
        <f>(H794-I794)/K794</f>
        <v>3.4130434782608696</v>
      </c>
      <c r="Y794">
        <f>(H794-K794)/G794</f>
        <v>0.3381775750503872</v>
      </c>
      <c r="Z794">
        <f>J794/N794</f>
        <v>0.35992498557414887</v>
      </c>
      <c r="AA794">
        <f>J794/G794</f>
        <v>0.26466532300838019</v>
      </c>
      <c r="AB794">
        <f>C794/G794</f>
        <v>0.80078497931473425</v>
      </c>
      <c r="AC794">
        <f>C794/(G794-K794)</f>
        <v>0.9120454270871089</v>
      </c>
      <c r="AD794">
        <f>Q794/E794</f>
        <v>1.0258175559380378</v>
      </c>
      <c r="AE794">
        <f>Q794/J794</f>
        <v>0.23887775551102206</v>
      </c>
      <c r="AF794">
        <f>Q794/G794</f>
        <v>6.3222658321841513E-2</v>
      </c>
      <c r="AG794">
        <f>Q794/K794</f>
        <v>0.51826086956521744</v>
      </c>
      <c r="AH794">
        <f>Q794/L794</f>
        <v>2.2748091603053435</v>
      </c>
      <c r="AI794" s="1">
        <f>R794</f>
        <v>40.700000000000003</v>
      </c>
      <c r="AJ794" s="1">
        <f>P794</f>
        <v>2975000</v>
      </c>
    </row>
    <row r="795" spans="1:36" x14ac:dyDescent="0.25">
      <c r="A795" t="s">
        <v>207</v>
      </c>
      <c r="B795">
        <v>2020</v>
      </c>
      <c r="C795" s="1">
        <v>6804000</v>
      </c>
      <c r="D795" s="1">
        <v>410000</v>
      </c>
      <c r="E795" s="1">
        <v>385000</v>
      </c>
      <c r="G795" s="1">
        <v>9882000</v>
      </c>
      <c r="H795" s="1">
        <v>4517000</v>
      </c>
      <c r="I795" s="1">
        <v>439000</v>
      </c>
      <c r="J795" s="1">
        <v>2798000</v>
      </c>
      <c r="K795" s="1">
        <v>1166000</v>
      </c>
      <c r="L795" s="1">
        <v>256000</v>
      </c>
      <c r="M795" s="1">
        <v>0</v>
      </c>
      <c r="N795" s="1">
        <v>7084000</v>
      </c>
      <c r="O795" s="1">
        <v>7084000</v>
      </c>
      <c r="P795" s="1">
        <v>3405000</v>
      </c>
      <c r="Q795" s="1">
        <v>866000</v>
      </c>
      <c r="R795" s="1">
        <v>53.4</v>
      </c>
      <c r="T795">
        <f>E795/G795</f>
        <v>3.895972475207448E-2</v>
      </c>
      <c r="U795">
        <f>D795/C795</f>
        <v>6.0258671369782482E-2</v>
      </c>
      <c r="V795">
        <f>(E795-F795)/O795</f>
        <v>5.434782608695652E-2</v>
      </c>
      <c r="W795">
        <f>H795/K795</f>
        <v>3.8739279588336193</v>
      </c>
      <c r="X795">
        <f>(H795-I795)/K795</f>
        <v>3.4974271012006861</v>
      </c>
      <c r="Y795">
        <f>(H795-K795)/G795</f>
        <v>0.33910139647844567</v>
      </c>
      <c r="Z795">
        <f>J795/N795</f>
        <v>0.39497459062676454</v>
      </c>
      <c r="AA795">
        <f>J795/G795</f>
        <v>0.28314106456182958</v>
      </c>
      <c r="AB795">
        <f>C795/G795</f>
        <v>0.68852459016393441</v>
      </c>
      <c r="AC795">
        <f>C795/(G795-K795)</f>
        <v>0.78063331803579628</v>
      </c>
      <c r="AD795">
        <f>Q795/E795</f>
        <v>2.2493506493506494</v>
      </c>
      <c r="AE795">
        <f>Q795/J795</f>
        <v>0.30950679056468905</v>
      </c>
      <c r="AF795">
        <f>Q795/G795</f>
        <v>8.7634082169601293E-2</v>
      </c>
      <c r="AG795">
        <f>Q795/K795</f>
        <v>0.74271012006861059</v>
      </c>
      <c r="AH795">
        <f>Q795/L795</f>
        <v>3.3828125</v>
      </c>
      <c r="AI795" s="1">
        <f>R795</f>
        <v>53.4</v>
      </c>
      <c r="AJ795" s="1">
        <f>P795</f>
        <v>3405000</v>
      </c>
    </row>
    <row r="796" spans="1:36" x14ac:dyDescent="0.25">
      <c r="A796" t="s">
        <v>207</v>
      </c>
      <c r="B796">
        <v>2021</v>
      </c>
      <c r="C796" s="1">
        <v>10034000</v>
      </c>
      <c r="D796" s="1">
        <v>2233000</v>
      </c>
      <c r="E796" s="1">
        <v>2212000</v>
      </c>
      <c r="G796" s="1">
        <v>12000000</v>
      </c>
      <c r="H796" s="1">
        <v>6693000</v>
      </c>
      <c r="I796" s="1">
        <v>455000</v>
      </c>
      <c r="J796" s="1">
        <v>2713000</v>
      </c>
      <c r="K796" s="1">
        <v>1734000</v>
      </c>
      <c r="L796" s="1">
        <v>482000</v>
      </c>
      <c r="M796" s="1">
        <v>0</v>
      </c>
      <c r="N796" s="1">
        <v>9287000</v>
      </c>
      <c r="O796" s="1">
        <v>9287000</v>
      </c>
      <c r="P796" s="1">
        <v>5317000</v>
      </c>
      <c r="Q796" s="1">
        <v>2134000</v>
      </c>
      <c r="R796" s="1">
        <v>54.9</v>
      </c>
      <c r="T796">
        <f>E796/G796</f>
        <v>0.18433333333333332</v>
      </c>
      <c r="U796">
        <f>D796/C796</f>
        <v>0.22254335260115607</v>
      </c>
      <c r="V796">
        <f>(E796-F796)/O796</f>
        <v>0.23818240551308281</v>
      </c>
      <c r="W796">
        <f>H796/K796</f>
        <v>3.8598615916955019</v>
      </c>
      <c r="X796">
        <f>(H796-I796)/K796</f>
        <v>3.5974625144175318</v>
      </c>
      <c r="Y796">
        <f>(H796-K796)/G796</f>
        <v>0.41325000000000001</v>
      </c>
      <c r="Z796">
        <f>J796/N796</f>
        <v>0.29212878216862281</v>
      </c>
      <c r="AA796">
        <f>J796/G796</f>
        <v>0.22608333333333333</v>
      </c>
      <c r="AB796">
        <f>C796/G796</f>
        <v>0.83616666666666661</v>
      </c>
      <c r="AC796">
        <f>C796/(G796-K796)</f>
        <v>0.97740112994350281</v>
      </c>
      <c r="AD796">
        <f>Q796/E796</f>
        <v>0.96473779385171787</v>
      </c>
      <c r="AE796">
        <f>Q796/J796</f>
        <v>0.7865831183192038</v>
      </c>
      <c r="AF796">
        <f>Q796/G796</f>
        <v>0.17783333333333334</v>
      </c>
      <c r="AG796">
        <f>Q796/K796</f>
        <v>1.2306805074971165</v>
      </c>
      <c r="AH796">
        <f>Q796/L796</f>
        <v>4.4273858921161828</v>
      </c>
      <c r="AI796" s="1">
        <f>R796</f>
        <v>54.9</v>
      </c>
      <c r="AJ796" s="1">
        <f>P796</f>
        <v>5317000</v>
      </c>
    </row>
    <row r="797" spans="1:36" x14ac:dyDescent="0.25">
      <c r="A797" t="s">
        <v>207</v>
      </c>
      <c r="B797">
        <v>2022</v>
      </c>
      <c r="C797" s="1">
        <v>10698000</v>
      </c>
      <c r="D797" s="1">
        <v>4061000</v>
      </c>
      <c r="E797" s="1">
        <v>3247000</v>
      </c>
      <c r="G797" s="1">
        <v>15334000</v>
      </c>
      <c r="H797" s="1">
        <v>9631000</v>
      </c>
      <c r="I797" s="1">
        <v>980000</v>
      </c>
      <c r="J797" s="1">
        <v>2681000</v>
      </c>
      <c r="K797" s="1">
        <v>1735000</v>
      </c>
      <c r="L797" s="1">
        <v>528000</v>
      </c>
      <c r="M797" s="1">
        <v>0</v>
      </c>
      <c r="N797" s="1">
        <v>12653000</v>
      </c>
      <c r="O797" s="1">
        <v>12653000</v>
      </c>
      <c r="P797" s="1">
        <v>7948000</v>
      </c>
      <c r="Q797" s="1">
        <v>804000</v>
      </c>
      <c r="R797" s="1">
        <v>95.8</v>
      </c>
      <c r="T797">
        <f>E797/G797</f>
        <v>0.21175166297117518</v>
      </c>
      <c r="U797">
        <f>D797/C797</f>
        <v>0.37960366423630587</v>
      </c>
      <c r="V797">
        <f>(E797-F797)/O797</f>
        <v>0.25661898364024344</v>
      </c>
      <c r="W797">
        <f>H797/K797</f>
        <v>5.5510086455331411</v>
      </c>
      <c r="X797">
        <f>(H797-I797)/K797</f>
        <v>4.9861671469740632</v>
      </c>
      <c r="Y797">
        <f>(H797-K797)/G797</f>
        <v>0.5149341332985522</v>
      </c>
      <c r="Z797">
        <f>J797/N797</f>
        <v>0.21188650912826998</v>
      </c>
      <c r="AA797">
        <f>J797/G797</f>
        <v>0.17484022433807225</v>
      </c>
      <c r="AB797">
        <f>C797/G797</f>
        <v>0.69766531889917827</v>
      </c>
      <c r="AC797">
        <f>C797/(G797-K797)</f>
        <v>0.78667549084491506</v>
      </c>
      <c r="AD797">
        <f>Q797/E797</f>
        <v>0.24761318139821373</v>
      </c>
      <c r="AE797">
        <f>Q797/J797</f>
        <v>0.29988810145468109</v>
      </c>
      <c r="AF797">
        <f>Q797/G797</f>
        <v>5.2432502934655012E-2</v>
      </c>
      <c r="AG797">
        <f>Q797/K797</f>
        <v>0.4634005763688761</v>
      </c>
      <c r="AH797">
        <f>Q797/L797</f>
        <v>1.5227272727272727</v>
      </c>
      <c r="AI797" s="1">
        <f>R797</f>
        <v>95.8</v>
      </c>
      <c r="AJ797" s="1">
        <f>P797</f>
        <v>7948000</v>
      </c>
    </row>
    <row r="798" spans="1:36" x14ac:dyDescent="0.25">
      <c r="A798" t="s">
        <v>207</v>
      </c>
      <c r="B798">
        <v>2023</v>
      </c>
      <c r="C798" s="1">
        <v>12419000</v>
      </c>
      <c r="D798" s="1">
        <v>1910000</v>
      </c>
      <c r="E798" s="1">
        <v>1345000</v>
      </c>
      <c r="G798" s="1">
        <v>16319000</v>
      </c>
      <c r="H798" s="1">
        <v>10305000</v>
      </c>
      <c r="I798" s="1">
        <v>862000</v>
      </c>
      <c r="J798" s="1">
        <v>3720000</v>
      </c>
      <c r="K798" s="1">
        <v>2055000</v>
      </c>
      <c r="L798" s="1">
        <v>290000</v>
      </c>
      <c r="M798" s="1">
        <v>0</v>
      </c>
      <c r="N798" s="1">
        <v>12599000</v>
      </c>
      <c r="O798" s="1">
        <v>12599000</v>
      </c>
      <c r="P798" s="1">
        <v>8621000</v>
      </c>
      <c r="Q798" s="1">
        <v>1510000</v>
      </c>
      <c r="R798" s="1">
        <v>120.25</v>
      </c>
      <c r="T798">
        <f>E798/G798</f>
        <v>8.2419265886390092E-2</v>
      </c>
      <c r="U798">
        <f>D798/C798</f>
        <v>0.15379660198083581</v>
      </c>
      <c r="V798">
        <f>(E798-F798)/O798</f>
        <v>0.10675450432574014</v>
      </c>
      <c r="W798">
        <f>H798/K798</f>
        <v>5.0145985401459852</v>
      </c>
      <c r="X798">
        <f>(H798-I798)/K798</f>
        <v>4.5951338199513385</v>
      </c>
      <c r="Y798">
        <f>(H798-K798)/G798</f>
        <v>0.50554568294625901</v>
      </c>
      <c r="Z798">
        <f>J798/N798</f>
        <v>0.29526152869275341</v>
      </c>
      <c r="AA798">
        <f>J798/G798</f>
        <v>0.22795514431031313</v>
      </c>
      <c r="AB798">
        <f>C798/G798</f>
        <v>0.76101476806176849</v>
      </c>
      <c r="AC798">
        <f>C798/(G798-K798)</f>
        <v>0.8706533931575996</v>
      </c>
      <c r="AD798">
        <f>Q798/E798</f>
        <v>1.1226765799256506</v>
      </c>
      <c r="AE798">
        <f>Q798/J798</f>
        <v>0.40591397849462363</v>
      </c>
      <c r="AF798">
        <f>Q798/G798</f>
        <v>9.2530179545315283E-2</v>
      </c>
      <c r="AG798">
        <f>Q798/K798</f>
        <v>0.73479318734793186</v>
      </c>
      <c r="AH798">
        <f>Q798/L798</f>
        <v>5.2068965517241379</v>
      </c>
      <c r="AI798" s="1">
        <f>R798</f>
        <v>120.25</v>
      </c>
      <c r="AJ798" s="1">
        <f>P798</f>
        <v>8621000</v>
      </c>
    </row>
    <row r="799" spans="1:36" s="8" customFormat="1" x14ac:dyDescent="0.25">
      <c r="A799" s="8" t="s">
        <v>207</v>
      </c>
      <c r="B799" s="8">
        <v>2024</v>
      </c>
      <c r="C799" s="9">
        <v>13650000</v>
      </c>
      <c r="D799" s="9">
        <v>1895000</v>
      </c>
      <c r="E799" s="9">
        <v>1339000</v>
      </c>
      <c r="F799" s="9"/>
      <c r="G799" s="9">
        <v>18511000</v>
      </c>
      <c r="H799" s="9">
        <v>11254000</v>
      </c>
      <c r="I799" s="9">
        <v>921000</v>
      </c>
      <c r="J799" s="9">
        <v>4333000</v>
      </c>
      <c r="K799" s="9">
        <v>2449000</v>
      </c>
      <c r="L799" s="9">
        <v>400000</v>
      </c>
      <c r="M799" s="9">
        <v>0</v>
      </c>
      <c r="N799" s="9">
        <v>14178000</v>
      </c>
      <c r="O799" s="9">
        <v>14178000</v>
      </c>
      <c r="P799" s="9">
        <v>9957000</v>
      </c>
      <c r="Q799" s="9">
        <v>2046000</v>
      </c>
      <c r="R799" s="9">
        <v>79.5</v>
      </c>
      <c r="T799" s="8">
        <f>E799/G799</f>
        <v>7.2335368159472752E-2</v>
      </c>
      <c r="U799" s="8">
        <f>D799/C799</f>
        <v>0.13882783882783883</v>
      </c>
      <c r="V799" s="8">
        <f>(E799-F799)/O799</f>
        <v>9.444209338411623E-2</v>
      </c>
      <c r="W799" s="8">
        <f>H799/K799</f>
        <v>4.5953450387913435</v>
      </c>
      <c r="X799" s="8">
        <f>(H799-I799)/K799</f>
        <v>4.2192731727235611</v>
      </c>
      <c r="Y799" s="8">
        <f>(H799-K799)/G799</f>
        <v>0.47566311922640592</v>
      </c>
      <c r="Z799" s="8">
        <f>J799/N799</f>
        <v>0.30561433206376076</v>
      </c>
      <c r="AA799" s="8">
        <f>J799/G799</f>
        <v>0.23407703527632218</v>
      </c>
      <c r="AB799" s="8">
        <f>C799/G799</f>
        <v>0.73739938414996486</v>
      </c>
      <c r="AC799" s="8">
        <f>C799/(G799-K799)</f>
        <v>0.84983190138214415</v>
      </c>
      <c r="AD799" s="8">
        <f>Q799/E799</f>
        <v>1.5280059746079164</v>
      </c>
      <c r="AE799" s="8">
        <f>Q799/J799</f>
        <v>0.47219016847449802</v>
      </c>
      <c r="AF799" s="8">
        <f>Q799/G799</f>
        <v>0.11052887472313759</v>
      </c>
      <c r="AG799" s="8">
        <f>Q799/K799</f>
        <v>0.83544303797468356</v>
      </c>
      <c r="AH799" s="8">
        <f>Q799/L799</f>
        <v>5.1150000000000002</v>
      </c>
      <c r="AI799" s="9">
        <f>R799</f>
        <v>79.5</v>
      </c>
      <c r="AJ799" s="9">
        <f>P799</f>
        <v>9957000</v>
      </c>
    </row>
    <row r="800" spans="1:36" x14ac:dyDescent="0.25">
      <c r="A800" t="s">
        <v>201</v>
      </c>
      <c r="B800">
        <v>2018</v>
      </c>
      <c r="C800" s="1">
        <v>836005</v>
      </c>
      <c r="D800" s="1">
        <v>148599</v>
      </c>
      <c r="E800" s="1">
        <v>132718</v>
      </c>
      <c r="G800" s="1">
        <v>3457654</v>
      </c>
      <c r="H800" s="1">
        <v>181355</v>
      </c>
      <c r="I800" s="1">
        <v>28963</v>
      </c>
      <c r="J800" s="1">
        <v>592490</v>
      </c>
      <c r="K800" s="1">
        <v>146180</v>
      </c>
      <c r="L800" s="1">
        <v>291989</v>
      </c>
      <c r="M800" s="1">
        <v>99955</v>
      </c>
      <c r="N800" s="1">
        <v>2865164</v>
      </c>
      <c r="O800" s="1">
        <v>2865164</v>
      </c>
      <c r="P800" s="1">
        <v>328701</v>
      </c>
      <c r="Q800" s="1">
        <v>238003</v>
      </c>
      <c r="R800" s="1">
        <v>39.799999999999997</v>
      </c>
      <c r="T800">
        <f>E800/G800</f>
        <v>3.8383829035525244E-2</v>
      </c>
      <c r="U800">
        <f>D800/C800</f>
        <v>0.17774893690827209</v>
      </c>
      <c r="V800">
        <f>(E800-F800)/O800</f>
        <v>4.6321257701129846E-2</v>
      </c>
      <c r="W800">
        <f>H800/K800</f>
        <v>1.2406279928854838</v>
      </c>
      <c r="X800">
        <f>(H800-I800)/K800</f>
        <v>1.0424955534272815</v>
      </c>
      <c r="Y800">
        <f>(H800-K800)/G800</f>
        <v>1.0173082673974897E-2</v>
      </c>
      <c r="Z800">
        <f>J800/N800</f>
        <v>0.20679095507272882</v>
      </c>
      <c r="AA800">
        <f>J800/G800</f>
        <v>0.17135606975134007</v>
      </c>
      <c r="AB800">
        <f>C800/G800</f>
        <v>0.24178388005277568</v>
      </c>
      <c r="AC800">
        <f>C800/(G800-K800)</f>
        <v>0.25245706292726444</v>
      </c>
      <c r="AD800">
        <f>Q800/E800</f>
        <v>1.7932985729139981</v>
      </c>
      <c r="AE800">
        <f>Q800/J800</f>
        <v>0.40169960674441763</v>
      </c>
      <c r="AF800">
        <f>Q800/G800</f>
        <v>6.8833665832382304E-2</v>
      </c>
      <c r="AG800">
        <f>Q800/K800</f>
        <v>1.6281502257490765</v>
      </c>
      <c r="AH800">
        <f>Q800/L800</f>
        <v>0.81510947330207639</v>
      </c>
      <c r="AI800" s="1">
        <f>R800</f>
        <v>39.799999999999997</v>
      </c>
      <c r="AJ800" s="1">
        <f>P800</f>
        <v>328701</v>
      </c>
    </row>
    <row r="801" spans="1:36" x14ac:dyDescent="0.25">
      <c r="A801" t="s">
        <v>201</v>
      </c>
      <c r="B801">
        <v>2019</v>
      </c>
      <c r="C801" s="1">
        <v>850117</v>
      </c>
      <c r="D801" s="1">
        <v>122249</v>
      </c>
      <c r="E801" s="1">
        <v>102558</v>
      </c>
      <c r="G801" s="1">
        <v>3411531</v>
      </c>
      <c r="H801" s="1">
        <v>205902</v>
      </c>
      <c r="I801" s="1">
        <v>27458</v>
      </c>
      <c r="J801" s="1">
        <v>447213</v>
      </c>
      <c r="K801" s="1">
        <v>135546</v>
      </c>
      <c r="L801" s="1">
        <v>148562</v>
      </c>
      <c r="M801" s="1">
        <v>108626</v>
      </c>
      <c r="N801" s="1">
        <v>2964318</v>
      </c>
      <c r="O801" s="1">
        <v>2964318</v>
      </c>
      <c r="P801" s="1">
        <v>428429</v>
      </c>
      <c r="Q801" s="1">
        <v>212257</v>
      </c>
      <c r="R801" s="1">
        <v>25.6</v>
      </c>
      <c r="T801">
        <f>E801/G801</f>
        <v>3.0062162706421251E-2</v>
      </c>
      <c r="U801">
        <f>D801/C801</f>
        <v>0.14380255894188682</v>
      </c>
      <c r="V801">
        <f>(E801-F801)/O801</f>
        <v>3.4597502697079056E-2</v>
      </c>
      <c r="W801">
        <f>H801/K801</f>
        <v>1.5190562613430127</v>
      </c>
      <c r="X801">
        <f>(H801-I801)/K801</f>
        <v>1.3164829651926284</v>
      </c>
      <c r="Y801">
        <f>(H801-K801)/G801</f>
        <v>2.0622998882319991E-2</v>
      </c>
      <c r="Z801">
        <f>J801/N801</f>
        <v>0.15086539298415352</v>
      </c>
      <c r="AA801">
        <f>J801/G801</f>
        <v>0.13108865198645417</v>
      </c>
      <c r="AB801">
        <f>C801/G801</f>
        <v>0.24918929360454295</v>
      </c>
      <c r="AC801">
        <f>C801/(G801-K801)</f>
        <v>0.25949966193373902</v>
      </c>
      <c r="AD801">
        <f>Q801/E801</f>
        <v>2.0696288929191287</v>
      </c>
      <c r="AE801">
        <f>Q801/J801</f>
        <v>0.47462171269618725</v>
      </c>
      <c r="AF801">
        <f>Q801/G801</f>
        <v>6.2217520520845331E-2</v>
      </c>
      <c r="AG801">
        <f>Q801/K801</f>
        <v>1.5659407138535995</v>
      </c>
      <c r="AH801">
        <f>Q801/L801</f>
        <v>1.4287435548794443</v>
      </c>
      <c r="AI801" s="1">
        <f>R801</f>
        <v>25.6</v>
      </c>
      <c r="AJ801" s="1">
        <f>P801</f>
        <v>428429</v>
      </c>
    </row>
    <row r="802" spans="1:36" x14ac:dyDescent="0.25">
      <c r="A802" t="s">
        <v>201</v>
      </c>
      <c r="B802">
        <v>2020</v>
      </c>
      <c r="C802" s="1">
        <v>509568</v>
      </c>
      <c r="D802" s="1">
        <v>-89492</v>
      </c>
      <c r="E802" s="1">
        <v>-96311</v>
      </c>
      <c r="G802" s="1">
        <v>3836601</v>
      </c>
      <c r="H802" s="1">
        <v>135800</v>
      </c>
      <c r="I802" s="1">
        <v>26279</v>
      </c>
      <c r="J802" s="1">
        <v>644200</v>
      </c>
      <c r="K802" s="1">
        <v>95081</v>
      </c>
      <c r="L802" s="1">
        <v>331211</v>
      </c>
      <c r="M802" s="1">
        <v>222485</v>
      </c>
      <c r="N802" s="1">
        <v>3192401</v>
      </c>
      <c r="O802" s="1">
        <v>3192401</v>
      </c>
      <c r="P802" s="1">
        <v>332106</v>
      </c>
      <c r="Q802" s="1">
        <v>44490</v>
      </c>
      <c r="R802" s="1">
        <v>24</v>
      </c>
      <c r="T802">
        <f>E802/G802</f>
        <v>-2.5103209846423957E-2</v>
      </c>
      <c r="U802">
        <f>D802/C802</f>
        <v>-0.17562327304697312</v>
      </c>
      <c r="V802">
        <f>(E802-F802)/O802</f>
        <v>-3.0168829041213808E-2</v>
      </c>
      <c r="W802">
        <f>H802/K802</f>
        <v>1.4282559081204447</v>
      </c>
      <c r="X802">
        <f>(H802-I802)/K802</f>
        <v>1.1518705104069162</v>
      </c>
      <c r="Y802">
        <f>(H802-K802)/G802</f>
        <v>1.0613300679429526E-2</v>
      </c>
      <c r="Z802">
        <f>J802/N802</f>
        <v>0.20179169220909279</v>
      </c>
      <c r="AA802">
        <f>J802/G802</f>
        <v>0.16790904240498294</v>
      </c>
      <c r="AB802">
        <f>C802/G802</f>
        <v>0.13281756429714739</v>
      </c>
      <c r="AC802">
        <f>C802/(G802-K802)</f>
        <v>0.13619277726699308</v>
      </c>
      <c r="AD802">
        <f>Q802/E802</f>
        <v>-0.46194100362367746</v>
      </c>
      <c r="AE802">
        <f>Q802/J802</f>
        <v>6.9062402980440862E-2</v>
      </c>
      <c r="AF802">
        <f>Q802/G802</f>
        <v>1.1596201950632865E-2</v>
      </c>
      <c r="AG802">
        <f>Q802/K802</f>
        <v>0.46791682880912067</v>
      </c>
      <c r="AH802">
        <f>Q802/L802</f>
        <v>0.13432524885948835</v>
      </c>
      <c r="AI802" s="1">
        <f>R802</f>
        <v>24</v>
      </c>
      <c r="AJ802" s="1">
        <f>P802</f>
        <v>332106</v>
      </c>
    </row>
    <row r="803" spans="1:36" x14ac:dyDescent="0.25">
      <c r="A803" t="s">
        <v>201</v>
      </c>
      <c r="B803">
        <v>2021</v>
      </c>
      <c r="C803" s="1">
        <v>183960</v>
      </c>
      <c r="D803" s="1">
        <v>-193116</v>
      </c>
      <c r="E803" s="1">
        <v>-196521</v>
      </c>
      <c r="G803" s="1">
        <v>3699607</v>
      </c>
      <c r="H803" s="1">
        <v>95474</v>
      </c>
      <c r="I803" s="1">
        <v>22398</v>
      </c>
      <c r="J803" s="1">
        <v>704154</v>
      </c>
      <c r="K803" s="1">
        <v>81049</v>
      </c>
      <c r="L803" s="1">
        <v>401742</v>
      </c>
      <c r="M803" s="1">
        <v>241745</v>
      </c>
      <c r="N803" s="1">
        <v>2995453</v>
      </c>
      <c r="O803" s="1">
        <v>2995453</v>
      </c>
      <c r="P803" s="1">
        <v>135552</v>
      </c>
      <c r="Q803" s="1">
        <v>-42436</v>
      </c>
      <c r="R803" s="1">
        <v>28.3</v>
      </c>
      <c r="T803">
        <f>E803/G803</f>
        <v>-5.3119425928213455E-2</v>
      </c>
      <c r="U803">
        <f>D803/C803</f>
        <v>-1.0497716894977169</v>
      </c>
      <c r="V803">
        <f>(E803-F803)/O803</f>
        <v>-6.5606437490422984E-2</v>
      </c>
      <c r="W803">
        <f>H803/K803</f>
        <v>1.1779787535935051</v>
      </c>
      <c r="X803">
        <f>(H803-I803)/K803</f>
        <v>0.9016274105787857</v>
      </c>
      <c r="Y803">
        <f>(H803-K803)/G803</f>
        <v>3.8990627923452411E-3</v>
      </c>
      <c r="Z803">
        <f>J803/N803</f>
        <v>0.23507429427201829</v>
      </c>
      <c r="AA803">
        <f>J803/G803</f>
        <v>0.19033210824825447</v>
      </c>
      <c r="AB803">
        <f>C803/G803</f>
        <v>4.9724200435343535E-2</v>
      </c>
      <c r="AC803">
        <f>C803/(G803-K803)</f>
        <v>5.0837930468435218E-2</v>
      </c>
      <c r="AD803">
        <f>Q803/E803</f>
        <v>0.21593621037955232</v>
      </c>
      <c r="AE803">
        <f>Q803/J803</f>
        <v>-6.0265226072705687E-2</v>
      </c>
      <c r="AF803">
        <f>Q803/G803</f>
        <v>-1.1470407532475746E-2</v>
      </c>
      <c r="AG803">
        <f>Q803/K803</f>
        <v>-0.52358449826648079</v>
      </c>
      <c r="AH803">
        <f>Q803/L803</f>
        <v>-0.10562998143086856</v>
      </c>
      <c r="AI803" s="1">
        <f>R803</f>
        <v>28.3</v>
      </c>
      <c r="AJ803" s="1">
        <f>P803</f>
        <v>135552</v>
      </c>
    </row>
    <row r="804" spans="1:36" x14ac:dyDescent="0.25">
      <c r="A804" t="s">
        <v>201</v>
      </c>
      <c r="B804">
        <v>2022</v>
      </c>
      <c r="C804" s="1">
        <v>426818</v>
      </c>
      <c r="D804" s="1">
        <v>-70920</v>
      </c>
      <c r="E804" s="1">
        <v>-78274</v>
      </c>
      <c r="G804" s="1">
        <v>3947944</v>
      </c>
      <c r="H804" s="1">
        <v>167509</v>
      </c>
      <c r="I804" s="1">
        <v>15917</v>
      </c>
      <c r="J804" s="1">
        <v>802459</v>
      </c>
      <c r="K804" s="1">
        <v>113558</v>
      </c>
      <c r="L804" s="1">
        <v>429082</v>
      </c>
      <c r="M804" s="1">
        <v>309023</v>
      </c>
      <c r="N804" s="1">
        <v>3145485</v>
      </c>
      <c r="O804" s="1">
        <v>3145485</v>
      </c>
      <c r="P804" s="1">
        <v>59670</v>
      </c>
      <c r="Q804" s="1">
        <v>56121</v>
      </c>
      <c r="R804" s="1">
        <v>27.5</v>
      </c>
      <c r="T804">
        <f>E804/G804</f>
        <v>-1.982652236201932E-2</v>
      </c>
      <c r="U804">
        <f>D804/C804</f>
        <v>-0.16615981519054959</v>
      </c>
      <c r="V804">
        <f>(E804-F804)/O804</f>
        <v>-2.4884556753569004E-2</v>
      </c>
      <c r="W804">
        <f>H804/K804</f>
        <v>1.4750964264957114</v>
      </c>
      <c r="X804">
        <f>(H804-I804)/K804</f>
        <v>1.3349301678437451</v>
      </c>
      <c r="Y804">
        <f>(H804-K804)/G804</f>
        <v>1.3665594040847591E-2</v>
      </c>
      <c r="Z804">
        <f>J804/N804</f>
        <v>0.25511455308163922</v>
      </c>
      <c r="AA804">
        <f>J804/G804</f>
        <v>0.20325997531879886</v>
      </c>
      <c r="AB804">
        <f>C804/G804</f>
        <v>0.10811146257393722</v>
      </c>
      <c r="AC804">
        <f>C804/(G804-K804)</f>
        <v>0.11131325849823152</v>
      </c>
      <c r="AD804">
        <f>Q804/E804</f>
        <v>-0.71698137312517563</v>
      </c>
      <c r="AE804">
        <f>Q804/J804</f>
        <v>6.9936283349055842E-2</v>
      </c>
      <c r="AF804">
        <f>Q804/G804</f>
        <v>1.4215247227417613E-2</v>
      </c>
      <c r="AG804">
        <f>Q804/K804</f>
        <v>0.49420560418464571</v>
      </c>
      <c r="AH804">
        <f>Q804/L804</f>
        <v>0.13079318172284085</v>
      </c>
      <c r="AI804" s="1">
        <f>R804</f>
        <v>27.5</v>
      </c>
      <c r="AJ804" s="1">
        <f>P804</f>
        <v>59670</v>
      </c>
    </row>
    <row r="805" spans="1:36" x14ac:dyDescent="0.25">
      <c r="A805" t="s">
        <v>201</v>
      </c>
      <c r="B805">
        <v>2023</v>
      </c>
      <c r="C805" s="1">
        <v>731240</v>
      </c>
      <c r="D805" s="1">
        <v>-105639</v>
      </c>
      <c r="E805" s="1">
        <v>-119537</v>
      </c>
      <c r="G805" s="1">
        <v>3838534</v>
      </c>
      <c r="H805" s="1">
        <v>148332</v>
      </c>
      <c r="I805" s="1">
        <v>25054</v>
      </c>
      <c r="J805" s="1">
        <v>1064132</v>
      </c>
      <c r="K805" s="1">
        <v>163595</v>
      </c>
      <c r="L805" s="1">
        <v>394822</v>
      </c>
      <c r="M805" s="1">
        <v>220842</v>
      </c>
      <c r="N805" s="1">
        <v>2774402</v>
      </c>
      <c r="O805" s="1">
        <v>2774402</v>
      </c>
      <c r="P805" s="1">
        <v>-59494</v>
      </c>
      <c r="Q805" s="1">
        <v>32944</v>
      </c>
      <c r="R805" s="1">
        <v>27.3</v>
      </c>
      <c r="T805">
        <f>E805/G805</f>
        <v>-3.1141315929466822E-2</v>
      </c>
      <c r="U805">
        <f>D805/C805</f>
        <v>-0.1444655653410645</v>
      </c>
      <c r="V805">
        <f>(E805-F805)/O805</f>
        <v>-4.3085681166608158E-2</v>
      </c>
      <c r="W805">
        <f>H805/K805</f>
        <v>0.90670252758336134</v>
      </c>
      <c r="X805">
        <f>(H805-I805)/K805</f>
        <v>0.7535560377762156</v>
      </c>
      <c r="Y805">
        <f>(H805-K805)/G805</f>
        <v>-3.9762576025117926E-3</v>
      </c>
      <c r="Z805">
        <f>J805/N805</f>
        <v>0.38355364507378525</v>
      </c>
      <c r="AA805">
        <f>J805/G805</f>
        <v>0.27722354419682099</v>
      </c>
      <c r="AB805">
        <f>C805/G805</f>
        <v>0.19049981060477778</v>
      </c>
      <c r="AC805">
        <f>C805/(G805-K805)</f>
        <v>0.1989801735484589</v>
      </c>
      <c r="AD805">
        <f>Q805/E805</f>
        <v>-0.27559667717945069</v>
      </c>
      <c r="AE805">
        <f>Q805/J805</f>
        <v>3.0958565290772198E-2</v>
      </c>
      <c r="AF805">
        <f>Q805/G805</f>
        <v>8.5824431931565536E-3</v>
      </c>
      <c r="AG805">
        <f>Q805/K805</f>
        <v>0.20137534765732448</v>
      </c>
      <c r="AH805">
        <f>Q805/L805</f>
        <v>8.3440132515412005E-2</v>
      </c>
      <c r="AI805" s="1">
        <f>R805</f>
        <v>27.3</v>
      </c>
      <c r="AJ805" s="1">
        <f>P805</f>
        <v>-59494</v>
      </c>
    </row>
    <row r="806" spans="1:36" s="8" customFormat="1" x14ac:dyDescent="0.25">
      <c r="A806" s="8" t="s">
        <v>201</v>
      </c>
      <c r="B806" s="8">
        <v>2024</v>
      </c>
      <c r="C806" s="9">
        <v>1360170</v>
      </c>
      <c r="D806" s="9">
        <v>264122</v>
      </c>
      <c r="E806" s="9">
        <v>175885</v>
      </c>
      <c r="F806" s="9"/>
      <c r="G806" s="9">
        <v>3994176</v>
      </c>
      <c r="H806" s="9">
        <v>396961</v>
      </c>
      <c r="I806" s="9">
        <v>30078</v>
      </c>
      <c r="J806" s="9">
        <v>1063892</v>
      </c>
      <c r="K806" s="9">
        <v>316254</v>
      </c>
      <c r="L806" s="9">
        <v>243509</v>
      </c>
      <c r="M806" s="9">
        <v>105012</v>
      </c>
      <c r="N806" s="9">
        <v>2930284</v>
      </c>
      <c r="O806" s="9">
        <v>2930284</v>
      </c>
      <c r="P806" s="9">
        <v>113764</v>
      </c>
      <c r="Q806" s="9">
        <v>330700</v>
      </c>
      <c r="R806" s="9">
        <v>37.9</v>
      </c>
      <c r="T806" s="8">
        <f>E806/G806</f>
        <v>4.4035365492156579E-2</v>
      </c>
      <c r="U806" s="8">
        <f>D806/C806</f>
        <v>0.19418308005616944</v>
      </c>
      <c r="V806" s="8">
        <f>(E806-F806)/O806</f>
        <v>6.0023192291259138E-2</v>
      </c>
      <c r="W806" s="8">
        <f>H806/K806</f>
        <v>1.2551967722147388</v>
      </c>
      <c r="X806" s="8">
        <f>(H806-I806)/K806</f>
        <v>1.1600896747551019</v>
      </c>
      <c r="Y806" s="8">
        <f>(H806-K806)/G806</f>
        <v>2.0206170183787595E-2</v>
      </c>
      <c r="Z806" s="8">
        <f>J806/N806</f>
        <v>0.36306788010991425</v>
      </c>
      <c r="AA806" s="8">
        <f>J806/G806</f>
        <v>0.26636082135589417</v>
      </c>
      <c r="AB806" s="8">
        <f>C806/G806</f>
        <v>0.34053832379945198</v>
      </c>
      <c r="AC806" s="8">
        <f>C806/(G806-K806)</f>
        <v>0.36982024088602206</v>
      </c>
      <c r="AD806" s="8">
        <f>Q806/E806</f>
        <v>1.8802058163004236</v>
      </c>
      <c r="AE806" s="8">
        <f>Q806/J806</f>
        <v>0.31083982208720434</v>
      </c>
      <c r="AF806" s="8">
        <f>Q806/G806</f>
        <v>8.2795550321267772E-2</v>
      </c>
      <c r="AG806" s="8">
        <f>Q806/K806</f>
        <v>1.045678473631954</v>
      </c>
      <c r="AH806" s="8">
        <f>Q806/L806</f>
        <v>1.3580606876953214</v>
      </c>
      <c r="AI806" s="9">
        <f>R806</f>
        <v>37.9</v>
      </c>
      <c r="AJ806" s="9">
        <f>P806</f>
        <v>113764</v>
      </c>
    </row>
    <row r="807" spans="1:36" x14ac:dyDescent="0.25">
      <c r="A807" s="15" t="s">
        <v>129</v>
      </c>
      <c r="B807" s="15">
        <v>2018</v>
      </c>
      <c r="C807" s="6">
        <v>91343335</v>
      </c>
      <c r="D807" s="6">
        <v>-1384874</v>
      </c>
      <c r="E807" s="6">
        <v>-744189</v>
      </c>
      <c r="F807" s="6"/>
      <c r="G807" s="6">
        <v>32959156</v>
      </c>
      <c r="H807" s="6">
        <v>23514011</v>
      </c>
      <c r="I807" s="6">
        <v>10110006</v>
      </c>
      <c r="J807" s="6">
        <v>13590036</v>
      </c>
      <c r="K807" s="6">
        <v>13570134</v>
      </c>
      <c r="L807" s="6">
        <v>5017829</v>
      </c>
      <c r="M807" s="6">
        <v>0</v>
      </c>
      <c r="N807" s="6">
        <v>19369120</v>
      </c>
      <c r="O807" s="6">
        <v>19369120</v>
      </c>
      <c r="P807" s="6">
        <v>11792546</v>
      </c>
      <c r="Q807" s="6">
        <v>-2758627</v>
      </c>
      <c r="R807" s="6">
        <v>30.1</v>
      </c>
      <c r="S807" s="15"/>
      <c r="T807" s="15">
        <f>E807/G807</f>
        <v>-2.2579127936407109E-2</v>
      </c>
      <c r="U807" s="15">
        <f>D807/C807</f>
        <v>-1.5161193753216916E-2</v>
      </c>
      <c r="V807" s="15">
        <f>(E807-F807)/O807</f>
        <v>-3.8421415118497899E-2</v>
      </c>
      <c r="W807" s="15">
        <f>H807/K807</f>
        <v>1.7327766254924233</v>
      </c>
      <c r="X807" s="15">
        <f>(H807-I807)/K807</f>
        <v>0.98775774800749938</v>
      </c>
      <c r="Y807" s="15">
        <f>(H807-K807)/G807</f>
        <v>0.3017030229778942</v>
      </c>
      <c r="Z807" s="15">
        <f>J807/N807</f>
        <v>0.70163414755032749</v>
      </c>
      <c r="AA807" s="15">
        <f>J807/G807</f>
        <v>0.41232961183836142</v>
      </c>
      <c r="AB807" s="15">
        <f>C807/G807</f>
        <v>2.7714100142612876</v>
      </c>
      <c r="AC807" s="15">
        <f>C807/(G807-K807)</f>
        <v>4.7110852213175063</v>
      </c>
      <c r="AD807" s="15">
        <f>Q807/E807</f>
        <v>3.7068903195290446</v>
      </c>
      <c r="AE807" s="15">
        <f>Q807/J807</f>
        <v>-0.2029889398379813</v>
      </c>
      <c r="AF807" s="15">
        <f>Q807/G807</f>
        <v>-8.3698350770875327E-2</v>
      </c>
      <c r="AG807" s="15">
        <f>Q807/K807</f>
        <v>-0.20328664403756072</v>
      </c>
      <c r="AH807" s="15">
        <f>Q807/L807</f>
        <v>-0.54976504779258117</v>
      </c>
      <c r="AI807" s="6">
        <f>R807</f>
        <v>30.1</v>
      </c>
      <c r="AJ807" s="6">
        <f>P807</f>
        <v>11792546</v>
      </c>
    </row>
    <row r="808" spans="1:36" x14ac:dyDescent="0.25">
      <c r="A808" t="s">
        <v>129</v>
      </c>
      <c r="B808">
        <v>2019</v>
      </c>
      <c r="C808" s="1">
        <v>86321616</v>
      </c>
      <c r="D808" s="1">
        <v>853937</v>
      </c>
      <c r="E808" s="1">
        <v>403427</v>
      </c>
      <c r="G808" s="1">
        <v>28244805</v>
      </c>
      <c r="H808" s="1">
        <v>18550524</v>
      </c>
      <c r="I808" s="1">
        <v>13996480</v>
      </c>
      <c r="J808" s="1">
        <v>8817417</v>
      </c>
      <c r="K808" s="1">
        <v>8810902</v>
      </c>
      <c r="L808" s="1">
        <v>2327271</v>
      </c>
      <c r="M808" s="1">
        <v>0</v>
      </c>
      <c r="N808" s="1">
        <v>19427388</v>
      </c>
      <c r="O808" s="1">
        <v>19427388</v>
      </c>
      <c r="P808" s="1">
        <v>11850814</v>
      </c>
      <c r="Q808" s="1">
        <v>-4482047</v>
      </c>
      <c r="R808" s="1">
        <v>17.399999999999999</v>
      </c>
      <c r="T808">
        <f>E808/G808</f>
        <v>1.4283228367128043E-2</v>
      </c>
      <c r="U808">
        <f>D808/C808</f>
        <v>9.8925047927740373E-3</v>
      </c>
      <c r="V808">
        <f>(E808-F808)/O808</f>
        <v>2.0765889886998706E-2</v>
      </c>
      <c r="W808">
        <f>H808/K808</f>
        <v>2.1054057802481516</v>
      </c>
      <c r="X808">
        <f>(H808-I808)/K808</f>
        <v>0.516864675149037</v>
      </c>
      <c r="Y808">
        <f>(H808-K808)/G808</f>
        <v>0.34482879240979003</v>
      </c>
      <c r="Z808">
        <f>J808/N808</f>
        <v>0.45386528544135735</v>
      </c>
      <c r="AA808">
        <f>J808/G808</f>
        <v>0.31217836341939692</v>
      </c>
      <c r="AB808">
        <f>C808/G808</f>
        <v>3.0561944400040999</v>
      </c>
      <c r="AC808">
        <f>C808/(G808-K808)</f>
        <v>4.4418054366125013</v>
      </c>
      <c r="AD808">
        <f>Q808/E808</f>
        <v>-11.109933147756596</v>
      </c>
      <c r="AE808">
        <f>Q808/J808</f>
        <v>-0.50831745850286991</v>
      </c>
      <c r="AF808">
        <f>Q808/G808</f>
        <v>-0.15868571229293316</v>
      </c>
      <c r="AG808">
        <f>Q808/K808</f>
        <v>-0.50869332106973841</v>
      </c>
      <c r="AH808">
        <f>Q808/L808</f>
        <v>-1.9258809996773045</v>
      </c>
      <c r="AI808" s="1">
        <f>R808</f>
        <v>17.399999999999999</v>
      </c>
      <c r="AJ808" s="1">
        <f>P808</f>
        <v>11850814</v>
      </c>
    </row>
    <row r="809" spans="1:36" x14ac:dyDescent="0.25">
      <c r="A809" t="s">
        <v>129</v>
      </c>
      <c r="B809">
        <v>2020</v>
      </c>
      <c r="C809" s="1">
        <v>81947054</v>
      </c>
      <c r="D809" s="1">
        <v>634687</v>
      </c>
      <c r="E809" s="1">
        <v>421774</v>
      </c>
      <c r="G809" s="1">
        <v>39759801</v>
      </c>
      <c r="H809" s="1">
        <v>30149353</v>
      </c>
      <c r="I809" s="1">
        <v>13295317</v>
      </c>
      <c r="J809" s="1">
        <v>20313592</v>
      </c>
      <c r="K809" s="1">
        <v>20239478</v>
      </c>
      <c r="L809" s="1">
        <v>16954572</v>
      </c>
      <c r="M809" s="1">
        <v>0</v>
      </c>
      <c r="N809" s="1">
        <v>19446209</v>
      </c>
      <c r="O809" s="1">
        <v>19446209</v>
      </c>
      <c r="P809" s="1">
        <v>11869635</v>
      </c>
      <c r="Q809" s="1">
        <v>-2712708</v>
      </c>
      <c r="R809" s="1">
        <v>15.8</v>
      </c>
      <c r="T809">
        <f>E809/G809</f>
        <v>1.060805108154339E-2</v>
      </c>
      <c r="U809">
        <f>D809/C809</f>
        <v>7.7450862358029371E-3</v>
      </c>
      <c r="V809">
        <f>(E809-F809)/O809</f>
        <v>2.1689266015808017E-2</v>
      </c>
      <c r="W809">
        <f>H809/K809</f>
        <v>1.4896309578735183</v>
      </c>
      <c r="X809">
        <f>(H809-I809)/K809</f>
        <v>0.8327307650918665</v>
      </c>
      <c r="Y809">
        <f>(H809-K809)/G809</f>
        <v>0.2492435764454656</v>
      </c>
      <c r="Z809">
        <f>J809/N809</f>
        <v>1.0446042208021111</v>
      </c>
      <c r="AA809">
        <f>J809/G809</f>
        <v>0.51090778849723117</v>
      </c>
      <c r="AB809">
        <f>C809/G809</f>
        <v>2.0610529212658784</v>
      </c>
      <c r="AC809">
        <f>C809/(G809-K809)</f>
        <v>4.1980378091079746</v>
      </c>
      <c r="AD809">
        <f>Q809/E809</f>
        <v>-6.4316624543001701</v>
      </c>
      <c r="AE809">
        <f>Q809/J809</f>
        <v>-0.13354152234622022</v>
      </c>
      <c r="AF809">
        <f>Q809/G809</f>
        <v>-6.8227403854460938E-2</v>
      </c>
      <c r="AG809">
        <f>Q809/K809</f>
        <v>-0.13403053181509919</v>
      </c>
      <c r="AH809">
        <f>Q809/L809</f>
        <v>-0.15999861276356608</v>
      </c>
      <c r="AI809" s="1">
        <f>R809</f>
        <v>15.8</v>
      </c>
      <c r="AJ809" s="1">
        <f>P809</f>
        <v>11869635</v>
      </c>
    </row>
    <row r="810" spans="1:36" x14ac:dyDescent="0.25">
      <c r="A810" t="s">
        <v>129</v>
      </c>
      <c r="B810">
        <v>2021</v>
      </c>
      <c r="C810" s="1">
        <v>66685892</v>
      </c>
      <c r="D810" s="1">
        <v>161428</v>
      </c>
      <c r="E810" s="1">
        <v>882634</v>
      </c>
      <c r="G810" s="1">
        <v>46407005</v>
      </c>
      <c r="H810" s="1">
        <v>26654132</v>
      </c>
      <c r="I810" s="1">
        <v>9625050</v>
      </c>
      <c r="J810" s="1">
        <v>26483361</v>
      </c>
      <c r="K810" s="1">
        <v>26431464</v>
      </c>
      <c r="L810" s="1">
        <v>20589553</v>
      </c>
      <c r="M810" s="1">
        <v>0</v>
      </c>
      <c r="N810" s="1">
        <v>19923644</v>
      </c>
      <c r="O810" s="1">
        <v>19923644</v>
      </c>
      <c r="P810" s="1">
        <v>12347070</v>
      </c>
      <c r="Q810" s="1">
        <v>5960754</v>
      </c>
      <c r="R810" s="1">
        <v>19</v>
      </c>
      <c r="T810">
        <f>E810/G810</f>
        <v>1.9019413125238312E-2</v>
      </c>
      <c r="U810">
        <f>D810/C810</f>
        <v>2.4207219122149553E-3</v>
      </c>
      <c r="V810">
        <f>(E810-F810)/O810</f>
        <v>4.4300831715322758E-2</v>
      </c>
      <c r="W810">
        <f>H810/K810</f>
        <v>1.0084243536415538</v>
      </c>
      <c r="X810">
        <f>(H810-I810)/K810</f>
        <v>0.64427312841997708</v>
      </c>
      <c r="Y810">
        <f>(H810-K810)/G810</f>
        <v>4.7981549337217516E-3</v>
      </c>
      <c r="Z810">
        <f>J810/N810</f>
        <v>1.3292428332889306</v>
      </c>
      <c r="AA810">
        <f>J810/G810</f>
        <v>0.57067593566962571</v>
      </c>
      <c r="AB810">
        <f>C810/G810</f>
        <v>1.4369790078028091</v>
      </c>
      <c r="AC810">
        <f>C810/(G810-K810)</f>
        <v>3.338377268480488</v>
      </c>
      <c r="AD810">
        <f>Q810/E810</f>
        <v>6.7533700265342143</v>
      </c>
      <c r="AE810">
        <f>Q810/J810</f>
        <v>0.22507543510055239</v>
      </c>
      <c r="AF810">
        <f>Q810/G810</f>
        <v>0.12844513452225587</v>
      </c>
      <c r="AG810">
        <f>Q810/K810</f>
        <v>0.22551736067287079</v>
      </c>
      <c r="AH810">
        <f>Q810/L810</f>
        <v>0.28950380807198678</v>
      </c>
      <c r="AI810" s="1">
        <f>R810</f>
        <v>19</v>
      </c>
      <c r="AJ810" s="1">
        <f>P810</f>
        <v>12347070</v>
      </c>
    </row>
    <row r="811" spans="1:36" x14ac:dyDescent="0.25">
      <c r="A811" t="s">
        <v>129</v>
      </c>
      <c r="B811">
        <v>2022</v>
      </c>
      <c r="C811" s="1">
        <v>89951223</v>
      </c>
      <c r="D811" s="1">
        <v>5409678</v>
      </c>
      <c r="E811" s="1">
        <v>4818455</v>
      </c>
      <c r="G811" s="1">
        <v>65070610</v>
      </c>
      <c r="H811" s="1">
        <v>54413068</v>
      </c>
      <c r="I811" s="1">
        <v>27257032</v>
      </c>
      <c r="J811" s="1">
        <v>40784696</v>
      </c>
      <c r="K811" s="1">
        <v>40346893</v>
      </c>
      <c r="L811" s="1">
        <v>25778225</v>
      </c>
      <c r="M811" s="1">
        <v>0</v>
      </c>
      <c r="N811" s="1">
        <v>24285914</v>
      </c>
      <c r="O811" s="1">
        <v>24285914</v>
      </c>
      <c r="P811" s="1">
        <v>16709340</v>
      </c>
      <c r="Q811" s="1">
        <v>-3622021</v>
      </c>
      <c r="R811" s="1">
        <v>38.799999999999997</v>
      </c>
      <c r="T811">
        <f>E811/G811</f>
        <v>7.4049636233623747E-2</v>
      </c>
      <c r="U811">
        <f>D811/C811</f>
        <v>6.0140127277646907E-2</v>
      </c>
      <c r="V811">
        <f>(E811-F811)/O811</f>
        <v>0.19840533899609461</v>
      </c>
      <c r="W811">
        <f>H811/K811</f>
        <v>1.3486309342332754</v>
      </c>
      <c r="X811">
        <f>(H811-I811)/K811</f>
        <v>0.67306387136179235</v>
      </c>
      <c r="Y811">
        <f>(H811-K811)/G811</f>
        <v>0.21616786749040773</v>
      </c>
      <c r="Z811">
        <f>J811/N811</f>
        <v>1.6793560250604527</v>
      </c>
      <c r="AA811">
        <f>J811/G811</f>
        <v>0.62677598995921513</v>
      </c>
      <c r="AB811">
        <f>C811/G811</f>
        <v>1.382363297347297</v>
      </c>
      <c r="AC811">
        <f>C811/(G811-K811)</f>
        <v>3.6382564563410913</v>
      </c>
      <c r="AD811">
        <f>Q811/E811</f>
        <v>-0.75169758771224382</v>
      </c>
      <c r="AE811">
        <f>Q811/J811</f>
        <v>-8.8808336342632049E-2</v>
      </c>
      <c r="AF811">
        <f>Q811/G811</f>
        <v>-5.5662932927784139E-2</v>
      </c>
      <c r="AG811">
        <f>Q811/K811</f>
        <v>-8.9771993099939565E-2</v>
      </c>
      <c r="AH811">
        <f>Q811/L811</f>
        <v>-0.14050699766954475</v>
      </c>
      <c r="AI811" s="1">
        <f>R811</f>
        <v>38.799999999999997</v>
      </c>
      <c r="AJ811" s="1">
        <f>P811</f>
        <v>16709340</v>
      </c>
    </row>
    <row r="812" spans="1:36" x14ac:dyDescent="0.25">
      <c r="A812" t="s">
        <v>129</v>
      </c>
      <c r="B812">
        <v>2023</v>
      </c>
      <c r="C812" s="1">
        <v>281487600</v>
      </c>
      <c r="D812" s="1">
        <v>44176916</v>
      </c>
      <c r="E812" s="1">
        <v>37695640</v>
      </c>
      <c r="G812" s="1">
        <v>82212627</v>
      </c>
      <c r="H812" s="1">
        <v>72537684</v>
      </c>
      <c r="I812" s="1">
        <v>38027406</v>
      </c>
      <c r="J812" s="1">
        <v>20980081</v>
      </c>
      <c r="K812" s="1">
        <v>20374210</v>
      </c>
      <c r="L812" s="1">
        <v>4468346</v>
      </c>
      <c r="M812" s="1">
        <v>0</v>
      </c>
      <c r="N812" s="1">
        <v>61232546</v>
      </c>
      <c r="O812" s="1">
        <v>61232546</v>
      </c>
      <c r="P812" s="1">
        <v>53197972</v>
      </c>
      <c r="Q812" s="1">
        <v>26166869</v>
      </c>
      <c r="R812" s="1">
        <v>171.5</v>
      </c>
      <c r="T812">
        <f>E812/G812</f>
        <v>0.45851399445002528</v>
      </c>
      <c r="U812">
        <f>D812/C812</f>
        <v>0.15694089544264117</v>
      </c>
      <c r="V812">
        <f>(E812-F812)/O812</f>
        <v>0.61561444791140973</v>
      </c>
      <c r="W812">
        <f>H812/K812</f>
        <v>3.5602697724230778</v>
      </c>
      <c r="X812">
        <f>(H812-I812)/K812</f>
        <v>1.6938216500173504</v>
      </c>
      <c r="Y812">
        <f>(H812-K812)/G812</f>
        <v>0.63449467440080709</v>
      </c>
      <c r="Z812">
        <f>J812/N812</f>
        <v>0.34262957153537271</v>
      </c>
      <c r="AA812">
        <f>J812/G812</f>
        <v>0.25519292796713577</v>
      </c>
      <c r="AB812">
        <f>C812/G812</f>
        <v>3.4238974020377673</v>
      </c>
      <c r="AC812">
        <f>C812/(G812-K812)</f>
        <v>4.5519858634156174</v>
      </c>
      <c r="AD812">
        <f>Q812/E812</f>
        <v>0.69416168554241287</v>
      </c>
      <c r="AE812">
        <f>Q812/J812</f>
        <v>1.2472244029944404</v>
      </c>
      <c r="AF812">
        <f>Q812/G812</f>
        <v>0.31828284723221412</v>
      </c>
      <c r="AG812">
        <f>Q812/K812</f>
        <v>1.2843133058901426</v>
      </c>
      <c r="AH812">
        <f>Q812/L812</f>
        <v>5.8560525527790377</v>
      </c>
      <c r="AI812" s="1">
        <f>R812</f>
        <v>171.5</v>
      </c>
      <c r="AJ812" s="1">
        <f>P812</f>
        <v>53197972</v>
      </c>
    </row>
    <row r="813" spans="1:36" s="8" customFormat="1" x14ac:dyDescent="0.25">
      <c r="A813" s="8" t="s">
        <v>129</v>
      </c>
      <c r="B813" s="8">
        <v>2024</v>
      </c>
      <c r="C813" s="9">
        <v>263568721</v>
      </c>
      <c r="D813" s="9">
        <v>12808962</v>
      </c>
      <c r="E813" s="9">
        <v>13944994</v>
      </c>
      <c r="F813" s="9"/>
      <c r="G813" s="9">
        <v>101795492</v>
      </c>
      <c r="H813" s="9">
        <v>90608383</v>
      </c>
      <c r="I813" s="9">
        <v>26302202</v>
      </c>
      <c r="J813" s="9">
        <v>28325335</v>
      </c>
      <c r="K813" s="9">
        <v>28221358</v>
      </c>
      <c r="L813" s="9">
        <v>4306616</v>
      </c>
      <c r="M813" s="9">
        <v>0</v>
      </c>
      <c r="N813" s="9">
        <v>73470157</v>
      </c>
      <c r="O813" s="9">
        <v>73470157</v>
      </c>
      <c r="P813" s="9">
        <v>64981583</v>
      </c>
      <c r="Q813" s="9">
        <v>21724532</v>
      </c>
      <c r="R813" s="9">
        <v>116.75</v>
      </c>
      <c r="T813" s="8">
        <f>E813/G813</f>
        <v>0.13699029029694162</v>
      </c>
      <c r="U813" s="8">
        <f>D813/C813</f>
        <v>4.8598187036010237E-2</v>
      </c>
      <c r="V813" s="8">
        <f>(E813-F813)/O813</f>
        <v>0.18980487546800806</v>
      </c>
      <c r="W813" s="8">
        <f>H813/K813</f>
        <v>3.2106315720171934</v>
      </c>
      <c r="X813" s="8">
        <f>(H813-I813)/K813</f>
        <v>2.2786352449800606</v>
      </c>
      <c r="Y813" s="8">
        <f>(H813-K813)/G813</f>
        <v>0.6128662848842068</v>
      </c>
      <c r="Z813" s="8">
        <f>J813/N813</f>
        <v>0.38553524528333322</v>
      </c>
      <c r="AA813" s="8">
        <f>J813/G813</f>
        <v>0.27825726310159199</v>
      </c>
      <c r="AB813" s="8">
        <f>C813/G813</f>
        <v>2.5891983605718023</v>
      </c>
      <c r="AC813" s="8">
        <f>C813/(G813-K813)</f>
        <v>3.5823557365962335</v>
      </c>
      <c r="AD813" s="8">
        <f>Q813/E813</f>
        <v>1.5578731693968459</v>
      </c>
      <c r="AE813" s="8">
        <f>Q813/J813</f>
        <v>0.76696469785794241</v>
      </c>
      <c r="AF813" s="8">
        <f>Q813/G813</f>
        <v>0.21341349772149046</v>
      </c>
      <c r="AG813" s="8">
        <f>Q813/K813</f>
        <v>0.76979045444942795</v>
      </c>
      <c r="AH813" s="8">
        <f>Q813/L813</f>
        <v>5.0444553217653958</v>
      </c>
      <c r="AI813" s="9">
        <f>R813</f>
        <v>116.75</v>
      </c>
      <c r="AJ813" s="9">
        <f>P813</f>
        <v>64981583</v>
      </c>
    </row>
    <row r="814" spans="1:36" x14ac:dyDescent="0.25">
      <c r="A814" s="15" t="s">
        <v>140</v>
      </c>
      <c r="B814" s="15">
        <v>2018</v>
      </c>
      <c r="C814" s="6">
        <v>29798010</v>
      </c>
      <c r="D814" s="6">
        <v>3630158</v>
      </c>
      <c r="E814" s="6">
        <v>1837876</v>
      </c>
      <c r="F814" s="6"/>
      <c r="G814" s="6">
        <v>33402725</v>
      </c>
      <c r="H814" s="6">
        <v>12895185</v>
      </c>
      <c r="I814" s="6">
        <v>1614004</v>
      </c>
      <c r="J814" s="6">
        <v>23991312</v>
      </c>
      <c r="K814" s="6">
        <v>13383783</v>
      </c>
      <c r="L814" s="6">
        <v>11681673</v>
      </c>
      <c r="M814" s="6">
        <v>4814620</v>
      </c>
      <c r="N814" s="6">
        <v>9411413</v>
      </c>
      <c r="O814" s="6">
        <v>9411413</v>
      </c>
      <c r="P814" s="6">
        <v>5967788</v>
      </c>
      <c r="Q814" s="6">
        <v>2731870</v>
      </c>
      <c r="R814" s="6">
        <v>598</v>
      </c>
      <c r="S814" s="15"/>
      <c r="T814" s="15">
        <f>E814/G814</f>
        <v>5.5021738495886187E-2</v>
      </c>
      <c r="U814" s="15">
        <f>D814/C814</f>
        <v>0.1218255178785429</v>
      </c>
      <c r="V814" s="15">
        <f>(E814-F814)/O814</f>
        <v>0.1952816224301282</v>
      </c>
      <c r="W814" s="15">
        <f>H814/K814</f>
        <v>0.96349328138389567</v>
      </c>
      <c r="X814" s="15">
        <f>(H814-I814)/K814</f>
        <v>0.84289927593715464</v>
      </c>
      <c r="Y814" s="15">
        <f>(H814-K814)/G814</f>
        <v>-1.4627489224307299E-2</v>
      </c>
      <c r="Z814" s="15">
        <f>J814/N814</f>
        <v>2.5491721593771306</v>
      </c>
      <c r="AA814" s="15">
        <f>J814/G814</f>
        <v>0.7182441552298503</v>
      </c>
      <c r="AB814" s="15">
        <f>C814/G814</f>
        <v>0.89208320578635425</v>
      </c>
      <c r="AC814" s="15">
        <f>C814/(G814-K814)</f>
        <v>1.4884907504102864</v>
      </c>
      <c r="AD814" s="15">
        <f>Q814/E814</f>
        <v>1.4864278112342726</v>
      </c>
      <c r="AE814" s="15">
        <f>Q814/J814</f>
        <v>0.11386913729436723</v>
      </c>
      <c r="AF814" s="15">
        <f>Q814/G814</f>
        <v>8.178584232274462E-2</v>
      </c>
      <c r="AG814" s="15">
        <f>Q814/K814</f>
        <v>0.20411792390835984</v>
      </c>
      <c r="AH814" s="15">
        <f>Q814/L814</f>
        <v>0.23385948228477205</v>
      </c>
      <c r="AI814" s="6">
        <f>R814</f>
        <v>598</v>
      </c>
      <c r="AJ814" s="6">
        <f>P814</f>
        <v>5967788</v>
      </c>
    </row>
    <row r="815" spans="1:36" x14ac:dyDescent="0.25">
      <c r="A815" t="s">
        <v>140</v>
      </c>
      <c r="B815">
        <v>2019</v>
      </c>
      <c r="C815" s="1">
        <v>42830494</v>
      </c>
      <c r="D815" s="1">
        <v>6247580</v>
      </c>
      <c r="E815" s="1">
        <v>3220880</v>
      </c>
      <c r="G815" s="1">
        <v>35280781</v>
      </c>
      <c r="H815" s="1">
        <v>14828681</v>
      </c>
      <c r="I815" s="1">
        <v>2105811</v>
      </c>
      <c r="J815" s="1">
        <v>22760022</v>
      </c>
      <c r="K815" s="1">
        <v>14291149</v>
      </c>
      <c r="L815" s="1">
        <v>9593967</v>
      </c>
      <c r="M815" s="1">
        <v>3271271</v>
      </c>
      <c r="N815" s="1">
        <v>12520759</v>
      </c>
      <c r="O815" s="1">
        <v>12520759</v>
      </c>
      <c r="P815" s="1">
        <v>8876188</v>
      </c>
      <c r="Q815" s="1">
        <v>5531361</v>
      </c>
      <c r="R815" s="1">
        <v>679</v>
      </c>
      <c r="T815">
        <f>E815/G815</f>
        <v>9.1292763615408626E-2</v>
      </c>
      <c r="U815">
        <f>D815/C815</f>
        <v>0.14586756809295731</v>
      </c>
      <c r="V815">
        <f>(E815-F815)/O815</f>
        <v>0.25724319108769683</v>
      </c>
      <c r="W815">
        <f>H815/K815</f>
        <v>1.0376129309126929</v>
      </c>
      <c r="X815">
        <f>(H815-I815)/K815</f>
        <v>0.89026221754457957</v>
      </c>
      <c r="Y815">
        <f>(H815-K815)/G815</f>
        <v>1.5235830522005734E-2</v>
      </c>
      <c r="Z815">
        <f>J815/N815</f>
        <v>1.8177829315299496</v>
      </c>
      <c r="AA815">
        <f>J815/G815</f>
        <v>0.64511105919112166</v>
      </c>
      <c r="AB815">
        <f>C815/G815</f>
        <v>1.2139893955295378</v>
      </c>
      <c r="AC815">
        <f>C815/(G815-K815)</f>
        <v>2.0405547843811651</v>
      </c>
      <c r="AD815">
        <f>Q815/E815</f>
        <v>1.7173446387322719</v>
      </c>
      <c r="AE815">
        <f>Q815/J815</f>
        <v>0.24302968599942479</v>
      </c>
      <c r="AF815">
        <f>Q815/G815</f>
        <v>0.15678113814997463</v>
      </c>
      <c r="AG815">
        <f>Q815/K815</f>
        <v>0.3870480253197276</v>
      </c>
      <c r="AH815">
        <f>Q815/L815</f>
        <v>0.57654576047634931</v>
      </c>
      <c r="AI815" s="1">
        <f>R815</f>
        <v>679</v>
      </c>
      <c r="AJ815" s="1">
        <f>P815</f>
        <v>8876188</v>
      </c>
    </row>
    <row r="816" spans="1:36" x14ac:dyDescent="0.25">
      <c r="A816" t="s">
        <v>140</v>
      </c>
      <c r="B816">
        <v>2020</v>
      </c>
      <c r="C816" s="1">
        <v>47835328</v>
      </c>
      <c r="D816" s="1">
        <v>4905437</v>
      </c>
      <c r="E816" s="1">
        <v>2812130</v>
      </c>
      <c r="G816" s="1">
        <v>38784301</v>
      </c>
      <c r="H816" s="1">
        <v>17826953</v>
      </c>
      <c r="I816" s="1">
        <v>2582120</v>
      </c>
      <c r="J816" s="1">
        <v>23641658</v>
      </c>
      <c r="K816" s="1">
        <v>15534818</v>
      </c>
      <c r="L816" s="1">
        <v>12591284</v>
      </c>
      <c r="M816" s="1">
        <v>2633041</v>
      </c>
      <c r="N816" s="1">
        <v>15142643</v>
      </c>
      <c r="O816" s="1">
        <v>15142643</v>
      </c>
      <c r="P816" s="1">
        <v>11216367</v>
      </c>
      <c r="Q816" s="1">
        <v>1949628</v>
      </c>
      <c r="R816" s="1">
        <v>650</v>
      </c>
      <c r="T816">
        <f>E816/G816</f>
        <v>7.2506914588972488E-2</v>
      </c>
      <c r="U816">
        <f>D816/C816</f>
        <v>0.10254841359089249</v>
      </c>
      <c r="V816">
        <f>(E816-F816)/O816</f>
        <v>0.18570932432336945</v>
      </c>
      <c r="W816">
        <f>H816/K816</f>
        <v>1.1475482364840064</v>
      </c>
      <c r="X816">
        <f>(H816-I816)/K816</f>
        <v>0.98133322192767236</v>
      </c>
      <c r="Y816">
        <f>(H816-K816)/G816</f>
        <v>5.9099556802635171E-2</v>
      </c>
      <c r="Z816">
        <f>J816/N816</f>
        <v>1.5612636446622958</v>
      </c>
      <c r="AA816">
        <f>J816/G816</f>
        <v>0.60956772174390872</v>
      </c>
      <c r="AB816">
        <f>C816/G816</f>
        <v>1.2333683157007265</v>
      </c>
      <c r="AC816">
        <f>C816/(G816-K816)</f>
        <v>2.0574792136238038</v>
      </c>
      <c r="AD816">
        <f>Q816/E816</f>
        <v>0.69329227311681896</v>
      </c>
      <c r="AE816">
        <f>Q816/J816</f>
        <v>8.2465789835890535E-2</v>
      </c>
      <c r="AF816">
        <f>Q816/G816</f>
        <v>5.0268483632075769E-2</v>
      </c>
      <c r="AG816">
        <f>Q816/K816</f>
        <v>0.12550053692293014</v>
      </c>
      <c r="AH816">
        <f>Q816/L816</f>
        <v>0.15483949055553031</v>
      </c>
      <c r="AI816" s="1">
        <f>R816</f>
        <v>650</v>
      </c>
      <c r="AJ816" s="1">
        <f>P816</f>
        <v>11216367</v>
      </c>
    </row>
    <row r="817" spans="1:36" x14ac:dyDescent="0.25">
      <c r="A817" t="s">
        <v>140</v>
      </c>
      <c r="B817">
        <v>2021</v>
      </c>
      <c r="C817" s="1">
        <v>49849287</v>
      </c>
      <c r="D817" s="1">
        <v>4705937</v>
      </c>
      <c r="E817" s="1">
        <v>2471096</v>
      </c>
      <c r="G817" s="1">
        <v>35153565</v>
      </c>
      <c r="H817" s="1">
        <v>14944450</v>
      </c>
      <c r="I817" s="1">
        <v>3493117</v>
      </c>
      <c r="J817" s="1">
        <v>18179154</v>
      </c>
      <c r="K817" s="1">
        <v>9194315</v>
      </c>
      <c r="L817" s="1">
        <v>5365724</v>
      </c>
      <c r="M817" s="1">
        <v>3497060</v>
      </c>
      <c r="N817" s="1">
        <v>16974411</v>
      </c>
      <c r="O817" s="1">
        <v>16974411</v>
      </c>
      <c r="P817" s="1">
        <v>13048135</v>
      </c>
      <c r="Q817" s="1">
        <v>5544893</v>
      </c>
      <c r="R817" s="1">
        <v>639.9</v>
      </c>
      <c r="T817">
        <f>E817/G817</f>
        <v>7.0294321500536286E-2</v>
      </c>
      <c r="U817">
        <f>D817/C817</f>
        <v>9.4403296079239807E-2</v>
      </c>
      <c r="V817">
        <f>(E817-F817)/O817</f>
        <v>0.14557771695288868</v>
      </c>
      <c r="W817">
        <f>H817/K817</f>
        <v>1.6254011310249867</v>
      </c>
      <c r="X817">
        <f>(H817-I817)/K817</f>
        <v>1.2454797339442907</v>
      </c>
      <c r="Y817">
        <f>(H817-K817)/G817</f>
        <v>0.1635718880858883</v>
      </c>
      <c r="Z817">
        <f>J817/N817</f>
        <v>1.0709740679661874</v>
      </c>
      <c r="AA817">
        <f>J817/G817</f>
        <v>0.5171354313566775</v>
      </c>
      <c r="AB817">
        <f>C817/G817</f>
        <v>1.4180435753813305</v>
      </c>
      <c r="AC817">
        <f>C817/(G817-K817)</f>
        <v>1.9202899544478365</v>
      </c>
      <c r="AD817">
        <f>Q817/E817</f>
        <v>2.2439002774477399</v>
      </c>
      <c r="AE817">
        <f>Q817/J817</f>
        <v>0.3050138086733849</v>
      </c>
      <c r="AF817">
        <f>Q817/G817</f>
        <v>0.15773344751805399</v>
      </c>
      <c r="AG817">
        <f>Q817/K817</f>
        <v>0.60307842400439837</v>
      </c>
      <c r="AH817">
        <f>Q817/L817</f>
        <v>1.0333913932211198</v>
      </c>
      <c r="AI817" s="1">
        <f>R817</f>
        <v>639.9</v>
      </c>
      <c r="AJ817" s="1">
        <f>P817</f>
        <v>13048135</v>
      </c>
    </row>
    <row r="818" spans="1:36" x14ac:dyDescent="0.25">
      <c r="A818" t="s">
        <v>140</v>
      </c>
      <c r="B818">
        <v>2022</v>
      </c>
      <c r="C818" s="1">
        <v>58570885</v>
      </c>
      <c r="D818" s="1">
        <v>5273109</v>
      </c>
      <c r="E818" s="1">
        <v>3668105</v>
      </c>
      <c r="G818" s="1">
        <v>41066879</v>
      </c>
      <c r="H818" s="1">
        <v>19622284</v>
      </c>
      <c r="I818" s="1">
        <v>4438517</v>
      </c>
      <c r="J818" s="1">
        <v>21139218</v>
      </c>
      <c r="K818" s="1">
        <v>13279031</v>
      </c>
      <c r="L818" s="1">
        <v>5648007</v>
      </c>
      <c r="M818" s="1">
        <v>2300311</v>
      </c>
      <c r="N818" s="1">
        <v>19927661</v>
      </c>
      <c r="O818" s="1">
        <v>19927661</v>
      </c>
      <c r="P818" s="1">
        <v>15297757</v>
      </c>
      <c r="Q818" s="1">
        <v>4818026</v>
      </c>
      <c r="R818" s="1">
        <v>615</v>
      </c>
      <c r="T818">
        <f>E818/G818</f>
        <v>8.9320276809932403E-2</v>
      </c>
      <c r="U818">
        <f>D818/C818</f>
        <v>9.0029525761818344E-2</v>
      </c>
      <c r="V818">
        <f>(E818-F818)/O818</f>
        <v>0.18407102569639255</v>
      </c>
      <c r="W818">
        <f>H818/K818</f>
        <v>1.4776894488762018</v>
      </c>
      <c r="X818">
        <f>(H818-I818)/K818</f>
        <v>1.1434393819850259</v>
      </c>
      <c r="Y818">
        <f>(H818-K818)/G818</f>
        <v>0.15446153090912995</v>
      </c>
      <c r="Z818">
        <f>J818/N818</f>
        <v>1.060797752430654</v>
      </c>
      <c r="AA818">
        <f>J818/G818</f>
        <v>0.51475102356816549</v>
      </c>
      <c r="AB818">
        <f>C818/G818</f>
        <v>1.4262317085259875</v>
      </c>
      <c r="AC818">
        <f>C818/(G818-K818)</f>
        <v>2.1077877279305688</v>
      </c>
      <c r="AD818">
        <f>Q818/E818</f>
        <v>1.3134918438812411</v>
      </c>
      <c r="AE818">
        <f>Q818/J818</f>
        <v>0.22791883786808007</v>
      </c>
      <c r="AF818">
        <f>Q818/G818</f>
        <v>0.11732145508306098</v>
      </c>
      <c r="AG818">
        <f>Q818/K818</f>
        <v>0.3628296371926536</v>
      </c>
      <c r="AH818">
        <f>Q818/L818</f>
        <v>0.85304887192951429</v>
      </c>
      <c r="AI818" s="1">
        <f>R818</f>
        <v>615</v>
      </c>
      <c r="AJ818" s="1">
        <f>P818</f>
        <v>15297757</v>
      </c>
    </row>
    <row r="819" spans="1:36" x14ac:dyDescent="0.25">
      <c r="A819" t="s">
        <v>140</v>
      </c>
      <c r="B819">
        <v>2023</v>
      </c>
      <c r="C819" s="1">
        <v>94969346</v>
      </c>
      <c r="D819" s="1">
        <v>13070252</v>
      </c>
      <c r="E819" s="1">
        <v>6991603</v>
      </c>
      <c r="G819" s="1">
        <v>47371945</v>
      </c>
      <c r="H819" s="1">
        <v>23837038</v>
      </c>
      <c r="I819" s="1">
        <v>7188830</v>
      </c>
      <c r="J819" s="1">
        <v>24145184</v>
      </c>
      <c r="K819" s="1">
        <v>16250494</v>
      </c>
      <c r="L819" s="1">
        <v>6604600</v>
      </c>
      <c r="M819" s="1">
        <v>1924442</v>
      </c>
      <c r="N819" s="1">
        <v>23226761</v>
      </c>
      <c r="O819" s="1">
        <v>23226761</v>
      </c>
      <c r="P819" s="1">
        <v>18596857</v>
      </c>
      <c r="Q819" s="1">
        <v>1498374</v>
      </c>
      <c r="R819" s="1">
        <v>714.75</v>
      </c>
      <c r="T819">
        <f>E819/G819</f>
        <v>0.1475895279368411</v>
      </c>
      <c r="U819">
        <f>D819/C819</f>
        <v>0.1376260082911385</v>
      </c>
      <c r="V819">
        <f>(E819-F819)/O819</f>
        <v>0.30101498009128352</v>
      </c>
      <c r="W819">
        <f>H819/K819</f>
        <v>1.4668500539122071</v>
      </c>
      <c r="X819">
        <f>(H819-I819)/K819</f>
        <v>1.0244739636838116</v>
      </c>
      <c r="Y819">
        <f>(H819-K819)/G819</f>
        <v>0.16014845917768417</v>
      </c>
      <c r="Z819">
        <f>J819/N819</f>
        <v>1.0395415873956768</v>
      </c>
      <c r="AA819">
        <f>J819/G819</f>
        <v>0.50969374383931254</v>
      </c>
      <c r="AB819">
        <f>C819/G819</f>
        <v>2.0047592726032253</v>
      </c>
      <c r="AC819">
        <f>C819/(G819-K819)</f>
        <v>3.0515719206022882</v>
      </c>
      <c r="AD819">
        <f>Q819/E819</f>
        <v>0.21431050933526974</v>
      </c>
      <c r="AE819">
        <f>Q819/J819</f>
        <v>6.2056847444194256E-2</v>
      </c>
      <c r="AF819">
        <f>Q819/G819</f>
        <v>3.1629986904696442E-2</v>
      </c>
      <c r="AG819">
        <f>Q819/K819</f>
        <v>9.2204827742467396E-2</v>
      </c>
      <c r="AH819">
        <f>Q819/L819</f>
        <v>0.22686824334554703</v>
      </c>
      <c r="AI819" s="1">
        <f>R819</f>
        <v>714.75</v>
      </c>
      <c r="AJ819" s="1">
        <f>P819</f>
        <v>18596857</v>
      </c>
    </row>
    <row r="820" spans="1:36" s="8" customFormat="1" x14ac:dyDescent="0.25">
      <c r="A820" s="8" t="s">
        <v>140</v>
      </c>
      <c r="B820" s="8">
        <v>2024</v>
      </c>
      <c r="C820" s="9">
        <v>109755568</v>
      </c>
      <c r="D820" s="9">
        <v>15367756</v>
      </c>
      <c r="E820" s="9">
        <v>8403478</v>
      </c>
      <c r="F820" s="9"/>
      <c r="G820" s="9">
        <v>55352860</v>
      </c>
      <c r="H820" s="9">
        <v>27319305</v>
      </c>
      <c r="I820" s="9">
        <v>8778530</v>
      </c>
      <c r="J820" s="9">
        <v>27752692</v>
      </c>
      <c r="K820" s="9">
        <v>19465678</v>
      </c>
      <c r="L820" s="9">
        <v>4593268</v>
      </c>
      <c r="M820" s="9">
        <v>1373569</v>
      </c>
      <c r="N820" s="9">
        <v>27600168</v>
      </c>
      <c r="O820" s="9">
        <v>27600168</v>
      </c>
      <c r="P820" s="9">
        <v>22233549</v>
      </c>
      <c r="Q820" s="9">
        <v>11360985</v>
      </c>
      <c r="R820" s="9">
        <v>953.25</v>
      </c>
      <c r="T820" s="8">
        <f>E820/G820</f>
        <v>0.15181650957150181</v>
      </c>
      <c r="U820" s="8">
        <f>D820/C820</f>
        <v>0.14001800801577557</v>
      </c>
      <c r="V820" s="8">
        <f>(E820-F820)/O820</f>
        <v>0.30447198727196151</v>
      </c>
      <c r="W820" s="8">
        <f>H820/K820</f>
        <v>1.4034602339564026</v>
      </c>
      <c r="X820" s="8">
        <f>(H820-I820)/K820</f>
        <v>0.95248544643551591</v>
      </c>
      <c r="Y820" s="8">
        <f>(H820-K820)/G820</f>
        <v>0.1418829487762692</v>
      </c>
      <c r="Z820" s="8">
        <f>J820/N820</f>
        <v>1.0055261982463295</v>
      </c>
      <c r="AA820" s="8">
        <f>J820/G820</f>
        <v>0.50137774272187563</v>
      </c>
      <c r="AB820" s="8">
        <f>C820/G820</f>
        <v>1.982834635825502</v>
      </c>
      <c r="AC820" s="8">
        <f>C820/(G820-K820)</f>
        <v>3.0583501373833144</v>
      </c>
      <c r="AD820" s="8">
        <f>Q820/E820</f>
        <v>1.3519384473904734</v>
      </c>
      <c r="AE820" s="8">
        <f>Q820/J820</f>
        <v>0.40936515275707308</v>
      </c>
      <c r="AF820" s="8">
        <f>Q820/G820</f>
        <v>0.20524657623833709</v>
      </c>
      <c r="AG820" s="8">
        <f>Q820/K820</f>
        <v>0.58364188496285618</v>
      </c>
      <c r="AH820" s="8">
        <f>Q820/L820</f>
        <v>2.4733991136593816</v>
      </c>
      <c r="AI820" s="9">
        <f>R820</f>
        <v>953.25</v>
      </c>
      <c r="AJ820" s="9">
        <f>P820</f>
        <v>22233549</v>
      </c>
    </row>
    <row r="821" spans="1:36" x14ac:dyDescent="0.25">
      <c r="A821" s="15" t="s">
        <v>138</v>
      </c>
      <c r="B821" s="15">
        <v>2018</v>
      </c>
      <c r="C821" s="6">
        <v>492844.63</v>
      </c>
      <c r="D821" s="6">
        <v>45879.307999999997</v>
      </c>
      <c r="E821" s="6">
        <v>11814.621999999999</v>
      </c>
      <c r="F821" s="6">
        <v>0</v>
      </c>
      <c r="G821" s="6">
        <v>351151.36200000002</v>
      </c>
      <c r="H821" s="6">
        <v>198892.55</v>
      </c>
      <c r="I821" s="6">
        <v>106053.84</v>
      </c>
      <c r="J821" s="6">
        <v>195246.79699999999</v>
      </c>
      <c r="K821" s="6">
        <v>189768.66200000001</v>
      </c>
      <c r="L821" s="6">
        <v>116522.98699999999</v>
      </c>
      <c r="M821" s="6">
        <v>0</v>
      </c>
      <c r="N821" s="6">
        <v>155904.565</v>
      </c>
      <c r="O821" s="6">
        <v>155904.565</v>
      </c>
      <c r="P821" s="6">
        <v>17894.564999999999</v>
      </c>
      <c r="Q821" s="6">
        <v>-1592.7260000000001</v>
      </c>
      <c r="R821" s="6">
        <v>10.3</v>
      </c>
      <c r="S821" s="15"/>
      <c r="T821" s="15">
        <f>E821/G821</f>
        <v>3.3645382813579969E-2</v>
      </c>
      <c r="U821" s="15">
        <f>D821/C821</f>
        <v>9.3090814441865774E-2</v>
      </c>
      <c r="V821" s="15">
        <f>(E821-F821)/O821</f>
        <v>7.5781116479815711E-2</v>
      </c>
      <c r="W821" s="15">
        <f>H821/K821</f>
        <v>1.0480790026332165</v>
      </c>
      <c r="X821" s="15">
        <f>(H821-I821)/K821</f>
        <v>0.48922044884312871</v>
      </c>
      <c r="Y821" s="15">
        <f>(H821-K821)/G821</f>
        <v>2.5982778332495765E-2</v>
      </c>
      <c r="Z821" s="15">
        <f>J821/N821</f>
        <v>1.2523481721013108</v>
      </c>
      <c r="AA821" s="15">
        <f>J821/G821</f>
        <v>0.55601890845008306</v>
      </c>
      <c r="AB821" s="15">
        <f>C821/G821</f>
        <v>1.4035105180654261</v>
      </c>
      <c r="AC821" s="15">
        <f>C821/(G821-K821)</f>
        <v>3.0538876224031446</v>
      </c>
      <c r="AD821" s="15">
        <f>Q821/E821</f>
        <v>-0.13480972984154721</v>
      </c>
      <c r="AE821" s="15">
        <f>Q821/J821</f>
        <v>-8.15750129821592E-3</v>
      </c>
      <c r="AF821" s="15">
        <f>Q821/G821</f>
        <v>-4.5357249675141518E-3</v>
      </c>
      <c r="AG821" s="15">
        <f>Q821/K821</f>
        <v>-8.3929874575392228E-3</v>
      </c>
      <c r="AH821" s="15">
        <f>Q821/L821</f>
        <v>-1.3668770780824561E-2</v>
      </c>
      <c r="AI821" s="6">
        <f>R821</f>
        <v>10.3</v>
      </c>
      <c r="AJ821" s="6">
        <f>P821</f>
        <v>17894.564999999999</v>
      </c>
    </row>
    <row r="822" spans="1:36" x14ac:dyDescent="0.25">
      <c r="A822" t="s">
        <v>138</v>
      </c>
      <c r="B822">
        <v>2019</v>
      </c>
      <c r="C822" s="1">
        <v>480203.73</v>
      </c>
      <c r="D822" s="1">
        <v>31135.949000000001</v>
      </c>
      <c r="E822" s="1">
        <v>11301.654</v>
      </c>
      <c r="F822" s="1">
        <v>0</v>
      </c>
      <c r="G822" s="1">
        <v>386501.23800000001</v>
      </c>
      <c r="H822" s="1">
        <v>238760.50200000001</v>
      </c>
      <c r="I822" s="1">
        <v>109302.89200000001</v>
      </c>
      <c r="J822" s="1">
        <v>223740.52600000001</v>
      </c>
      <c r="K822" s="1">
        <v>218047.96</v>
      </c>
      <c r="L822" s="1">
        <v>92378.774999999994</v>
      </c>
      <c r="M822" s="1">
        <v>0</v>
      </c>
      <c r="N822" s="1">
        <v>162760.712</v>
      </c>
      <c r="O822" s="1">
        <v>162760.712</v>
      </c>
      <c r="P822" s="1">
        <v>23612.181</v>
      </c>
      <c r="Q822" s="1">
        <v>15770.003000000001</v>
      </c>
      <c r="R822" s="1">
        <v>10.8</v>
      </c>
      <c r="T822">
        <f>E822/G822</f>
        <v>2.9240925743166703E-2</v>
      </c>
      <c r="U822">
        <f>D822/C822</f>
        <v>6.4839040296500824E-2</v>
      </c>
      <c r="V822">
        <f>(E822-F822)/O822</f>
        <v>6.9437236180190709E-2</v>
      </c>
      <c r="W822">
        <f>H822/K822</f>
        <v>1.0949907625826907</v>
      </c>
      <c r="X822">
        <f>(H822-I822)/K822</f>
        <v>0.59371163114756953</v>
      </c>
      <c r="Y822">
        <f>(H822-K822)/G822</f>
        <v>5.3589846457361194E-2</v>
      </c>
      <c r="Z822">
        <f>J822/N822</f>
        <v>1.3746592973862146</v>
      </c>
      <c r="AA822">
        <f>J822/G822</f>
        <v>0.57888695818355962</v>
      </c>
      <c r="AB822">
        <f>C822/G822</f>
        <v>1.2424377538475051</v>
      </c>
      <c r="AC822">
        <f>C822/(G822-K822)</f>
        <v>2.8506642061307939</v>
      </c>
      <c r="AD822">
        <f>Q822/E822</f>
        <v>1.3953712438904959</v>
      </c>
      <c r="AE822">
        <f>Q822/J822</f>
        <v>7.0483444738124915E-2</v>
      </c>
      <c r="AF822">
        <f>Q822/G822</f>
        <v>4.0801946926752146E-2</v>
      </c>
      <c r="AG822">
        <f>Q822/K822</f>
        <v>7.232355212128562E-2</v>
      </c>
      <c r="AH822">
        <f>Q822/L822</f>
        <v>0.17071024161123594</v>
      </c>
      <c r="AI822" s="1">
        <f>R822</f>
        <v>10.8</v>
      </c>
      <c r="AJ822" s="1">
        <f>P822</f>
        <v>23612.181</v>
      </c>
    </row>
    <row r="823" spans="1:36" x14ac:dyDescent="0.25">
      <c r="A823" t="s">
        <v>138</v>
      </c>
      <c r="B823">
        <v>2020</v>
      </c>
      <c r="C823" s="1">
        <v>650527.93500000006</v>
      </c>
      <c r="D823" s="1">
        <v>62158.966</v>
      </c>
      <c r="E823" s="1">
        <v>41302.834999999999</v>
      </c>
      <c r="F823" s="1">
        <v>0</v>
      </c>
      <c r="G823" s="1">
        <v>554050.92099999997</v>
      </c>
      <c r="H823" s="1">
        <v>407180.016</v>
      </c>
      <c r="I823" s="1">
        <v>138391.12299999999</v>
      </c>
      <c r="J823" s="1">
        <v>359558.82199999999</v>
      </c>
      <c r="K823" s="1">
        <v>355076.72200000001</v>
      </c>
      <c r="L823" s="1">
        <v>63657.379000000001</v>
      </c>
      <c r="M823" s="1">
        <v>0</v>
      </c>
      <c r="N823" s="1">
        <v>194492.09899999999</v>
      </c>
      <c r="O823" s="1">
        <v>194492.09899999999</v>
      </c>
      <c r="P823" s="1">
        <v>55343.567999999999</v>
      </c>
      <c r="Q823" s="1">
        <v>68185.343999999997</v>
      </c>
      <c r="R823" s="1">
        <v>8.9</v>
      </c>
      <c r="T823">
        <f>E823/G823</f>
        <v>7.4547001790833595E-2</v>
      </c>
      <c r="U823">
        <f>D823/C823</f>
        <v>9.5551570740770711E-2</v>
      </c>
      <c r="V823">
        <f>(E823-F823)/O823</f>
        <v>0.2123625340688004</v>
      </c>
      <c r="W823">
        <f>H823/K823</f>
        <v>1.1467381294569909</v>
      </c>
      <c r="X823">
        <f>(H823-I823)/K823</f>
        <v>0.75698821225459001</v>
      </c>
      <c r="Y823">
        <f>(H823-K823)/G823</f>
        <v>9.4040623388838299E-2</v>
      </c>
      <c r="Z823">
        <f>J823/N823</f>
        <v>1.8487065739364559</v>
      </c>
      <c r="AA823">
        <f>J823/G823</f>
        <v>0.64896349481927851</v>
      </c>
      <c r="AB823">
        <f>C823/G823</f>
        <v>1.1741302294487117</v>
      </c>
      <c r="AC823">
        <f>C823/(G823-K823)</f>
        <v>3.2694084874793248</v>
      </c>
      <c r="AD823">
        <f>Q823/E823</f>
        <v>1.6508635303121444</v>
      </c>
      <c r="AE823">
        <f>Q823/J823</f>
        <v>0.18963613135877946</v>
      </c>
      <c r="AF823">
        <f>Q823/G823</f>
        <v>0.12306692655060129</v>
      </c>
      <c r="AG823">
        <f>Q823/K823</f>
        <v>0.19202989037394572</v>
      </c>
      <c r="AH823">
        <f>Q823/L823</f>
        <v>1.0711302455603771</v>
      </c>
      <c r="AI823" s="1">
        <f>R823</f>
        <v>8.9</v>
      </c>
      <c r="AJ823" s="1">
        <f>P823</f>
        <v>55343.567999999999</v>
      </c>
    </row>
    <row r="824" spans="1:36" x14ac:dyDescent="0.25">
      <c r="A824" t="s">
        <v>138</v>
      </c>
      <c r="B824">
        <v>2021</v>
      </c>
      <c r="C824" s="1">
        <v>753249.31700000004</v>
      </c>
      <c r="D824" s="1">
        <v>119723.113</v>
      </c>
      <c r="E824" s="1">
        <v>84713.293999999994</v>
      </c>
      <c r="F824" s="1">
        <v>0</v>
      </c>
      <c r="G824" s="1">
        <v>1011500.385</v>
      </c>
      <c r="H824" s="1">
        <v>776190.04399999999</v>
      </c>
      <c r="I824" s="1">
        <v>169249.315</v>
      </c>
      <c r="J824" s="1">
        <v>363562.87</v>
      </c>
      <c r="K824" s="1">
        <v>357414.07699999999</v>
      </c>
      <c r="L824" s="1">
        <v>42204.572</v>
      </c>
      <c r="M824" s="1">
        <v>0</v>
      </c>
      <c r="N824" s="1">
        <v>647937.51500000001</v>
      </c>
      <c r="O824" s="1">
        <v>647937.51500000001</v>
      </c>
      <c r="P824" s="1">
        <v>100351.647</v>
      </c>
      <c r="Q824" s="1">
        <v>-32549.767</v>
      </c>
      <c r="R824" s="1">
        <v>13.9</v>
      </c>
      <c r="T824">
        <f>E824/G824</f>
        <v>8.3750135201382053E-2</v>
      </c>
      <c r="U824">
        <f>D824/C824</f>
        <v>0.15894221248925472</v>
      </c>
      <c r="V824">
        <f>(E824-F824)/O824</f>
        <v>0.13074299919182791</v>
      </c>
      <c r="W824">
        <f>H824/K824</f>
        <v>2.1716829133173734</v>
      </c>
      <c r="X824">
        <f>(H824-I824)/K824</f>
        <v>1.6981444438183113</v>
      </c>
      <c r="Y824">
        <f>(H824-K824)/G824</f>
        <v>0.4140146392529549</v>
      </c>
      <c r="Z824">
        <f>J824/N824</f>
        <v>0.5611079179448345</v>
      </c>
      <c r="AA824">
        <f>J824/G824</f>
        <v>0.35942929473032281</v>
      </c>
      <c r="AB824">
        <f>C824/G824</f>
        <v>0.74468515105903799</v>
      </c>
      <c r="AC824">
        <f>C824/(G824-K824)</f>
        <v>1.1516053887494004</v>
      </c>
      <c r="AD824">
        <f>Q824/E824</f>
        <v>-0.3842344626570654</v>
      </c>
      <c r="AE824">
        <f>Q824/J824</f>
        <v>-8.9529953925162928E-2</v>
      </c>
      <c r="AF824">
        <f>Q824/G824</f>
        <v>-3.2179688196559607E-2</v>
      </c>
      <c r="AG824">
        <f>Q824/K824</f>
        <v>-9.107018747893357E-2</v>
      </c>
      <c r="AH824">
        <f>Q824/L824</f>
        <v>-0.77123793602266599</v>
      </c>
      <c r="AI824" s="1">
        <f>R824</f>
        <v>13.9</v>
      </c>
      <c r="AJ824" s="1">
        <f>P824</f>
        <v>100351.647</v>
      </c>
    </row>
    <row r="825" spans="1:36" x14ac:dyDescent="0.25">
      <c r="A825" t="s">
        <v>138</v>
      </c>
      <c r="B825">
        <v>2022</v>
      </c>
      <c r="C825" s="1">
        <v>868406.15800000005</v>
      </c>
      <c r="D825" s="1">
        <v>165995.976</v>
      </c>
      <c r="E825" s="1">
        <v>100119.391</v>
      </c>
      <c r="F825" s="1">
        <v>0</v>
      </c>
      <c r="G825" s="1">
        <v>943634.22900000005</v>
      </c>
      <c r="H825" s="1">
        <v>647882.12199999997</v>
      </c>
      <c r="I825" s="1">
        <v>106100.9</v>
      </c>
      <c r="J825" s="1">
        <v>309641.40000000002</v>
      </c>
      <c r="K825" s="1">
        <v>256112.16800000001</v>
      </c>
      <c r="L825" s="1">
        <v>56400</v>
      </c>
      <c r="M825" s="1">
        <v>48752.542000000001</v>
      </c>
      <c r="N825" s="1">
        <v>633992.82900000003</v>
      </c>
      <c r="O825" s="1">
        <v>633992.82900000003</v>
      </c>
      <c r="P825" s="1">
        <v>86406.960999999996</v>
      </c>
      <c r="Q825" s="1">
        <v>-33994.928</v>
      </c>
      <c r="R825" s="1">
        <v>15.6</v>
      </c>
      <c r="T825">
        <f>E825/G825</f>
        <v>0.10609978731494277</v>
      </c>
      <c r="U825">
        <f>D825/C825</f>
        <v>0.19115015994624027</v>
      </c>
      <c r="V825">
        <f>(E825-F825)/O825</f>
        <v>0.15791880668101374</v>
      </c>
      <c r="W825">
        <f>H825/K825</f>
        <v>2.5296811434589861</v>
      </c>
      <c r="X825">
        <f>(H825-I825)/K825</f>
        <v>2.115406020068519</v>
      </c>
      <c r="Y825">
        <f>(H825-K825)/G825</f>
        <v>0.41517141065894925</v>
      </c>
      <c r="Z825">
        <f>J825/N825</f>
        <v>0.48839889954023441</v>
      </c>
      <c r="AA825">
        <f>J825/G825</f>
        <v>0.32813710067314655</v>
      </c>
      <c r="AB825">
        <f>C825/G825</f>
        <v>0.92027835713449946</v>
      </c>
      <c r="AC825">
        <f>C825/(G825-K825)</f>
        <v>1.2630956986847874</v>
      </c>
      <c r="AD825">
        <f>Q825/E825</f>
        <v>-0.33954389514814365</v>
      </c>
      <c r="AE825">
        <f>Q825/J825</f>
        <v>-0.10978805805683606</v>
      </c>
      <c r="AF825">
        <f>Q825/G825</f>
        <v>-3.6025535059305273E-2</v>
      </c>
      <c r="AG825">
        <f>Q825/K825</f>
        <v>-0.13273452903651184</v>
      </c>
      <c r="AH825">
        <f>Q825/L825</f>
        <v>-0.6027469503546099</v>
      </c>
      <c r="AI825" s="1">
        <f>R825</f>
        <v>15.6</v>
      </c>
      <c r="AJ825" s="1">
        <f>P825</f>
        <v>86406.960999999996</v>
      </c>
    </row>
    <row r="826" spans="1:36" x14ac:dyDescent="0.25">
      <c r="A826" t="s">
        <v>138</v>
      </c>
      <c r="B826">
        <v>2023</v>
      </c>
      <c r="C826" s="1">
        <v>915635.86199999996</v>
      </c>
      <c r="D826" s="1">
        <v>252850.56899999999</v>
      </c>
      <c r="E826" s="1">
        <v>153014.48199999999</v>
      </c>
      <c r="F826" s="1">
        <v>0</v>
      </c>
      <c r="G826" s="1">
        <v>1000201.724</v>
      </c>
      <c r="H826" s="1">
        <v>494686.09700000001</v>
      </c>
      <c r="I826" s="1">
        <v>188044.049</v>
      </c>
      <c r="J826" s="1">
        <v>345602.58600000001</v>
      </c>
      <c r="K826" s="1">
        <v>303152.40000000002</v>
      </c>
      <c r="L826" s="1">
        <v>88419.83</v>
      </c>
      <c r="M826" s="1">
        <v>36679.74</v>
      </c>
      <c r="N826" s="1">
        <v>654599.13800000004</v>
      </c>
      <c r="O826" s="1">
        <v>654599.13800000004</v>
      </c>
      <c r="P826" s="1">
        <v>107108.148</v>
      </c>
      <c r="Q826" s="1">
        <v>277724.88500000001</v>
      </c>
      <c r="R826" s="1">
        <v>13.1</v>
      </c>
      <c r="T826">
        <f>E826/G826</f>
        <v>0.15298362153193007</v>
      </c>
      <c r="U826">
        <f>D826/C826</f>
        <v>0.27614751616183419</v>
      </c>
      <c r="V826">
        <f>(E826-F826)/O826</f>
        <v>0.23375295370462279</v>
      </c>
      <c r="W826">
        <f>H826/K826</f>
        <v>1.6318066325716041</v>
      </c>
      <c r="X826">
        <f>(H826-I826)/K826</f>
        <v>1.0115112003071722</v>
      </c>
      <c r="Y826">
        <f>(H826-K826)/G826</f>
        <v>0.19149506784893322</v>
      </c>
      <c r="Z826">
        <f>J826/N826</f>
        <v>0.52796064940739351</v>
      </c>
      <c r="AA826">
        <f>J826/G826</f>
        <v>0.34553288372456353</v>
      </c>
      <c r="AB826">
        <f>C826/G826</f>
        <v>0.91545119352343762</v>
      </c>
      <c r="AC826">
        <f>C826/(G826-K826)</f>
        <v>1.3135883365407295</v>
      </c>
      <c r="AD826">
        <f>Q826/E826</f>
        <v>1.8150235282958382</v>
      </c>
      <c r="AE826">
        <f>Q826/J826</f>
        <v>0.80359608478161093</v>
      </c>
      <c r="AF826">
        <f>Q826/G826</f>
        <v>0.2776688725243589</v>
      </c>
      <c r="AG826">
        <f>Q826/K826</f>
        <v>0.91612299622236204</v>
      </c>
      <c r="AH826">
        <f>Q826/L826</f>
        <v>3.1409796309266826</v>
      </c>
      <c r="AI826" s="1">
        <f>R826</f>
        <v>13.1</v>
      </c>
      <c r="AJ826" s="1">
        <f>P826</f>
        <v>107108.148</v>
      </c>
    </row>
    <row r="827" spans="1:36" s="8" customFormat="1" x14ac:dyDescent="0.25">
      <c r="A827" s="8" t="s">
        <v>138</v>
      </c>
      <c r="B827" s="8">
        <v>2024</v>
      </c>
      <c r="C827" s="9">
        <v>999523.52099999995</v>
      </c>
      <c r="D827" s="9">
        <v>325422.15899999999</v>
      </c>
      <c r="E827" s="9">
        <v>255543.448</v>
      </c>
      <c r="F827" s="9">
        <v>0</v>
      </c>
      <c r="G827" s="9">
        <v>2419642.0890000002</v>
      </c>
      <c r="H827" s="9">
        <v>1313897.8289999999</v>
      </c>
      <c r="I827" s="9">
        <v>673961.91099999996</v>
      </c>
      <c r="J827" s="9">
        <v>1304946.0090000001</v>
      </c>
      <c r="K827" s="9">
        <v>998970.51199999999</v>
      </c>
      <c r="L827" s="9">
        <v>662613.29799999995</v>
      </c>
      <c r="M827" s="9">
        <v>115352.28</v>
      </c>
      <c r="N827" s="9">
        <v>1114696.08</v>
      </c>
      <c r="O827" s="9">
        <v>1114696.08</v>
      </c>
      <c r="P827" s="9">
        <v>567205.09</v>
      </c>
      <c r="Q827" s="9">
        <v>-52046.495999999999</v>
      </c>
      <c r="R827" s="9">
        <v>16</v>
      </c>
      <c r="T827" s="8">
        <f>E827/G827</f>
        <v>0.10561208583770837</v>
      </c>
      <c r="U827" s="8">
        <f>D827/C827</f>
        <v>0.32557728974143874</v>
      </c>
      <c r="V827" s="8">
        <f>(E827-F827)/O827</f>
        <v>0.22924943631272121</v>
      </c>
      <c r="W827" s="8">
        <f>H827/K827</f>
        <v>1.3152518650120073</v>
      </c>
      <c r="X827" s="8">
        <f>(H827-I827)/K827</f>
        <v>0.64059540328053244</v>
      </c>
      <c r="Y827" s="8">
        <f>(H827-K827)/G827</f>
        <v>0.13015450443340337</v>
      </c>
      <c r="Z827" s="8">
        <f>J827/N827</f>
        <v>1.1706742603777704</v>
      </c>
      <c r="AA827" s="8">
        <f>J827/G827</f>
        <v>0.53931365094550565</v>
      </c>
      <c r="AB827" s="8">
        <f>C827/G827</f>
        <v>0.41308734277022235</v>
      </c>
      <c r="AC827" s="8">
        <f>C827/(G827-K827)</f>
        <v>0.70355706215413349</v>
      </c>
      <c r="AD827" s="8">
        <f>Q827/E827</f>
        <v>-0.2036698510853622</v>
      </c>
      <c r="AE827" s="8">
        <f>Q827/J827</f>
        <v>-3.9884022512076206E-2</v>
      </c>
      <c r="AF827" s="8">
        <f>Q827/G827</f>
        <v>-2.1509997795380553E-2</v>
      </c>
      <c r="AG827" s="8">
        <f>Q827/K827</f>
        <v>-5.2100132461167181E-2</v>
      </c>
      <c r="AH827" s="8">
        <f>Q827/L827</f>
        <v>-7.8547315843335228E-2</v>
      </c>
      <c r="AI827" s="9">
        <f>R827</f>
        <v>16</v>
      </c>
      <c r="AJ827" s="9">
        <f>P827</f>
        <v>567205.09</v>
      </c>
    </row>
    <row r="828" spans="1:36" x14ac:dyDescent="0.25">
      <c r="A828" t="s">
        <v>65</v>
      </c>
      <c r="B828">
        <v>2018</v>
      </c>
      <c r="C828" s="1">
        <v>10861044</v>
      </c>
      <c r="D828" s="5">
        <v>2743078</v>
      </c>
      <c r="E828" s="1">
        <v>1991829</v>
      </c>
      <c r="G828" s="1">
        <v>6067836</v>
      </c>
      <c r="H828" s="1">
        <v>4028220</v>
      </c>
      <c r="I828" s="1">
        <v>2755735</v>
      </c>
      <c r="J828" s="1">
        <v>2153363</v>
      </c>
      <c r="K828" s="1">
        <v>1756220</v>
      </c>
      <c r="L828" s="1">
        <v>0</v>
      </c>
      <c r="M828" s="1">
        <v>0</v>
      </c>
      <c r="N828" s="1">
        <v>3914473</v>
      </c>
      <c r="O828" s="1">
        <v>3914473</v>
      </c>
      <c r="P828" s="1">
        <v>3314473</v>
      </c>
      <c r="Q828" s="1">
        <v>2377770</v>
      </c>
      <c r="R828" s="1">
        <v>72.8</v>
      </c>
      <c r="T828">
        <f>E828/G828</f>
        <v>0.3282601902885971</v>
      </c>
      <c r="U828">
        <f>D828/C828</f>
        <v>0.25256117183578303</v>
      </c>
      <c r="V828">
        <f>(E828-F828)/O828</f>
        <v>0.50883707717488402</v>
      </c>
      <c r="W828">
        <f>H828/K828</f>
        <v>2.2936875790049083</v>
      </c>
      <c r="X828">
        <f>(H828-I828)/K828</f>
        <v>0.72455899602555485</v>
      </c>
      <c r="Y828">
        <f>(H828-K828)/G828</f>
        <v>0.37443332351105074</v>
      </c>
      <c r="Z828">
        <f>J828/N828</f>
        <v>0.55010291295916458</v>
      </c>
      <c r="AA828">
        <f>J828/G828</f>
        <v>0.35488154261255578</v>
      </c>
      <c r="AB828">
        <f>C828/G828</f>
        <v>1.7899369725879211</v>
      </c>
      <c r="AC828">
        <f>C828/(G828-K828)</f>
        <v>2.5190193189746024</v>
      </c>
      <c r="AD828">
        <f>Q828/E828</f>
        <v>1.1937621151213282</v>
      </c>
      <c r="AE828">
        <f>Q828/J828</f>
        <v>1.104212341347</v>
      </c>
      <c r="AF828">
        <f>Q828/G828</f>
        <v>0.39186457906904537</v>
      </c>
      <c r="AG828">
        <f>Q828/K828</f>
        <v>1.3539135188074387</v>
      </c>
      <c r="AH828" t="e">
        <f>Q828/L828</f>
        <v>#DIV/0!</v>
      </c>
      <c r="AI828" s="1">
        <f>R828</f>
        <v>72.8</v>
      </c>
      <c r="AJ828" s="1">
        <f>P828</f>
        <v>3314473</v>
      </c>
    </row>
    <row r="829" spans="1:36" x14ac:dyDescent="0.25">
      <c r="A829" t="s">
        <v>65</v>
      </c>
      <c r="B829">
        <v>2019</v>
      </c>
      <c r="C829" s="1">
        <v>11856057</v>
      </c>
      <c r="D829" s="5">
        <v>2917375</v>
      </c>
      <c r="E829" s="1">
        <v>2099408</v>
      </c>
      <c r="G829" s="1">
        <v>6235506</v>
      </c>
      <c r="H829" s="1">
        <v>3888552</v>
      </c>
      <c r="I829" s="1">
        <v>1939297</v>
      </c>
      <c r="J829" s="1">
        <v>2099209</v>
      </c>
      <c r="K829" s="1">
        <v>1327455</v>
      </c>
      <c r="L829" s="1">
        <v>0</v>
      </c>
      <c r="M829" s="1">
        <v>0</v>
      </c>
      <c r="N829" s="1">
        <v>4136297</v>
      </c>
      <c r="O829" s="1">
        <v>4136297</v>
      </c>
      <c r="P829" s="1">
        <v>3536296</v>
      </c>
      <c r="Q829" s="1">
        <v>2555488</v>
      </c>
      <c r="R829" s="1">
        <v>74.900000000000006</v>
      </c>
      <c r="T829">
        <f>E829/G829</f>
        <v>0.33668606846020194</v>
      </c>
      <c r="U829">
        <f>D829/C829</f>
        <v>0.24606620902716644</v>
      </c>
      <c r="V829">
        <f>(E829-F829)/O829</f>
        <v>0.50755736350653735</v>
      </c>
      <c r="W829">
        <f>H829/K829</f>
        <v>2.9293286778082872</v>
      </c>
      <c r="X829">
        <f>(H829-I829)/K829</f>
        <v>1.4684151251831512</v>
      </c>
      <c r="Y829">
        <f>(H829-K829)/G829</f>
        <v>0.41072801469519876</v>
      </c>
      <c r="Z829">
        <f>J829/N829</f>
        <v>0.50750925284136994</v>
      </c>
      <c r="AA829">
        <f>J829/G829</f>
        <v>0.33665415445033653</v>
      </c>
      <c r="AB829">
        <f>C829/G829</f>
        <v>1.9013784927798962</v>
      </c>
      <c r="AC829">
        <f>C829/(G829-K829)</f>
        <v>2.4156344341165159</v>
      </c>
      <c r="AD829">
        <f>Q829/E829</f>
        <v>1.2172421939899247</v>
      </c>
      <c r="AE829">
        <f>Q829/J829</f>
        <v>1.217357585642973</v>
      </c>
      <c r="AF829">
        <f>Q829/G829</f>
        <v>0.40982848865833821</v>
      </c>
      <c r="AG829">
        <f>Q829/K829</f>
        <v>1.9251032991702166</v>
      </c>
      <c r="AH829" t="e">
        <f>Q829/L829</f>
        <v>#DIV/0!</v>
      </c>
      <c r="AI829" s="1">
        <f>R829</f>
        <v>74.900000000000006</v>
      </c>
      <c r="AJ829" s="1">
        <f>P829</f>
        <v>3536296</v>
      </c>
    </row>
    <row r="830" spans="1:36" x14ac:dyDescent="0.25">
      <c r="A830" t="s">
        <v>65</v>
      </c>
      <c r="B830">
        <v>2020</v>
      </c>
      <c r="C830" s="1">
        <v>11637381</v>
      </c>
      <c r="D830" s="5">
        <v>3035780</v>
      </c>
      <c r="E830" s="1">
        <v>2225729</v>
      </c>
      <c r="G830" s="1">
        <v>7851653</v>
      </c>
      <c r="H830" s="1">
        <v>5671497</v>
      </c>
      <c r="I830" s="1">
        <v>2690695</v>
      </c>
      <c r="J830" s="1">
        <v>3671466</v>
      </c>
      <c r="K830" s="1">
        <v>2900424</v>
      </c>
      <c r="L830" s="1">
        <v>0</v>
      </c>
      <c r="M830" s="1">
        <v>0</v>
      </c>
      <c r="N830" s="1">
        <v>4180188</v>
      </c>
      <c r="O830" s="1">
        <v>4180188</v>
      </c>
      <c r="P830" s="1">
        <v>3580187</v>
      </c>
      <c r="Q830" s="1">
        <v>3536296</v>
      </c>
      <c r="R830" s="1">
        <v>108</v>
      </c>
      <c r="T830">
        <f>E830/G830</f>
        <v>0.28347266492800943</v>
      </c>
      <c r="U830">
        <f>D830/C830</f>
        <v>0.26086453644509877</v>
      </c>
      <c r="V830">
        <f>(E830-F830)/O830</f>
        <v>0.53244710524981176</v>
      </c>
      <c r="W830">
        <f>H830/K830</f>
        <v>1.9554027273253842</v>
      </c>
      <c r="X830">
        <f>(H830-I830)/K830</f>
        <v>1.0277124999655223</v>
      </c>
      <c r="Y830">
        <f>(H830-K830)/G830</f>
        <v>0.35292861261189207</v>
      </c>
      <c r="Z830">
        <f>J830/N830</f>
        <v>0.87830164576330061</v>
      </c>
      <c r="AA830">
        <f>J830/G830</f>
        <v>0.46760421022172022</v>
      </c>
      <c r="AB830">
        <f>C830/G830</f>
        <v>1.4821568146223476</v>
      </c>
      <c r="AC830">
        <f>C830/(G830-K830)</f>
        <v>2.350402496026744</v>
      </c>
      <c r="AD830">
        <f>Q830/E830</f>
        <v>1.5888259532045457</v>
      </c>
      <c r="AE830">
        <f>Q830/J830</f>
        <v>0.96318364380876742</v>
      </c>
      <c r="AF830">
        <f>Q830/G830</f>
        <v>0.45038872706167732</v>
      </c>
      <c r="AG830">
        <f>Q830/K830</f>
        <v>1.219234153351372</v>
      </c>
      <c r="AH830" t="e">
        <f>Q830/L830</f>
        <v>#DIV/0!</v>
      </c>
      <c r="AI830" s="1">
        <f>R830</f>
        <v>108</v>
      </c>
      <c r="AJ830" s="1">
        <f>P830</f>
        <v>3580187</v>
      </c>
    </row>
    <row r="831" spans="1:36" x14ac:dyDescent="0.25">
      <c r="A831" t="s">
        <v>65</v>
      </c>
      <c r="B831">
        <v>2021</v>
      </c>
      <c r="C831" s="1">
        <v>16866311</v>
      </c>
      <c r="D831" s="5">
        <v>4363263</v>
      </c>
      <c r="E831" s="1">
        <v>3926109</v>
      </c>
      <c r="G831" s="1">
        <v>10993193</v>
      </c>
      <c r="H831" s="1">
        <v>8965551</v>
      </c>
      <c r="I831" s="1">
        <v>3759672</v>
      </c>
      <c r="J831" s="1">
        <v>5994578</v>
      </c>
      <c r="K831" s="1">
        <v>5322385</v>
      </c>
      <c r="L831" s="1">
        <v>0</v>
      </c>
      <c r="M831" s="1">
        <v>0</v>
      </c>
      <c r="N831" s="1">
        <v>4998615</v>
      </c>
      <c r="O831" s="1">
        <v>4998615</v>
      </c>
      <c r="P831" s="1">
        <v>4398614</v>
      </c>
      <c r="Q831" s="1">
        <v>5359116</v>
      </c>
      <c r="R831" s="1">
        <v>113</v>
      </c>
      <c r="T831">
        <f>E831/G831</f>
        <v>0.35714000472838053</v>
      </c>
      <c r="U831">
        <f>D831/C831</f>
        <v>0.25869693734450883</v>
      </c>
      <c r="V831">
        <f>(E831-F831)/O831</f>
        <v>0.78543936670457715</v>
      </c>
      <c r="W831">
        <f>H831/K831</f>
        <v>1.6844987726367033</v>
      </c>
      <c r="X831">
        <f>(H831-I831)/K831</f>
        <v>0.97811018932301963</v>
      </c>
      <c r="Y831">
        <f>(H831-K831)/G831</f>
        <v>0.33140198666574855</v>
      </c>
      <c r="Z831">
        <f>J831/N831</f>
        <v>1.1992477916382838</v>
      </c>
      <c r="AA831">
        <f>J831/G831</f>
        <v>0.54529907734722749</v>
      </c>
      <c r="AB831">
        <f>C831/G831</f>
        <v>1.5342504220566309</v>
      </c>
      <c r="AC831">
        <f>C831/(G831-K831)</f>
        <v>2.9742341832063439</v>
      </c>
      <c r="AD831">
        <f>Q831/E831</f>
        <v>1.3649941965442121</v>
      </c>
      <c r="AE831">
        <f>Q831/J831</f>
        <v>0.89399387246274886</v>
      </c>
      <c r="AF831">
        <f>Q831/G831</f>
        <v>0.48749403380801193</v>
      </c>
      <c r="AG831">
        <f>Q831/K831</f>
        <v>1.0069012294300395</v>
      </c>
      <c r="AH831" t="e">
        <f>Q831/L831</f>
        <v>#DIV/0!</v>
      </c>
      <c r="AI831" s="1">
        <f>R831</f>
        <v>113</v>
      </c>
      <c r="AJ831" s="1">
        <f>P831</f>
        <v>4398614</v>
      </c>
    </row>
    <row r="832" spans="1:36" x14ac:dyDescent="0.25">
      <c r="A832" t="s">
        <v>65</v>
      </c>
      <c r="B832">
        <v>2022</v>
      </c>
      <c r="C832" s="1">
        <v>24574730</v>
      </c>
      <c r="D832" s="5">
        <v>7495799</v>
      </c>
      <c r="E832" s="1">
        <v>3666055</v>
      </c>
      <c r="G832" s="1">
        <v>13033697</v>
      </c>
      <c r="H832" s="1">
        <v>11032970</v>
      </c>
      <c r="I832" s="1">
        <v>5178417</v>
      </c>
      <c r="J832" s="1">
        <v>6874566</v>
      </c>
      <c r="K832" s="1">
        <v>5999396</v>
      </c>
      <c r="L832" s="1">
        <v>0</v>
      </c>
      <c r="M832" s="1">
        <v>0</v>
      </c>
      <c r="N832" s="1">
        <v>6159131</v>
      </c>
      <c r="O832" s="1">
        <v>6159131</v>
      </c>
      <c r="P832" s="1">
        <v>5559130</v>
      </c>
      <c r="Q832" s="1">
        <v>1672512</v>
      </c>
      <c r="R832" s="1">
        <v>96.5</v>
      </c>
      <c r="T832">
        <f>E832/G832</f>
        <v>0.28127514395953812</v>
      </c>
      <c r="U832">
        <f>D832/C832</f>
        <v>0.3050206044990118</v>
      </c>
      <c r="V832">
        <f>(E832-F832)/O832</f>
        <v>0.59522276762744619</v>
      </c>
      <c r="W832">
        <f>H832/K832</f>
        <v>1.8390134606883759</v>
      </c>
      <c r="X832">
        <f>(H832-I832)/K832</f>
        <v>0.97585706961167429</v>
      </c>
      <c r="Y832">
        <f>(H832-K832)/G832</f>
        <v>0.38619694780383496</v>
      </c>
      <c r="Z832">
        <f>J832/N832</f>
        <v>1.1161584320905011</v>
      </c>
      <c r="AA832">
        <f>J832/G832</f>
        <v>0.52744558968955624</v>
      </c>
      <c r="AB832">
        <f>C832/G832</f>
        <v>1.8854765459101896</v>
      </c>
      <c r="AC832">
        <f>C832/(G832-K832)</f>
        <v>3.4935567869501178</v>
      </c>
      <c r="AD832">
        <f>Q832/E832</f>
        <v>0.4562157414441409</v>
      </c>
      <c r="AE832">
        <f>Q832/J832</f>
        <v>0.24328983095078294</v>
      </c>
      <c r="AF832">
        <f>Q832/G832</f>
        <v>0.12832214835130815</v>
      </c>
      <c r="AG832">
        <f>Q832/K832</f>
        <v>0.2787800638597619</v>
      </c>
      <c r="AH832" t="e">
        <f>Q832/L832</f>
        <v>#DIV/0!</v>
      </c>
      <c r="AI832" s="1">
        <f>R832</f>
        <v>96.5</v>
      </c>
      <c r="AJ832" s="1">
        <f>P832</f>
        <v>5559130</v>
      </c>
    </row>
    <row r="833" spans="1:36" x14ac:dyDescent="0.25">
      <c r="A833" t="s">
        <v>65</v>
      </c>
      <c r="B833">
        <v>2023</v>
      </c>
      <c r="C833" s="1">
        <v>23252503</v>
      </c>
      <c r="D833" s="5">
        <v>4790185</v>
      </c>
      <c r="E833" s="1">
        <v>3603013</v>
      </c>
      <c r="G833" s="1">
        <v>11945119</v>
      </c>
      <c r="H833" s="1">
        <v>9842901</v>
      </c>
      <c r="I833" s="1">
        <v>4473447</v>
      </c>
      <c r="J833" s="1">
        <v>3612789</v>
      </c>
      <c r="K833" s="1">
        <v>2610788</v>
      </c>
      <c r="L833" s="1">
        <v>0</v>
      </c>
      <c r="M833" s="1">
        <v>0</v>
      </c>
      <c r="N833" s="1">
        <v>8332330</v>
      </c>
      <c r="O833" s="1">
        <v>8332330</v>
      </c>
      <c r="P833" s="1">
        <v>7732330</v>
      </c>
      <c r="Q833" s="1">
        <v>1065039</v>
      </c>
      <c r="R833" s="1">
        <v>90.3</v>
      </c>
      <c r="T833">
        <f>E833/G833</f>
        <v>0.30163056558917495</v>
      </c>
      <c r="U833">
        <f>D833/C833</f>
        <v>0.2060072844630963</v>
      </c>
      <c r="V833">
        <f>(E833-F833)/O833</f>
        <v>0.43241362260016108</v>
      </c>
      <c r="W833">
        <f>H833/K833</f>
        <v>3.7700881879340642</v>
      </c>
      <c r="X833">
        <f>(H833-I833)/K833</f>
        <v>2.0566411366989583</v>
      </c>
      <c r="Y833">
        <f>(H833-K833)/G833</f>
        <v>0.60544503575058561</v>
      </c>
      <c r="Z833">
        <f>J833/N833</f>
        <v>0.43358688386081684</v>
      </c>
      <c r="AA833">
        <f>J833/G833</f>
        <v>0.30244897518392239</v>
      </c>
      <c r="AB833">
        <f>C833/G833</f>
        <v>1.9466112476568882</v>
      </c>
      <c r="AC833">
        <f>C833/(G833-K833)</f>
        <v>2.4910733291973468</v>
      </c>
      <c r="AD833">
        <f>Q833/E833</f>
        <v>0.29559676859339667</v>
      </c>
      <c r="AE833">
        <f>Q833/J833</f>
        <v>0.29479690067701159</v>
      </c>
      <c r="AF833">
        <f>Q833/G833</f>
        <v>8.9161020497158711E-2</v>
      </c>
      <c r="AG833">
        <f>Q833/K833</f>
        <v>0.40793775672325749</v>
      </c>
      <c r="AH833" t="e">
        <f>Q833/L833</f>
        <v>#DIV/0!</v>
      </c>
      <c r="AI833" s="1">
        <f>R833</f>
        <v>90.3</v>
      </c>
      <c r="AJ833" s="1">
        <f>P833</f>
        <v>7732330</v>
      </c>
    </row>
    <row r="834" spans="1:36" s="8" customFormat="1" x14ac:dyDescent="0.25">
      <c r="A834" s="8" t="s">
        <v>65</v>
      </c>
      <c r="B834" s="8">
        <v>2024</v>
      </c>
      <c r="C834" s="9">
        <v>22963023</v>
      </c>
      <c r="D834" s="10">
        <v>5288886</v>
      </c>
      <c r="E834" s="9">
        <v>3855445</v>
      </c>
      <c r="F834" s="9"/>
      <c r="G834" s="9">
        <v>12674717</v>
      </c>
      <c r="H834" s="9">
        <v>10516363</v>
      </c>
      <c r="I834" s="9">
        <v>5786162</v>
      </c>
      <c r="J834" s="9">
        <v>4101102</v>
      </c>
      <c r="K834" s="9">
        <v>3053227</v>
      </c>
      <c r="L834" s="9">
        <v>0</v>
      </c>
      <c r="M834" s="9">
        <v>0</v>
      </c>
      <c r="N834" s="9">
        <v>8573616</v>
      </c>
      <c r="O834" s="9">
        <v>8573616</v>
      </c>
      <c r="P834" s="9">
        <v>7973615</v>
      </c>
      <c r="Q834" s="9">
        <v>3831854</v>
      </c>
      <c r="R834" s="9">
        <v>160</v>
      </c>
      <c r="T834" s="8">
        <f>E834/G834</f>
        <v>0.3041839119563774</v>
      </c>
      <c r="U834" s="8">
        <f>D834/C834</f>
        <v>0.23032185265851104</v>
      </c>
      <c r="V834" s="8">
        <f>(E834-F834)/O834</f>
        <v>0.44968715650432678</v>
      </c>
      <c r="W834" s="8">
        <f>H834/K834</f>
        <v>3.4443436403516672</v>
      </c>
      <c r="X834" s="8">
        <f>(H834-I834)/K834</f>
        <v>1.5492464202628891</v>
      </c>
      <c r="Y834" s="8">
        <f>(H834-K834)/G834</f>
        <v>0.58882072080978221</v>
      </c>
      <c r="Z834" s="8">
        <f>J834/N834</f>
        <v>0.4783398276759771</v>
      </c>
      <c r="AA834" s="8">
        <f>J834/G834</f>
        <v>0.32356556757835303</v>
      </c>
      <c r="AB834" s="8">
        <f>C834/G834</f>
        <v>1.8117187941947737</v>
      </c>
      <c r="AC834" s="8">
        <f>C834/(G834-K834)</f>
        <v>2.3866389717185177</v>
      </c>
      <c r="AD834" s="8">
        <f>Q834/E834</f>
        <v>0.99388112137509421</v>
      </c>
      <c r="AE834" s="8">
        <f>Q834/J834</f>
        <v>0.93434740223481394</v>
      </c>
      <c r="AF834" s="8">
        <f>Q834/G834</f>
        <v>0.3023226475194673</v>
      </c>
      <c r="AG834" s="8">
        <f>Q834/K834</f>
        <v>1.2550177238705147</v>
      </c>
      <c r="AH834" s="8" t="e">
        <f>Q834/L834</f>
        <v>#DIV/0!</v>
      </c>
      <c r="AI834" s="9">
        <f>R834</f>
        <v>160</v>
      </c>
      <c r="AJ834" s="9">
        <f>P834</f>
        <v>7973615</v>
      </c>
    </row>
    <row r="835" spans="1:36" x14ac:dyDescent="0.25">
      <c r="A835" s="15" t="s">
        <v>130</v>
      </c>
      <c r="B835" s="15">
        <v>2018</v>
      </c>
      <c r="C835" s="6">
        <v>5278777</v>
      </c>
      <c r="D835" s="6">
        <v>666338</v>
      </c>
      <c r="E835" s="6">
        <v>580531</v>
      </c>
      <c r="F835" s="6"/>
      <c r="G835" s="6">
        <v>13793479</v>
      </c>
      <c r="H835" s="6">
        <v>2195399</v>
      </c>
      <c r="I835" s="6">
        <v>1108392</v>
      </c>
      <c r="J835" s="6">
        <v>1323053</v>
      </c>
      <c r="K835" s="6">
        <v>828552</v>
      </c>
      <c r="L835" s="6">
        <v>317359</v>
      </c>
      <c r="M835" s="6">
        <v>250547</v>
      </c>
      <c r="N835" s="6">
        <v>12459082</v>
      </c>
      <c r="O835" s="6">
        <v>12470426</v>
      </c>
      <c r="P835" s="6">
        <v>2419948</v>
      </c>
      <c r="Q835" s="6">
        <v>-107236</v>
      </c>
      <c r="R835" s="6">
        <v>15.809999999999999</v>
      </c>
      <c r="S835" s="11"/>
      <c r="T835" s="15">
        <f>E835/G835</f>
        <v>4.208735156663522E-2</v>
      </c>
      <c r="U835" s="15">
        <f>D835/C835</f>
        <v>0.12622961720110548</v>
      </c>
      <c r="V835" s="15">
        <f>(E835-F835)/O835</f>
        <v>4.6552619774176116E-2</v>
      </c>
      <c r="W835" s="15">
        <f>H835/K835</f>
        <v>2.6496816132240344</v>
      </c>
      <c r="X835" s="15">
        <f>(H835-I835)/K835</f>
        <v>1.3119357626316754</v>
      </c>
      <c r="Y835" s="15">
        <f>(H835-K835)/G835</f>
        <v>9.9093709426026605E-2</v>
      </c>
      <c r="Z835" s="15">
        <f>J835/N835</f>
        <v>0.10619185265816534</v>
      </c>
      <c r="AA835" s="15">
        <f>J835/G835</f>
        <v>9.5918730872755167E-2</v>
      </c>
      <c r="AB835" s="15">
        <f>C835/G835</f>
        <v>0.3827009125109046</v>
      </c>
      <c r="AC835" s="15">
        <f>C835/(G835-K835)</f>
        <v>0.40715825087175578</v>
      </c>
      <c r="AD835" s="15">
        <f>Q835/E835</f>
        <v>-0.18472054033290211</v>
      </c>
      <c r="AE835" s="15">
        <f>Q835/J835</f>
        <v>-8.1051930648280909E-2</v>
      </c>
      <c r="AF835" s="15">
        <f>Q835/G835</f>
        <v>-7.7743983225696724E-3</v>
      </c>
      <c r="AG835" s="15">
        <f>Q835/K835</f>
        <v>-0.12942579343239771</v>
      </c>
      <c r="AH835" s="15">
        <f>Q835/L835</f>
        <v>-0.33790124118112297</v>
      </c>
      <c r="AI835" s="6">
        <f>R835</f>
        <v>15.809999999999999</v>
      </c>
      <c r="AJ835" s="6">
        <f>P835</f>
        <v>2419948</v>
      </c>
    </row>
    <row r="836" spans="1:36" x14ac:dyDescent="0.25">
      <c r="A836" t="s">
        <v>130</v>
      </c>
      <c r="B836">
        <v>2019</v>
      </c>
      <c r="C836" s="1">
        <v>5385534</v>
      </c>
      <c r="D836" s="1">
        <v>87761</v>
      </c>
      <c r="E836" s="1">
        <v>-126627</v>
      </c>
      <c r="G836" s="1">
        <v>10617378</v>
      </c>
      <c r="H836" s="1">
        <v>2448635</v>
      </c>
      <c r="I836" s="1">
        <v>1414818</v>
      </c>
      <c r="J836" s="1">
        <v>1760390</v>
      </c>
      <c r="K836" s="1">
        <v>1284236</v>
      </c>
      <c r="L836" s="1">
        <v>250547</v>
      </c>
      <c r="M836" s="1">
        <v>183735</v>
      </c>
      <c r="N836" s="1">
        <v>8845959</v>
      </c>
      <c r="O836" s="1">
        <v>8856988</v>
      </c>
      <c r="P836" s="1">
        <v>2193148</v>
      </c>
      <c r="Q836" s="1">
        <v>-74742</v>
      </c>
      <c r="R836" s="1">
        <v>11</v>
      </c>
      <c r="T836">
        <f>E836/G836</f>
        <v>-1.1926390865993468E-2</v>
      </c>
      <c r="U836">
        <f>D836/C836</f>
        <v>1.6295691383621382E-2</v>
      </c>
      <c r="V836">
        <f>(E836-F836)/O836</f>
        <v>-1.4296846738417168E-2</v>
      </c>
      <c r="W836">
        <f>H836/K836</f>
        <v>1.9066861542582516</v>
      </c>
      <c r="X836">
        <f>(H836-I836)/K836</f>
        <v>0.80500546628501302</v>
      </c>
      <c r="Y836">
        <f>(H836-K836)/G836</f>
        <v>0.10966916690730988</v>
      </c>
      <c r="Z836">
        <f>J836/N836</f>
        <v>0.19900499199691069</v>
      </c>
      <c r="AA836">
        <f>J836/G836</f>
        <v>0.16580270571510217</v>
      </c>
      <c r="AB836">
        <f>C836/G836</f>
        <v>0.50723766263196057</v>
      </c>
      <c r="AC836">
        <f>C836/(G836-K836)</f>
        <v>0.57703332918324823</v>
      </c>
      <c r="AD836">
        <f>Q836/E836</f>
        <v>0.5902532635219977</v>
      </c>
      <c r="AE836">
        <f>Q836/J836</f>
        <v>-4.2457637228114221E-2</v>
      </c>
      <c r="AF836">
        <f>Q836/G836</f>
        <v>-7.0395911306915891E-3</v>
      </c>
      <c r="AG836">
        <f>Q836/K836</f>
        <v>-5.8199583254168234E-2</v>
      </c>
      <c r="AH836">
        <f>Q836/L836</f>
        <v>-0.2983152861538953</v>
      </c>
      <c r="AI836" s="1">
        <f>R836</f>
        <v>11</v>
      </c>
      <c r="AJ836" s="1">
        <f>P836</f>
        <v>2193148</v>
      </c>
    </row>
    <row r="837" spans="1:36" x14ac:dyDescent="0.25">
      <c r="A837" t="s">
        <v>130</v>
      </c>
      <c r="B837">
        <v>2020</v>
      </c>
      <c r="C837" s="1">
        <v>6703854</v>
      </c>
      <c r="D837" s="1">
        <v>510809</v>
      </c>
      <c r="E837" s="1">
        <v>290663</v>
      </c>
      <c r="G837" s="1">
        <v>12954243</v>
      </c>
      <c r="H837" s="1">
        <v>2257454</v>
      </c>
      <c r="I837" s="1">
        <v>1004392</v>
      </c>
      <c r="J837" s="1">
        <v>2541310</v>
      </c>
      <c r="K837" s="1">
        <v>1569526</v>
      </c>
      <c r="L837" s="1">
        <v>354831</v>
      </c>
      <c r="M837" s="1">
        <v>288019</v>
      </c>
      <c r="N837" s="1">
        <v>10412493</v>
      </c>
      <c r="O837" s="1">
        <v>10412933</v>
      </c>
      <c r="P837" s="1">
        <v>2440871</v>
      </c>
      <c r="Q837" s="1">
        <v>-27213</v>
      </c>
      <c r="R837" s="1">
        <v>7.4</v>
      </c>
      <c r="T837">
        <f>E837/G837</f>
        <v>2.2437667720143894E-2</v>
      </c>
      <c r="U837">
        <f>D837/C837</f>
        <v>7.6196319311249913E-2</v>
      </c>
      <c r="V837">
        <f>(E837-F837)/O837</f>
        <v>2.7913653146524615E-2</v>
      </c>
      <c r="W837">
        <f>H837/K837</f>
        <v>1.4383030290673744</v>
      </c>
      <c r="X837">
        <f>(H837-I837)/K837</f>
        <v>0.79836969887724063</v>
      </c>
      <c r="Y837">
        <f>(H837-K837)/G837</f>
        <v>5.3104453884337356E-2</v>
      </c>
      <c r="Z837">
        <f>J837/N837</f>
        <v>0.24406354943047739</v>
      </c>
      <c r="AA837">
        <f>J837/G837</f>
        <v>0.19617587843612322</v>
      </c>
      <c r="AB837">
        <f>C837/G837</f>
        <v>0.51750256653360605</v>
      </c>
      <c r="AC837">
        <f>C837/(G837-K837)</f>
        <v>0.58884678468511775</v>
      </c>
      <c r="AD837">
        <f>Q837/E837</f>
        <v>-9.3623887457295912E-2</v>
      </c>
      <c r="AE837">
        <f>Q837/J837</f>
        <v>-1.0708256765211643E-2</v>
      </c>
      <c r="AF837">
        <f>Q837/G837</f>
        <v>-2.1007016774349531E-3</v>
      </c>
      <c r="AG837">
        <f>Q837/K837</f>
        <v>-1.7338355656421112E-2</v>
      </c>
      <c r="AH837">
        <f>Q837/L837</f>
        <v>-7.6692848144609693E-2</v>
      </c>
      <c r="AI837" s="1">
        <f>R837</f>
        <v>7.4</v>
      </c>
      <c r="AJ837" s="1">
        <f>P837</f>
        <v>2440871</v>
      </c>
    </row>
    <row r="838" spans="1:36" x14ac:dyDescent="0.25">
      <c r="A838" t="s">
        <v>130</v>
      </c>
      <c r="B838">
        <v>2021</v>
      </c>
      <c r="C838" s="1">
        <v>7597192</v>
      </c>
      <c r="D838" s="1">
        <v>876765</v>
      </c>
      <c r="E838" s="1">
        <v>841764</v>
      </c>
      <c r="G838" s="1">
        <v>14501150</v>
      </c>
      <c r="H838" s="1">
        <v>2457575</v>
      </c>
      <c r="I838" s="1">
        <v>1206992</v>
      </c>
      <c r="J838" s="1">
        <v>3235151</v>
      </c>
      <c r="K838" s="1">
        <v>1436002</v>
      </c>
      <c r="L838" s="1">
        <v>1546504</v>
      </c>
      <c r="M838" s="1">
        <v>1207551</v>
      </c>
      <c r="N838" s="1">
        <v>11265637</v>
      </c>
      <c r="O838" s="1">
        <v>11265999</v>
      </c>
      <c r="P838" s="1">
        <v>3155104</v>
      </c>
      <c r="Q838" s="1">
        <v>485693</v>
      </c>
      <c r="R838" s="1">
        <v>15.025</v>
      </c>
      <c r="T838">
        <f>E838/G838</f>
        <v>5.8048085841467749E-2</v>
      </c>
      <c r="U838">
        <f>D838/C838</f>
        <v>0.11540645543774594</v>
      </c>
      <c r="V838">
        <f>(E838-F838)/O838</f>
        <v>7.4717208833411042E-2</v>
      </c>
      <c r="W838">
        <f>H838/K838</f>
        <v>1.7114008197760171</v>
      </c>
      <c r="X838">
        <f>(H838-I838)/K838</f>
        <v>0.87087831353995326</v>
      </c>
      <c r="Y838">
        <f>(H838-K838)/G838</f>
        <v>7.044772311161529E-2</v>
      </c>
      <c r="Z838">
        <f>J838/N838</f>
        <v>0.28716982448484712</v>
      </c>
      <c r="AA838">
        <f>J838/G838</f>
        <v>0.22309616823493308</v>
      </c>
      <c r="AB838">
        <f>C838/G838</f>
        <v>0.52390272495629653</v>
      </c>
      <c r="AC838">
        <f>C838/(G838-K838)</f>
        <v>0.58148533793876656</v>
      </c>
      <c r="AD838">
        <f>Q838/E838</f>
        <v>0.57699426442565849</v>
      </c>
      <c r="AE838">
        <f>Q838/J838</f>
        <v>0.1501299321113605</v>
      </c>
      <c r="AF838">
        <f>Q838/G838</f>
        <v>3.3493412591415167E-2</v>
      </c>
      <c r="AG838">
        <f>Q838/K838</f>
        <v>0.33822585205313083</v>
      </c>
      <c r="AH838">
        <f>Q838/L838</f>
        <v>0.31405867686084227</v>
      </c>
      <c r="AI838" s="1">
        <f>R838</f>
        <v>15.025</v>
      </c>
      <c r="AJ838" s="1">
        <f>P838</f>
        <v>3155104</v>
      </c>
    </row>
    <row r="839" spans="1:36" x14ac:dyDescent="0.25">
      <c r="A839" t="s">
        <v>130</v>
      </c>
      <c r="B839">
        <v>2022</v>
      </c>
      <c r="C839" s="1">
        <v>9771539</v>
      </c>
      <c r="D839" s="1">
        <v>1588204</v>
      </c>
      <c r="E839" s="1">
        <v>1064503</v>
      </c>
      <c r="G839" s="1">
        <v>16733674</v>
      </c>
      <c r="H839" s="1">
        <v>3784590</v>
      </c>
      <c r="I839" s="1">
        <v>1486956</v>
      </c>
      <c r="J839" s="1">
        <v>5300342</v>
      </c>
      <c r="K839" s="1">
        <v>2998442</v>
      </c>
      <c r="L839" s="1">
        <v>2128646</v>
      </c>
      <c r="M839" s="1">
        <v>1753646</v>
      </c>
      <c r="N839" s="1">
        <v>11433567</v>
      </c>
      <c r="O839" s="1">
        <v>11433332</v>
      </c>
      <c r="P839" s="1">
        <v>4046833</v>
      </c>
      <c r="Q839" s="1">
        <v>843575</v>
      </c>
      <c r="R839" s="1">
        <v>13.275</v>
      </c>
      <c r="T839">
        <f>E839/G839</f>
        <v>6.3614422033081319E-2</v>
      </c>
      <c r="U839">
        <f>D839/C839</f>
        <v>0.16253366025556465</v>
      </c>
      <c r="V839">
        <f>(E839-F839)/O839</f>
        <v>9.3105229516644836E-2</v>
      </c>
      <c r="W839">
        <f>H839/K839</f>
        <v>1.2621854950004034</v>
      </c>
      <c r="X839">
        <f>(H839-I839)/K839</f>
        <v>0.76627595264474013</v>
      </c>
      <c r="Y839">
        <f>(H839-K839)/G839</f>
        <v>4.6979999729885979E-2</v>
      </c>
      <c r="Z839">
        <f>J839/N839</f>
        <v>0.46357728957201194</v>
      </c>
      <c r="AA839">
        <f>J839/G839</f>
        <v>0.31674705746030429</v>
      </c>
      <c r="AB839">
        <f>C839/G839</f>
        <v>0.5839446256691746</v>
      </c>
      <c r="AC839">
        <f>C839/(G839-K839)</f>
        <v>0.71142147435150715</v>
      </c>
      <c r="AD839">
        <f>Q839/E839</f>
        <v>0.79245901608544078</v>
      </c>
      <c r="AE839">
        <f>Q839/J839</f>
        <v>0.1591548243490703</v>
      </c>
      <c r="AF839">
        <f>Q839/G839</f>
        <v>5.0411822293179608E-2</v>
      </c>
      <c r="AG839">
        <f>Q839/K839</f>
        <v>0.28133777475102068</v>
      </c>
      <c r="AH839">
        <f>Q839/L839</f>
        <v>0.39629651900785756</v>
      </c>
      <c r="AI839" s="1">
        <f>R839</f>
        <v>13.275</v>
      </c>
      <c r="AJ839" s="1">
        <f>P839</f>
        <v>4046833</v>
      </c>
    </row>
    <row r="840" spans="1:36" x14ac:dyDescent="0.25">
      <c r="A840" t="s">
        <v>130</v>
      </c>
      <c r="B840">
        <v>2023</v>
      </c>
      <c r="C840" s="1">
        <v>14171501</v>
      </c>
      <c r="D840" s="1">
        <v>1172934</v>
      </c>
      <c r="E840" s="1">
        <v>1189205</v>
      </c>
      <c r="G840" s="1">
        <v>21126464</v>
      </c>
      <c r="H840" s="1">
        <v>4144431</v>
      </c>
      <c r="I840" s="1">
        <v>2787191</v>
      </c>
      <c r="J840" s="1">
        <v>6422225</v>
      </c>
      <c r="K840" s="1">
        <v>3487745</v>
      </c>
      <c r="L840" s="1">
        <v>3556251</v>
      </c>
      <c r="M840" s="1">
        <v>2156251</v>
      </c>
      <c r="N840" s="1">
        <v>14704588</v>
      </c>
      <c r="O840" s="1">
        <v>14704239</v>
      </c>
      <c r="P840" s="1">
        <v>4952431</v>
      </c>
      <c r="Q840" s="1">
        <v>-2751581</v>
      </c>
      <c r="R840" s="1">
        <v>14.08</v>
      </c>
      <c r="T840">
        <f>E840/G840</f>
        <v>5.6289826825729097E-2</v>
      </c>
      <c r="U840">
        <f>D840/C840</f>
        <v>8.276709714800147E-2</v>
      </c>
      <c r="V840">
        <f>(E840-F840)/O840</f>
        <v>8.0874977616998744E-2</v>
      </c>
      <c r="W840">
        <f>H840/K840</f>
        <v>1.1882838338238604</v>
      </c>
      <c r="X840">
        <f>(H840-I840)/K840</f>
        <v>0.38914542204203578</v>
      </c>
      <c r="Y840">
        <f>(H840-K840)/G840</f>
        <v>3.1083573663818042E-2</v>
      </c>
      <c r="Z840">
        <f>J840/N840</f>
        <v>0.43674974096520081</v>
      </c>
      <c r="AA840">
        <f>J840/G840</f>
        <v>0.30398958386978531</v>
      </c>
      <c r="AB840">
        <f>C840/G840</f>
        <v>0.67079379682279061</v>
      </c>
      <c r="AC840">
        <f>C840/(G840-K840)</f>
        <v>0.80343141698668707</v>
      </c>
      <c r="AD840">
        <f>Q840/E840</f>
        <v>-2.3137987142670946</v>
      </c>
      <c r="AE840">
        <f>Q840/J840</f>
        <v>-0.42844668319780138</v>
      </c>
      <c r="AF840">
        <f>Q840/G840</f>
        <v>-0.13024332893568938</v>
      </c>
      <c r="AG840">
        <f>Q840/K840</f>
        <v>-0.7889283763577899</v>
      </c>
      <c r="AH840">
        <f>Q840/L840</f>
        <v>-0.77373081933755516</v>
      </c>
      <c r="AI840" s="1">
        <f>R840</f>
        <v>14.08</v>
      </c>
      <c r="AJ840" s="1">
        <f>P840</f>
        <v>4952431</v>
      </c>
    </row>
    <row r="841" spans="1:36" s="8" customFormat="1" x14ac:dyDescent="0.25">
      <c r="A841" s="8" t="s">
        <v>130</v>
      </c>
      <c r="B841" s="8">
        <v>2024</v>
      </c>
      <c r="C841" s="9">
        <v>16704032</v>
      </c>
      <c r="D841" s="9">
        <v>1766122</v>
      </c>
      <c r="E841" s="9">
        <v>2215510</v>
      </c>
      <c r="F841" s="9"/>
      <c r="G841" s="9">
        <v>29772490</v>
      </c>
      <c r="H841" s="9">
        <v>6274282</v>
      </c>
      <c r="I841" s="9">
        <v>3501993</v>
      </c>
      <c r="J841" s="9">
        <v>7966193</v>
      </c>
      <c r="K841" s="9">
        <v>5374802</v>
      </c>
      <c r="L841" s="9">
        <v>4811251</v>
      </c>
      <c r="M841" s="9">
        <v>1781251</v>
      </c>
      <c r="N841" s="9">
        <v>21806804</v>
      </c>
      <c r="O841" s="9">
        <v>21806297</v>
      </c>
      <c r="P841" s="9">
        <v>6700107</v>
      </c>
      <c r="Q841" s="9">
        <v>-1702861</v>
      </c>
      <c r="R841" s="9">
        <v>27.2</v>
      </c>
      <c r="T841" s="8">
        <f>E841/G841</f>
        <v>7.4414669381029266E-2</v>
      </c>
      <c r="U841" s="8">
        <f>D841/C841</f>
        <v>0.10573028116804374</v>
      </c>
      <c r="V841" s="8">
        <f>(E841-F841)/O841</f>
        <v>0.10159955172581571</v>
      </c>
      <c r="W841" s="8">
        <f>H841/K841</f>
        <v>1.1673512810332363</v>
      </c>
      <c r="X841" s="8">
        <f>(H841-I841)/K841</f>
        <v>0.51579369807483144</v>
      </c>
      <c r="Y841" s="8">
        <f>(H841-K841)/G841</f>
        <v>3.0211782756497694E-2</v>
      </c>
      <c r="Z841" s="8">
        <f>J841/N841</f>
        <v>0.36530768103386446</v>
      </c>
      <c r="AA841" s="8">
        <f>J841/G841</f>
        <v>0.2675689201675775</v>
      </c>
      <c r="AB841" s="8">
        <f>C841/G841</f>
        <v>0.56105592780449332</v>
      </c>
      <c r="AC841" s="8">
        <f>C841/(G841-K841)</f>
        <v>0.68465634940491082</v>
      </c>
      <c r="AD841" s="8">
        <f>Q841/E841</f>
        <v>-0.76860903358594634</v>
      </c>
      <c r="AE841" s="8">
        <f>Q841/J841</f>
        <v>-0.21376095206330051</v>
      </c>
      <c r="AF841" s="8">
        <f>Q841/G841</f>
        <v>-5.7195787117570618E-2</v>
      </c>
      <c r="AG841" s="8">
        <f>Q841/K841</f>
        <v>-0.31682301971309829</v>
      </c>
      <c r="AH841" s="8">
        <f>Q841/L841</f>
        <v>-0.35393310388503946</v>
      </c>
      <c r="AI841" s="9">
        <f>R841</f>
        <v>27.2</v>
      </c>
      <c r="AJ841" s="9">
        <f>P841</f>
        <v>6700107</v>
      </c>
    </row>
    <row r="842" spans="1:36" x14ac:dyDescent="0.25">
      <c r="A842" s="15" t="s">
        <v>137</v>
      </c>
      <c r="B842" s="15">
        <v>2018</v>
      </c>
      <c r="C842" s="6">
        <v>0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  <c r="S842" s="15"/>
      <c r="T842" s="15" t="e">
        <f>E842/G842</f>
        <v>#DIV/0!</v>
      </c>
      <c r="U842" s="15" t="e">
        <f>D842/C842</f>
        <v>#DIV/0!</v>
      </c>
      <c r="V842" s="15" t="e">
        <f>(E842-F842)/O842</f>
        <v>#DIV/0!</v>
      </c>
      <c r="W842" s="15" t="e">
        <f>H842/K842</f>
        <v>#DIV/0!</v>
      </c>
      <c r="X842" s="15" t="e">
        <f>(H842-I842)/K842</f>
        <v>#DIV/0!</v>
      </c>
      <c r="Y842" s="15" t="e">
        <f>(H842-K842)/G842</f>
        <v>#DIV/0!</v>
      </c>
      <c r="Z842" s="15" t="e">
        <f>J842/N842</f>
        <v>#DIV/0!</v>
      </c>
      <c r="AA842" s="15" t="e">
        <f>J842/G842</f>
        <v>#DIV/0!</v>
      </c>
      <c r="AB842" s="15" t="e">
        <f>C842/G842</f>
        <v>#DIV/0!</v>
      </c>
      <c r="AC842" s="15" t="e">
        <f>C842/(G842-K842)</f>
        <v>#DIV/0!</v>
      </c>
      <c r="AD842" s="15" t="e">
        <f>Q842/E842</f>
        <v>#DIV/0!</v>
      </c>
      <c r="AE842" s="15" t="e">
        <f>Q842/J842</f>
        <v>#DIV/0!</v>
      </c>
      <c r="AF842" s="15" t="e">
        <f>Q842/G842</f>
        <v>#DIV/0!</v>
      </c>
      <c r="AG842" s="15" t="e">
        <f>Q842/K842</f>
        <v>#DIV/0!</v>
      </c>
      <c r="AH842" s="15" t="e">
        <f>Q842/L842</f>
        <v>#DIV/0!</v>
      </c>
      <c r="AI842" s="6">
        <f>R842</f>
        <v>0</v>
      </c>
      <c r="AJ842" s="6">
        <f>P842</f>
        <v>0</v>
      </c>
    </row>
    <row r="843" spans="1:36" x14ac:dyDescent="0.25">
      <c r="A843" t="s">
        <v>137</v>
      </c>
      <c r="B843">
        <v>2019</v>
      </c>
      <c r="C843" s="1">
        <v>967406126</v>
      </c>
      <c r="D843" s="1">
        <v>557226558</v>
      </c>
      <c r="E843" s="1">
        <v>170642376</v>
      </c>
      <c r="G843" s="1">
        <v>6058191108</v>
      </c>
      <c r="H843" s="1">
        <v>527546833</v>
      </c>
      <c r="I843" s="1">
        <v>0</v>
      </c>
      <c r="J843" s="1">
        <v>3378092005</v>
      </c>
      <c r="K843" s="1">
        <v>745237496</v>
      </c>
      <c r="L843" s="1">
        <v>3131242987</v>
      </c>
      <c r="M843" s="1">
        <v>2629119223</v>
      </c>
      <c r="N843" s="1">
        <v>2680099103</v>
      </c>
      <c r="O843" s="1">
        <v>2680099103</v>
      </c>
      <c r="P843" s="1">
        <v>800099103</v>
      </c>
      <c r="Q843" s="1">
        <v>385330241</v>
      </c>
      <c r="R843" s="1">
        <v>0</v>
      </c>
      <c r="T843">
        <f>E843/G843</f>
        <v>2.8167215751028762E-2</v>
      </c>
      <c r="U843">
        <f>D843/C843</f>
        <v>0.57600065063057082</v>
      </c>
      <c r="V843">
        <f>(E843-F843)/O843</f>
        <v>6.3670173915953143E-2</v>
      </c>
      <c r="W843">
        <f>H843/K843</f>
        <v>0.70789088824913338</v>
      </c>
      <c r="X843">
        <f>(H843-I843)/K843</f>
        <v>0.70789088824913338</v>
      </c>
      <c r="Y843">
        <f>(H843-K843)/G843</f>
        <v>-3.5933277626804108E-2</v>
      </c>
      <c r="Z843">
        <f>J843/N843</f>
        <v>1.2604354821128418</v>
      </c>
      <c r="AA843">
        <f>J843/G843</f>
        <v>0.55760736906089692</v>
      </c>
      <c r="AB843">
        <f>C843/G843</f>
        <v>0.15968564027676757</v>
      </c>
      <c r="AC843">
        <f>C843/(G843-K843)</f>
        <v>0.18208442923630783</v>
      </c>
      <c r="AD843">
        <f>Q843/E843</f>
        <v>2.258115774243556</v>
      </c>
      <c r="AE843">
        <f>Q843/J843</f>
        <v>0.11406742043427559</v>
      </c>
      <c r="AF843">
        <f>Q843/G843</f>
        <v>6.3604834203919602E-2</v>
      </c>
      <c r="AG843">
        <f>Q843/K843</f>
        <v>0.5170569691785879</v>
      </c>
      <c r="AH843">
        <f>Q843/L843</f>
        <v>0.12305983361871878</v>
      </c>
      <c r="AI843" s="1">
        <f>R843</f>
        <v>0</v>
      </c>
      <c r="AJ843" s="1">
        <f>P843</f>
        <v>800099103</v>
      </c>
    </row>
    <row r="844" spans="1:36" x14ac:dyDescent="0.25">
      <c r="A844" t="s">
        <v>137</v>
      </c>
      <c r="B844">
        <v>2020</v>
      </c>
      <c r="C844" s="1">
        <v>979343466</v>
      </c>
      <c r="D844" s="1">
        <v>549054481</v>
      </c>
      <c r="E844" s="1">
        <v>125926243</v>
      </c>
      <c r="G844" s="1">
        <v>6190311576</v>
      </c>
      <c r="H844" s="1">
        <v>522483304</v>
      </c>
      <c r="I844" s="1">
        <v>0</v>
      </c>
      <c r="J844" s="1">
        <v>3481216035</v>
      </c>
      <c r="K844" s="1">
        <v>638993524</v>
      </c>
      <c r="L844" s="1">
        <v>3239207732</v>
      </c>
      <c r="M844" s="1">
        <v>2812499100</v>
      </c>
      <c r="N844" s="1">
        <v>2709095541</v>
      </c>
      <c r="O844" s="1">
        <v>2709095541</v>
      </c>
      <c r="P844" s="1">
        <v>829095541</v>
      </c>
      <c r="Q844" s="1">
        <v>377159483</v>
      </c>
      <c r="R844" s="1">
        <v>2.4</v>
      </c>
      <c r="T844">
        <f>E844/G844</f>
        <v>2.0342472499804264E-2</v>
      </c>
      <c r="U844">
        <f>D844/C844</f>
        <v>0.56063526235850747</v>
      </c>
      <c r="V844">
        <f>(E844-F844)/O844</f>
        <v>4.6482761901234848E-2</v>
      </c>
      <c r="W844">
        <f>H844/K844</f>
        <v>0.81766603944486926</v>
      </c>
      <c r="X844">
        <f>(H844-I844)/K844</f>
        <v>0.81766603944486926</v>
      </c>
      <c r="Y844">
        <f>(H844-K844)/G844</f>
        <v>-1.8821382182395013E-2</v>
      </c>
      <c r="Z844">
        <f>J844/N844</f>
        <v>1.2850104333031347</v>
      </c>
      <c r="AA844">
        <f>J844/G844</f>
        <v>0.5623652367510491</v>
      </c>
      <c r="AB844">
        <f>C844/G844</f>
        <v>0.15820584375703159</v>
      </c>
      <c r="AC844">
        <f>C844/(G844-K844)</f>
        <v>0.17641638559101602</v>
      </c>
      <c r="AD844">
        <f>Q844/E844</f>
        <v>2.9950824706173438</v>
      </c>
      <c r="AE844">
        <f>Q844/J844</f>
        <v>0.1083413035008613</v>
      </c>
      <c r="AF844">
        <f>Q844/G844</f>
        <v>6.0927382793179136E-2</v>
      </c>
      <c r="AG844">
        <f>Q844/K844</f>
        <v>0.59023991454411051</v>
      </c>
      <c r="AH844">
        <f>Q844/L844</f>
        <v>0.11643571953538422</v>
      </c>
      <c r="AI844" s="1">
        <f>R844</f>
        <v>2.4</v>
      </c>
      <c r="AJ844" s="1">
        <f>P844</f>
        <v>829095541</v>
      </c>
    </row>
    <row r="845" spans="1:36" x14ac:dyDescent="0.25">
      <c r="A845" t="s">
        <v>137</v>
      </c>
      <c r="B845">
        <v>2021</v>
      </c>
      <c r="C845" s="1">
        <v>982880136</v>
      </c>
      <c r="D845" s="1">
        <v>531006496</v>
      </c>
      <c r="E845" s="1">
        <v>234743514</v>
      </c>
      <c r="G845" s="1">
        <v>5938802649</v>
      </c>
      <c r="H845" s="1">
        <v>491777761</v>
      </c>
      <c r="I845" s="1">
        <v>0</v>
      </c>
      <c r="J845" s="1">
        <v>2993321760</v>
      </c>
      <c r="K845" s="1">
        <v>590080697</v>
      </c>
      <c r="L845" s="1">
        <v>2882644318</v>
      </c>
      <c r="M845" s="1">
        <v>2347301070</v>
      </c>
      <c r="N845" s="1">
        <v>2945480889</v>
      </c>
      <c r="O845" s="1">
        <v>2945480889</v>
      </c>
      <c r="P845" s="1">
        <v>1065480889</v>
      </c>
      <c r="Q845" s="1">
        <v>393231495</v>
      </c>
      <c r="R845" s="1">
        <v>8.8000000000000007</v>
      </c>
      <c r="T845">
        <f>E845/G845</f>
        <v>3.9527077741761139E-2</v>
      </c>
      <c r="U845">
        <f>D845/C845</f>
        <v>0.54025559836932135</v>
      </c>
      <c r="V845">
        <f>(E845-F845)/O845</f>
        <v>7.9696159250823101E-2</v>
      </c>
      <c r="W845">
        <f>H845/K845</f>
        <v>0.83340763983675947</v>
      </c>
      <c r="X845">
        <f>(H845-I845)/K845</f>
        <v>0.83340763983675947</v>
      </c>
      <c r="Y845">
        <f>(H845-K845)/G845</f>
        <v>-1.6552652413286146E-2</v>
      </c>
      <c r="Z845">
        <f>J845/N845</f>
        <v>1.0162421257522545</v>
      </c>
      <c r="AA845">
        <f>J845/G845</f>
        <v>0.50402782124845114</v>
      </c>
      <c r="AB845">
        <f>C845/G845</f>
        <v>0.16550139718239357</v>
      </c>
      <c r="AC845">
        <f>C845/(G845-K845)</f>
        <v>0.18375981118862991</v>
      </c>
      <c r="AD845">
        <f>Q845/E845</f>
        <v>1.6751538234193768</v>
      </c>
      <c r="AE845">
        <f>Q845/J845</f>
        <v>0.13136960424862579</v>
      </c>
      <c r="AF845">
        <f>Q845/G845</f>
        <v>6.621393540770612E-2</v>
      </c>
      <c r="AG845">
        <f>Q845/K845</f>
        <v>0.66640291234607185</v>
      </c>
      <c r="AH845">
        <f>Q845/L845</f>
        <v>0.13641346334147353</v>
      </c>
      <c r="AI845" s="1">
        <f>R845</f>
        <v>8.8000000000000007</v>
      </c>
      <c r="AJ845" s="1">
        <f>P845</f>
        <v>1065480889</v>
      </c>
    </row>
    <row r="846" spans="1:36" x14ac:dyDescent="0.25">
      <c r="A846" t="s">
        <v>137</v>
      </c>
      <c r="B846">
        <v>2022</v>
      </c>
      <c r="C846" s="1">
        <v>1027698539</v>
      </c>
      <c r="D846" s="1">
        <v>-699236821</v>
      </c>
      <c r="E846" s="1">
        <v>-902870636</v>
      </c>
      <c r="G846" s="1">
        <v>4644625950</v>
      </c>
      <c r="H846" s="1">
        <v>709888994</v>
      </c>
      <c r="I846" s="1">
        <v>0</v>
      </c>
      <c r="J846" s="1">
        <v>2600497289</v>
      </c>
      <c r="K846" s="1">
        <v>711456635</v>
      </c>
      <c r="L846" s="1">
        <v>2445151446</v>
      </c>
      <c r="M846" s="1">
        <v>1850340401</v>
      </c>
      <c r="N846" s="1">
        <v>2044128661</v>
      </c>
      <c r="O846" s="1">
        <v>2044128661</v>
      </c>
      <c r="P846" s="1">
        <v>164128661</v>
      </c>
      <c r="Q846" s="1">
        <v>436383034</v>
      </c>
      <c r="R846" s="1">
        <v>10.3</v>
      </c>
      <c r="T846">
        <f>E846/G846</f>
        <v>-0.1943903870235234</v>
      </c>
      <c r="U846">
        <f>D846/C846</f>
        <v>-0.68039098477301618</v>
      </c>
      <c r="V846">
        <f>(E846-F846)/O846</f>
        <v>-0.44168972982273547</v>
      </c>
      <c r="W846">
        <f>H846/K846</f>
        <v>0.99779657547223521</v>
      </c>
      <c r="X846">
        <f>(H846-I846)/K846</f>
        <v>0.99779657547223521</v>
      </c>
      <c r="Y846">
        <f>(H846-K846)/G846</f>
        <v>-3.3751716863227705E-4</v>
      </c>
      <c r="Z846">
        <f>J846/N846</f>
        <v>1.2721788694689213</v>
      </c>
      <c r="AA846">
        <f>J846/G846</f>
        <v>0.55989380350424134</v>
      </c>
      <c r="AB846">
        <f>C846/G846</f>
        <v>0.22126615793463411</v>
      </c>
      <c r="AC846">
        <f>C846/(G846-K846)</f>
        <v>0.26129018526628062</v>
      </c>
      <c r="AD846">
        <f>Q846/E846</f>
        <v>-0.48332841561146972</v>
      </c>
      <c r="AE846">
        <f>Q846/J846</f>
        <v>0.16780753275378632</v>
      </c>
      <c r="AF846">
        <f>Q846/G846</f>
        <v>9.395439777017997E-2</v>
      </c>
      <c r="AG846">
        <f>Q846/K846</f>
        <v>0.61336561152458713</v>
      </c>
      <c r="AH846">
        <f>Q846/L846</f>
        <v>0.1784687139579329</v>
      </c>
      <c r="AI846" s="1">
        <f>R846</f>
        <v>10.3</v>
      </c>
      <c r="AJ846" s="1">
        <f>P846</f>
        <v>164128661</v>
      </c>
    </row>
    <row r="847" spans="1:36" x14ac:dyDescent="0.25">
      <c r="A847" t="s">
        <v>137</v>
      </c>
      <c r="B847">
        <v>2023</v>
      </c>
      <c r="C847" s="1">
        <v>968662275</v>
      </c>
      <c r="D847" s="1">
        <v>486095002</v>
      </c>
      <c r="E847" s="1">
        <v>-113614494</v>
      </c>
      <c r="G847" s="1">
        <v>4933650746</v>
      </c>
      <c r="H847" s="1">
        <v>1252961140</v>
      </c>
      <c r="I847" s="1">
        <v>123434</v>
      </c>
      <c r="J847" s="1">
        <v>3004151882</v>
      </c>
      <c r="K847" s="1">
        <v>764951532</v>
      </c>
      <c r="L847" s="1">
        <v>2702851064</v>
      </c>
      <c r="M847" s="1">
        <v>2152371356</v>
      </c>
      <c r="N847" s="1">
        <v>1929498864</v>
      </c>
      <c r="O847" s="1">
        <v>1929498864</v>
      </c>
      <c r="P847" s="1">
        <v>49498864</v>
      </c>
      <c r="Q847" s="1">
        <v>-104351323</v>
      </c>
      <c r="R847" s="1">
        <v>8.4</v>
      </c>
      <c r="T847">
        <f>E847/G847</f>
        <v>-2.3028483338046159E-2</v>
      </c>
      <c r="U847">
        <f>D847/C847</f>
        <v>0.50182092824870261</v>
      </c>
      <c r="V847">
        <f>(E847-F847)/O847</f>
        <v>-5.8882902768062996E-2</v>
      </c>
      <c r="W847">
        <f>H847/K847</f>
        <v>1.6379614754467868</v>
      </c>
      <c r="X847">
        <f>(H847-I847)/K847</f>
        <v>1.6378001135894189</v>
      </c>
      <c r="Y847">
        <f>(H847-K847)/G847</f>
        <v>9.8914502287308845E-2</v>
      </c>
      <c r="Z847">
        <f>J847/N847</f>
        <v>1.5569596531257663</v>
      </c>
      <c r="AA847">
        <f>J847/G847</f>
        <v>0.60891052826056691</v>
      </c>
      <c r="AB847">
        <f>C847/G847</f>
        <v>0.19633782869315411</v>
      </c>
      <c r="AC847">
        <f>C847/(G847-K847)</f>
        <v>0.23236559542287955</v>
      </c>
      <c r="AD847">
        <f>Q847/E847</f>
        <v>0.91846840421610287</v>
      </c>
      <c r="AE847">
        <f>Q847/J847</f>
        <v>-3.4735701488743838E-2</v>
      </c>
      <c r="AF847">
        <f>Q847/G847</f>
        <v>-2.1150934343012372E-2</v>
      </c>
      <c r="AG847">
        <f>Q847/K847</f>
        <v>-0.13641560103444567</v>
      </c>
      <c r="AH847">
        <f>Q847/L847</f>
        <v>-3.8607870181928752E-2</v>
      </c>
      <c r="AI847" s="1">
        <f>R847</f>
        <v>8.4</v>
      </c>
      <c r="AJ847" s="1">
        <f>P847</f>
        <v>49498864</v>
      </c>
    </row>
    <row r="848" spans="1:36" s="8" customFormat="1" x14ac:dyDescent="0.25">
      <c r="A848" s="8" t="s">
        <v>137</v>
      </c>
      <c r="B848" s="8">
        <v>2024</v>
      </c>
      <c r="C848" s="9">
        <v>967670263</v>
      </c>
      <c r="D848" s="9">
        <v>462467264</v>
      </c>
      <c r="E848" s="9">
        <v>51977819</v>
      </c>
      <c r="F848" s="9"/>
      <c r="G848" s="9">
        <v>4328700683</v>
      </c>
      <c r="H848" s="9">
        <v>892335923</v>
      </c>
      <c r="I848" s="9">
        <v>114135</v>
      </c>
      <c r="J848" s="9">
        <v>2347185527</v>
      </c>
      <c r="K848" s="9">
        <v>521374671</v>
      </c>
      <c r="L848" s="9">
        <v>2156783810</v>
      </c>
      <c r="M848" s="9">
        <v>1732956134</v>
      </c>
      <c r="N848" s="9">
        <v>1981515156</v>
      </c>
      <c r="O848" s="9">
        <v>1981515156</v>
      </c>
      <c r="P848" s="9">
        <v>101515156</v>
      </c>
      <c r="Q848" s="9">
        <v>1007582799</v>
      </c>
      <c r="R848" s="9">
        <v>9</v>
      </c>
      <c r="T848" s="8">
        <f>E848/G848</f>
        <v>1.2007718437112368E-2</v>
      </c>
      <c r="U848" s="8">
        <f>D848/C848</f>
        <v>0.4779182348398775</v>
      </c>
      <c r="V848" s="8">
        <f>(E848-F848)/O848</f>
        <v>2.6231350712918797E-2</v>
      </c>
      <c r="W848" s="8">
        <f>H848/K848</f>
        <v>1.7115060869537331</v>
      </c>
      <c r="X848" s="8">
        <f>(H848-I848)/K848</f>
        <v>1.7112871752835879</v>
      </c>
      <c r="Y848" s="8">
        <f>(H848-K848)/G848</f>
        <v>8.5698060264796552E-2</v>
      </c>
      <c r="Z848" s="8">
        <f>J848/N848</f>
        <v>1.1845407893513988</v>
      </c>
      <c r="AA848" s="8">
        <f>J848/G848</f>
        <v>0.54223789051020421</v>
      </c>
      <c r="AB848" s="8">
        <f>C848/G848</f>
        <v>0.22354751087325295</v>
      </c>
      <c r="AC848" s="8">
        <f>C848/(G848-K848)</f>
        <v>0.25416007453789852</v>
      </c>
      <c r="AD848" s="8">
        <f>Q848/E848</f>
        <v>19.384861050056756</v>
      </c>
      <c r="AE848" s="8">
        <f>Q848/J848</f>
        <v>0.42927275556603245</v>
      </c>
      <c r="AF848" s="8">
        <f>Q848/G848</f>
        <v>0.23276795343162793</v>
      </c>
      <c r="AG848" s="8">
        <f>Q848/K848</f>
        <v>1.9325503424772241</v>
      </c>
      <c r="AH848" s="8">
        <f>Q848/L848</f>
        <v>0.46716912206420913</v>
      </c>
      <c r="AI848" s="9">
        <f>R848</f>
        <v>9</v>
      </c>
      <c r="AJ848" s="9">
        <f>P848</f>
        <v>101515156</v>
      </c>
    </row>
    <row r="849" spans="1:36" x14ac:dyDescent="0.25">
      <c r="A849" s="15" t="s">
        <v>125</v>
      </c>
      <c r="B849" s="15">
        <v>2018</v>
      </c>
      <c r="C849" s="6">
        <v>473340</v>
      </c>
      <c r="D849" s="6">
        <v>34667</v>
      </c>
      <c r="E849" s="6">
        <v>24242</v>
      </c>
      <c r="F849" s="6"/>
      <c r="G849" s="6">
        <v>570689</v>
      </c>
      <c r="H849" s="6">
        <v>228023</v>
      </c>
      <c r="I849" s="6">
        <v>79826</v>
      </c>
      <c r="J849" s="6">
        <v>81263</v>
      </c>
      <c r="K849" s="6">
        <v>66445</v>
      </c>
      <c r="L849" s="6">
        <v>5962</v>
      </c>
      <c r="M849" s="6">
        <v>0</v>
      </c>
      <c r="N849" s="6">
        <v>489426</v>
      </c>
      <c r="O849" s="6">
        <v>489426</v>
      </c>
      <c r="P849" s="6">
        <v>219663</v>
      </c>
      <c r="Q849" s="6">
        <v>38734</v>
      </c>
      <c r="R849" s="6">
        <v>131</v>
      </c>
      <c r="S849" s="15"/>
      <c r="T849" s="15">
        <f>E849/G849</f>
        <v>4.2478477769853633E-2</v>
      </c>
      <c r="U849" s="15">
        <f>D849/C849</f>
        <v>7.3239109308319603E-2</v>
      </c>
      <c r="V849" s="15">
        <f>(E849-F849)/O849</f>
        <v>4.9531491992660791E-2</v>
      </c>
      <c r="W849" s="15">
        <f>H849/K849</f>
        <v>3.4317555873278653</v>
      </c>
      <c r="X849" s="15">
        <f>(H849-I849)/K849</f>
        <v>2.2303709835202046</v>
      </c>
      <c r="Y849" s="15">
        <f>(H849-K849)/G849</f>
        <v>0.28312793833418903</v>
      </c>
      <c r="Z849" s="15">
        <f>J849/N849</f>
        <v>0.16603735804799907</v>
      </c>
      <c r="AA849" s="15">
        <f>J849/G849</f>
        <v>0.14239454413875158</v>
      </c>
      <c r="AB849" s="15">
        <f>C849/G849</f>
        <v>0.82941847486108899</v>
      </c>
      <c r="AC849" s="15">
        <f>C849/(G849-K849)</f>
        <v>0.93871221075511058</v>
      </c>
      <c r="AD849" s="15">
        <f>Q849/E849</f>
        <v>1.5978054615955779</v>
      </c>
      <c r="AE849" s="15">
        <f>Q849/J849</f>
        <v>0.47664988986377566</v>
      </c>
      <c r="AF849" s="15">
        <f>Q849/G849</f>
        <v>6.7872343780938482E-2</v>
      </c>
      <c r="AG849" s="15">
        <f>Q849/K849</f>
        <v>0.58294830310783352</v>
      </c>
      <c r="AH849" s="15">
        <f>Q849/L849</f>
        <v>6.4968131499496815</v>
      </c>
      <c r="AI849" s="6">
        <f>R849</f>
        <v>131</v>
      </c>
      <c r="AJ849" s="6">
        <f>P849</f>
        <v>219663</v>
      </c>
    </row>
    <row r="850" spans="1:36" x14ac:dyDescent="0.25">
      <c r="A850" t="s">
        <v>125</v>
      </c>
      <c r="B850">
        <v>2019</v>
      </c>
      <c r="C850" s="1">
        <v>722858</v>
      </c>
      <c r="D850" s="1">
        <v>76114</v>
      </c>
      <c r="E850" s="1">
        <v>58977</v>
      </c>
      <c r="G850" s="1">
        <v>653329</v>
      </c>
      <c r="H850" s="1">
        <v>292485</v>
      </c>
      <c r="I850" s="1">
        <v>111168</v>
      </c>
      <c r="J850" s="1">
        <v>105389</v>
      </c>
      <c r="K850" s="1">
        <v>84439</v>
      </c>
      <c r="L850" s="1">
        <v>6988</v>
      </c>
      <c r="M850" s="1">
        <v>0</v>
      </c>
      <c r="N850" s="1">
        <v>547940</v>
      </c>
      <c r="O850" s="1">
        <v>547940</v>
      </c>
      <c r="P850" s="1">
        <v>274453</v>
      </c>
      <c r="Q850" s="1">
        <v>-6463</v>
      </c>
      <c r="R850" s="1">
        <v>140</v>
      </c>
      <c r="T850">
        <f>E850/G850</f>
        <v>9.0271517107001223E-2</v>
      </c>
      <c r="U850">
        <f>D850/C850</f>
        <v>0.10529592257400486</v>
      </c>
      <c r="V850">
        <f>(E850-F850)/O850</f>
        <v>0.10763404752345147</v>
      </c>
      <c r="W850">
        <f>H850/K850</f>
        <v>3.4638614858063219</v>
      </c>
      <c r="X850">
        <f>(H850-I850)/K850</f>
        <v>2.1473134452089675</v>
      </c>
      <c r="Y850">
        <f>(H850-K850)/G850</f>
        <v>0.31843986720320083</v>
      </c>
      <c r="Z850">
        <f>J850/N850</f>
        <v>0.19233675219914589</v>
      </c>
      <c r="AA850">
        <f>J850/G850</f>
        <v>0.16131076379588233</v>
      </c>
      <c r="AB850">
        <f>C850/G850</f>
        <v>1.1064226446399898</v>
      </c>
      <c r="AC850">
        <f>C850/(G850-K850)</f>
        <v>1.2706463463938547</v>
      </c>
      <c r="AD850">
        <f>Q850/E850</f>
        <v>-0.10958509249368398</v>
      </c>
      <c r="AE850">
        <f>Q850/J850</f>
        <v>-6.1325185740447298E-2</v>
      </c>
      <c r="AF850">
        <f>Q850/G850</f>
        <v>-9.8924125517159036E-3</v>
      </c>
      <c r="AG850">
        <f>Q850/K850</f>
        <v>-7.6540461161311718E-2</v>
      </c>
      <c r="AH850">
        <f>Q850/L850</f>
        <v>-0.92487120778477394</v>
      </c>
      <c r="AI850" s="1">
        <f>R850</f>
        <v>140</v>
      </c>
      <c r="AJ850" s="1">
        <f>P850</f>
        <v>274453</v>
      </c>
    </row>
    <row r="851" spans="1:36" x14ac:dyDescent="0.25">
      <c r="A851" t="s">
        <v>125</v>
      </c>
      <c r="B851">
        <v>2020</v>
      </c>
      <c r="C851" s="1">
        <v>558560</v>
      </c>
      <c r="D851" s="1">
        <v>56343</v>
      </c>
      <c r="E851" s="1">
        <v>38935</v>
      </c>
      <c r="G851" s="1">
        <v>696062</v>
      </c>
      <c r="H851" s="1">
        <v>358833</v>
      </c>
      <c r="I851" s="1">
        <v>87997</v>
      </c>
      <c r="J851" s="1">
        <v>115335</v>
      </c>
      <c r="K851" s="1">
        <v>92203</v>
      </c>
      <c r="L851" s="1">
        <v>1736</v>
      </c>
      <c r="M851" s="1">
        <v>1155</v>
      </c>
      <c r="N851" s="1">
        <v>580727</v>
      </c>
      <c r="O851" s="1">
        <v>580727</v>
      </c>
      <c r="P851" s="1">
        <v>307212</v>
      </c>
      <c r="Q851" s="1">
        <v>66360</v>
      </c>
      <c r="R851" s="1">
        <v>128.1</v>
      </c>
      <c r="T851">
        <f>E851/G851</f>
        <v>5.5936109139703073E-2</v>
      </c>
      <c r="U851">
        <f>D851/C851</f>
        <v>0.10087188484674878</v>
      </c>
      <c r="V851">
        <f>(E851-F851)/O851</f>
        <v>6.704527256352813E-2</v>
      </c>
      <c r="W851">
        <f>H851/K851</f>
        <v>3.891771417415919</v>
      </c>
      <c r="X851">
        <f>(H851-I851)/K851</f>
        <v>2.9373881543984468</v>
      </c>
      <c r="Y851">
        <f>(H851-K851)/G851</f>
        <v>0.38305495774801668</v>
      </c>
      <c r="Z851">
        <f>J851/N851</f>
        <v>0.19860450779798425</v>
      </c>
      <c r="AA851">
        <f>J851/G851</f>
        <v>0.16569644658090801</v>
      </c>
      <c r="AB851">
        <f>C851/G851</f>
        <v>0.80245725237119681</v>
      </c>
      <c r="AC851">
        <f>C851/(G851-K851)</f>
        <v>0.92498414364942805</v>
      </c>
      <c r="AD851">
        <f>Q851/E851</f>
        <v>1.7043790933607295</v>
      </c>
      <c r="AE851">
        <f>Q851/J851</f>
        <v>0.57536740798543373</v>
      </c>
      <c r="AF851">
        <f>Q851/G851</f>
        <v>9.5336334981653933E-2</v>
      </c>
      <c r="AG851">
        <f>Q851/K851</f>
        <v>0.71971627821220563</v>
      </c>
      <c r="AH851">
        <f>Q851/L851</f>
        <v>38.225806451612904</v>
      </c>
      <c r="AI851" s="1">
        <f>R851</f>
        <v>128.1</v>
      </c>
      <c r="AJ851" s="1">
        <f>P851</f>
        <v>307212</v>
      </c>
    </row>
    <row r="852" spans="1:36" x14ac:dyDescent="0.25">
      <c r="A852" t="s">
        <v>125</v>
      </c>
      <c r="B852">
        <v>2021</v>
      </c>
      <c r="C852" s="1">
        <v>452315</v>
      </c>
      <c r="D852" s="1">
        <v>85556</v>
      </c>
      <c r="E852" s="1">
        <v>94244</v>
      </c>
      <c r="G852" s="1">
        <v>724765</v>
      </c>
      <c r="H852" s="1">
        <v>330457</v>
      </c>
      <c r="I852" s="1">
        <v>73553</v>
      </c>
      <c r="J852" s="1">
        <v>67936</v>
      </c>
      <c r="K852" s="1">
        <v>43435</v>
      </c>
      <c r="L852" s="1">
        <v>1137</v>
      </c>
      <c r="M852" s="1">
        <v>482</v>
      </c>
      <c r="N852" s="1">
        <v>656829</v>
      </c>
      <c r="O852" s="1">
        <v>656829</v>
      </c>
      <c r="P852" s="1">
        <v>380811</v>
      </c>
      <c r="Q852" s="1">
        <v>11459</v>
      </c>
      <c r="R852" s="1">
        <v>121.25</v>
      </c>
      <c r="T852">
        <f>E852/G852</f>
        <v>0.13003387304850539</v>
      </c>
      <c r="U852">
        <f>D852/C852</f>
        <v>0.18915136575174379</v>
      </c>
      <c r="V852">
        <f>(E852-F852)/O852</f>
        <v>0.14348331148594232</v>
      </c>
      <c r="W852">
        <f>H852/K852</f>
        <v>7.6080810406354322</v>
      </c>
      <c r="X852">
        <f>(H852-I852)/K852</f>
        <v>5.9146771037181995</v>
      </c>
      <c r="Y852">
        <f>(H852-K852)/G852</f>
        <v>0.3960207791491035</v>
      </c>
      <c r="Z852">
        <f>J852/N852</f>
        <v>0.10343026876097128</v>
      </c>
      <c r="AA852">
        <f>J852/G852</f>
        <v>9.373521072347589E-2</v>
      </c>
      <c r="AB852">
        <f>C852/G852</f>
        <v>0.62408504825702127</v>
      </c>
      <c r="AC852">
        <f>C852/(G852-K852)</f>
        <v>0.66387066472927947</v>
      </c>
      <c r="AD852">
        <f>Q852/E852</f>
        <v>0.12158864224778235</v>
      </c>
      <c r="AE852">
        <f>Q852/J852</f>
        <v>0.16867345737164391</v>
      </c>
      <c r="AF852">
        <f>Q852/G852</f>
        <v>1.5810642070188268E-2</v>
      </c>
      <c r="AG852">
        <f>Q852/K852</f>
        <v>0.26381950040290086</v>
      </c>
      <c r="AH852">
        <f>Q852/L852</f>
        <v>10.078276165347406</v>
      </c>
      <c r="AI852" s="1">
        <f>R852</f>
        <v>121.25</v>
      </c>
      <c r="AJ852" s="1">
        <f>P852</f>
        <v>380811</v>
      </c>
    </row>
    <row r="853" spans="1:36" x14ac:dyDescent="0.25">
      <c r="A853" t="s">
        <v>125</v>
      </c>
      <c r="B853">
        <v>2022</v>
      </c>
      <c r="C853" s="1">
        <v>632108</v>
      </c>
      <c r="D853" s="1">
        <v>66232</v>
      </c>
      <c r="E853" s="1">
        <v>71646</v>
      </c>
      <c r="G853" s="1">
        <v>777668</v>
      </c>
      <c r="H853" s="1">
        <v>390186</v>
      </c>
      <c r="I853" s="1">
        <v>114136</v>
      </c>
      <c r="J853" s="1">
        <v>61109</v>
      </c>
      <c r="K853" s="1">
        <v>43585</v>
      </c>
      <c r="L853" s="1">
        <v>482</v>
      </c>
      <c r="M853" s="1">
        <v>0</v>
      </c>
      <c r="N853" s="1">
        <v>716559</v>
      </c>
      <c r="O853" s="1">
        <v>716559</v>
      </c>
      <c r="P853" s="1">
        <v>440331</v>
      </c>
      <c r="Q853" s="1">
        <v>14583</v>
      </c>
      <c r="T853">
        <f>E853/G853</f>
        <v>9.2129289105376586E-2</v>
      </c>
      <c r="U853">
        <f>D853/C853</f>
        <v>0.10477956298607199</v>
      </c>
      <c r="V853">
        <f>(E853-F853)/O853</f>
        <v>9.9986183970894232E-2</v>
      </c>
      <c r="W853">
        <f>H853/K853</f>
        <v>8.9523001032465306</v>
      </c>
      <c r="X853">
        <f>(H853-I853)/K853</f>
        <v>6.3336010095216242</v>
      </c>
      <c r="Y853">
        <f>(H853-K853)/G853</f>
        <v>0.44569276349290443</v>
      </c>
      <c r="Z853">
        <f>J853/N853</f>
        <v>8.5281184103472282E-2</v>
      </c>
      <c r="AA853">
        <f>J853/G853</f>
        <v>7.8579805263942967E-2</v>
      </c>
      <c r="AB853">
        <f>C853/G853</f>
        <v>0.81282501015857667</v>
      </c>
      <c r="AC853">
        <f>C853/(G853-K853)</f>
        <v>0.86108519063920563</v>
      </c>
      <c r="AD853">
        <f>Q853/E853</f>
        <v>0.20354241688300811</v>
      </c>
      <c r="AE853">
        <f>Q853/J853</f>
        <v>0.23863915298892144</v>
      </c>
      <c r="AF853">
        <f>Q853/G853</f>
        <v>1.8752218170221741E-2</v>
      </c>
      <c r="AG853">
        <f>Q853/K853</f>
        <v>0.33458758747275441</v>
      </c>
      <c r="AH853">
        <f>Q853/L853</f>
        <v>30.255186721991702</v>
      </c>
      <c r="AI853" s="1">
        <f>R853</f>
        <v>0</v>
      </c>
      <c r="AJ853" s="1">
        <f>P853</f>
        <v>440331</v>
      </c>
    </row>
    <row r="854" spans="1:36" x14ac:dyDescent="0.25">
      <c r="A854" t="s">
        <v>125</v>
      </c>
      <c r="B854">
        <v>2023</v>
      </c>
      <c r="C854" s="1">
        <v>1379466</v>
      </c>
      <c r="D854" s="1">
        <v>235101</v>
      </c>
      <c r="E854" s="1">
        <v>168867</v>
      </c>
      <c r="G854" s="1">
        <v>1216032</v>
      </c>
      <c r="H854" s="1">
        <v>821779</v>
      </c>
      <c r="I854" s="1">
        <v>258227</v>
      </c>
      <c r="J854" s="1">
        <v>338963</v>
      </c>
      <c r="K854" s="1">
        <v>299073</v>
      </c>
      <c r="L854" s="1">
        <v>55000</v>
      </c>
      <c r="M854" s="1">
        <v>0</v>
      </c>
      <c r="N854" s="1">
        <v>877069</v>
      </c>
      <c r="O854" s="1">
        <v>877069</v>
      </c>
      <c r="P854" s="1">
        <v>601967</v>
      </c>
      <c r="Q854" s="1">
        <v>10831</v>
      </c>
      <c r="R854" s="1">
        <v>182</v>
      </c>
      <c r="T854">
        <f>E854/G854</f>
        <v>0.13886723375700638</v>
      </c>
      <c r="U854">
        <f>D854/C854</f>
        <v>0.17042899208824283</v>
      </c>
      <c r="V854">
        <f>(E854-F854)/O854</f>
        <v>0.19253559298071191</v>
      </c>
      <c r="W854">
        <f>H854/K854</f>
        <v>2.7477538928622778</v>
      </c>
      <c r="X854">
        <f>(H854-I854)/K854</f>
        <v>1.8843292440307216</v>
      </c>
      <c r="Y854">
        <f>(H854-K854)/G854</f>
        <v>0.42984559616852186</v>
      </c>
      <c r="Z854">
        <f>J854/N854</f>
        <v>0.38647244401523712</v>
      </c>
      <c r="AA854">
        <f>J854/G854</f>
        <v>0.27874513170706033</v>
      </c>
      <c r="AB854">
        <f>C854/G854</f>
        <v>1.1343994236993764</v>
      </c>
      <c r="AC854">
        <f>C854/(G854-K854)</f>
        <v>1.5043922356397614</v>
      </c>
      <c r="AD854">
        <f>Q854/E854</f>
        <v>6.4139233834911505E-2</v>
      </c>
      <c r="AE854">
        <f>Q854/J854</f>
        <v>3.1953340040063373E-2</v>
      </c>
      <c r="AF854">
        <f>Q854/G854</f>
        <v>8.9068379779479491E-3</v>
      </c>
      <c r="AG854">
        <f>Q854/K854</f>
        <v>3.6215238420051289E-2</v>
      </c>
      <c r="AH854">
        <f>Q854/L854</f>
        <v>0.19692727272727273</v>
      </c>
      <c r="AI854" s="1">
        <f>R854</f>
        <v>182</v>
      </c>
      <c r="AJ854" s="1">
        <f>P854</f>
        <v>601967</v>
      </c>
    </row>
    <row r="855" spans="1:36" s="8" customFormat="1" x14ac:dyDescent="0.25">
      <c r="A855" s="8" t="s">
        <v>125</v>
      </c>
      <c r="B855" s="8">
        <v>2024</v>
      </c>
      <c r="C855" s="9">
        <v>1901425</v>
      </c>
      <c r="D855" s="9">
        <v>197888</v>
      </c>
      <c r="E855" s="9">
        <v>153432</v>
      </c>
      <c r="F855" s="9"/>
      <c r="G855" s="9">
        <v>1157208</v>
      </c>
      <c r="H855" s="9">
        <v>757106</v>
      </c>
      <c r="I855" s="9">
        <v>160437</v>
      </c>
      <c r="J855" s="9">
        <v>142644</v>
      </c>
      <c r="K855" s="9">
        <v>93628</v>
      </c>
      <c r="L855" s="9">
        <v>0</v>
      </c>
      <c r="M855" s="9">
        <v>0</v>
      </c>
      <c r="N855" s="9">
        <v>1014564</v>
      </c>
      <c r="O855" s="9">
        <v>1014564</v>
      </c>
      <c r="P855" s="9">
        <v>738333</v>
      </c>
      <c r="Q855" s="9">
        <v>228923</v>
      </c>
      <c r="R855" s="9">
        <v>179.75</v>
      </c>
      <c r="T855" s="8">
        <f>E855/G855</f>
        <v>0.13258809133708027</v>
      </c>
      <c r="U855" s="8">
        <f>D855/C855</f>
        <v>0.10407352380451504</v>
      </c>
      <c r="V855" s="8">
        <f>(E855-F855)/O855</f>
        <v>0.15122949365441707</v>
      </c>
      <c r="W855" s="8">
        <f>H855/K855</f>
        <v>8.0863203315247567</v>
      </c>
      <c r="X855" s="8">
        <f>(H855-I855)/K855</f>
        <v>6.3727624214978427</v>
      </c>
      <c r="Y855" s="8">
        <f>(H855-K855)/G855</f>
        <v>0.57334377225183375</v>
      </c>
      <c r="Z855" s="8">
        <f>J855/N855</f>
        <v>0.14059635469029061</v>
      </c>
      <c r="AA855" s="8">
        <f>J855/G855</f>
        <v>0.12326565319285729</v>
      </c>
      <c r="AB855" s="8">
        <f>C855/G855</f>
        <v>1.6431142888746015</v>
      </c>
      <c r="AC855" s="8">
        <f>C855/(G855-K855)</f>
        <v>1.7877592658756276</v>
      </c>
      <c r="AD855" s="8">
        <f>Q855/E855</f>
        <v>1.4920160070910893</v>
      </c>
      <c r="AE855" s="8">
        <f>Q855/J855</f>
        <v>1.6048554443229297</v>
      </c>
      <c r="AF855" s="8">
        <f>Q855/G855</f>
        <v>0.19782355462457915</v>
      </c>
      <c r="AG855" s="8">
        <f>Q855/K855</f>
        <v>2.4450271286367324</v>
      </c>
      <c r="AH855" s="8" t="e">
        <f>Q855/L855</f>
        <v>#DIV/0!</v>
      </c>
      <c r="AI855" s="9">
        <f>R855</f>
        <v>179.75</v>
      </c>
      <c r="AJ855" s="9">
        <f>P855</f>
        <v>738333</v>
      </c>
    </row>
    <row r="856" spans="1:36" x14ac:dyDescent="0.25">
      <c r="A856" s="15" t="s">
        <v>142</v>
      </c>
      <c r="B856" s="15">
        <v>2018</v>
      </c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15"/>
      <c r="T856" s="15" t="e">
        <f>E856/G856</f>
        <v>#DIV/0!</v>
      </c>
      <c r="U856" s="15" t="e">
        <f>D856/C856</f>
        <v>#DIV/0!</v>
      </c>
      <c r="V856" s="15" t="e">
        <f>(E856-F856)/O856</f>
        <v>#DIV/0!</v>
      </c>
      <c r="W856" s="15" t="e">
        <f>H856/K856</f>
        <v>#DIV/0!</v>
      </c>
      <c r="X856" s="15" t="e">
        <f>(H856-I856)/K856</f>
        <v>#DIV/0!</v>
      </c>
      <c r="Y856" s="15" t="e">
        <f>(H856-K856)/G856</f>
        <v>#DIV/0!</v>
      </c>
      <c r="Z856" s="15" t="e">
        <f>J856/N856</f>
        <v>#DIV/0!</v>
      </c>
      <c r="AA856" s="15" t="e">
        <f>J856/G856</f>
        <v>#DIV/0!</v>
      </c>
      <c r="AB856" s="15" t="e">
        <f>C856/G856</f>
        <v>#DIV/0!</v>
      </c>
      <c r="AC856" s="15" t="e">
        <f>C856/(G856-K856)</f>
        <v>#DIV/0!</v>
      </c>
      <c r="AD856" s="15" t="e">
        <f>Q856/E856</f>
        <v>#DIV/0!</v>
      </c>
      <c r="AE856" s="15" t="e">
        <f>Q856/J856</f>
        <v>#DIV/0!</v>
      </c>
      <c r="AF856" s="15" t="e">
        <f>Q856/G856</f>
        <v>#DIV/0!</v>
      </c>
      <c r="AG856" s="15" t="e">
        <f>Q856/K856</f>
        <v>#DIV/0!</v>
      </c>
      <c r="AH856" s="15" t="e">
        <f>Q856/L856</f>
        <v>#DIV/0!</v>
      </c>
      <c r="AI856" s="6">
        <f>R856</f>
        <v>0</v>
      </c>
      <c r="AJ856" s="6">
        <f>P856</f>
        <v>0</v>
      </c>
    </row>
    <row r="857" spans="1:36" x14ac:dyDescent="0.25">
      <c r="A857" t="s">
        <v>142</v>
      </c>
      <c r="B857">
        <v>2019</v>
      </c>
      <c r="T857" t="e">
        <f>E857/G857</f>
        <v>#DIV/0!</v>
      </c>
      <c r="U857" t="e">
        <f>D857/C857</f>
        <v>#DIV/0!</v>
      </c>
      <c r="V857" t="e">
        <f>(E857-F857)/O857</f>
        <v>#DIV/0!</v>
      </c>
      <c r="W857" t="e">
        <f>H857/K857</f>
        <v>#DIV/0!</v>
      </c>
      <c r="X857" t="e">
        <f>(H857-I857)/K857</f>
        <v>#DIV/0!</v>
      </c>
      <c r="Y857" t="e">
        <f>(H857-K857)/G857</f>
        <v>#DIV/0!</v>
      </c>
      <c r="Z857" t="e">
        <f>J857/N857</f>
        <v>#DIV/0!</v>
      </c>
      <c r="AA857" t="e">
        <f>J857/G857</f>
        <v>#DIV/0!</v>
      </c>
      <c r="AB857" t="e">
        <f>C857/G857</f>
        <v>#DIV/0!</v>
      </c>
      <c r="AC857" t="e">
        <f>C857/(G857-K857)</f>
        <v>#DIV/0!</v>
      </c>
      <c r="AD857" t="e">
        <f>Q857/E857</f>
        <v>#DIV/0!</v>
      </c>
      <c r="AE857" t="e">
        <f>Q857/J857</f>
        <v>#DIV/0!</v>
      </c>
      <c r="AF857" t="e">
        <f>Q857/G857</f>
        <v>#DIV/0!</v>
      </c>
      <c r="AG857" t="e">
        <f>Q857/K857</f>
        <v>#DIV/0!</v>
      </c>
      <c r="AH857" t="e">
        <f>Q857/L857</f>
        <v>#DIV/0!</v>
      </c>
      <c r="AI857" s="1">
        <f>R857</f>
        <v>0</v>
      </c>
      <c r="AJ857" s="1">
        <f>P857</f>
        <v>0</v>
      </c>
    </row>
    <row r="858" spans="1:36" x14ac:dyDescent="0.25">
      <c r="A858" t="s">
        <v>142</v>
      </c>
      <c r="B858">
        <v>2020</v>
      </c>
      <c r="C858" s="1">
        <v>1545368.584</v>
      </c>
      <c r="D858" s="1">
        <v>134675.747</v>
      </c>
      <c r="E858" s="1">
        <v>98432.627999999997</v>
      </c>
      <c r="F858" s="1">
        <v>0</v>
      </c>
      <c r="G858" s="1">
        <v>1863409.138</v>
      </c>
      <c r="H858" s="1">
        <v>1514293.0430000001</v>
      </c>
      <c r="I858" s="1">
        <v>835160.54700000002</v>
      </c>
      <c r="J858" s="1">
        <v>694585.05</v>
      </c>
      <c r="K858" s="1">
        <v>564265.82799999998</v>
      </c>
      <c r="L858" s="1">
        <v>248866.31200000001</v>
      </c>
      <c r="M858" s="1">
        <v>8999.3799999999992</v>
      </c>
      <c r="N858" s="1">
        <v>1168824.088</v>
      </c>
      <c r="O858" s="1">
        <v>1168824.088</v>
      </c>
      <c r="P858" s="1">
        <v>1128824.088</v>
      </c>
      <c r="Q858" s="1">
        <v>33961.595000000001</v>
      </c>
      <c r="R858" s="1">
        <v>0</v>
      </c>
      <c r="T858">
        <f>E858/G858</f>
        <v>5.282394831746285E-2</v>
      </c>
      <c r="U858">
        <f>D858/C858</f>
        <v>8.7147977766836762E-2</v>
      </c>
      <c r="V858">
        <f>(E858-F858)/O858</f>
        <v>8.4215091912103024E-2</v>
      </c>
      <c r="W858">
        <f>H858/K858</f>
        <v>2.6836518673606444</v>
      </c>
      <c r="X858">
        <f>(H858-I858)/K858</f>
        <v>1.2035683578556171</v>
      </c>
      <c r="Y858">
        <f>(H858-K858)/G858</f>
        <v>0.5098328625884414</v>
      </c>
      <c r="Z858">
        <f>J858/N858</f>
        <v>0.5942596983849977</v>
      </c>
      <c r="AA858">
        <f>J858/G858</f>
        <v>0.37274962102284165</v>
      </c>
      <c r="AB858">
        <f>C858/G858</f>
        <v>0.82932328305454517</v>
      </c>
      <c r="AC858">
        <f>C858/(G858-K858)</f>
        <v>1.1895289550465376</v>
      </c>
      <c r="AD858">
        <f>Q858/E858</f>
        <v>0.34502375574083016</v>
      </c>
      <c r="AE858">
        <f>Q858/J858</f>
        <v>4.8894796972667347E-2</v>
      </c>
      <c r="AF858">
        <f>Q858/G858</f>
        <v>1.8225517041550541E-2</v>
      </c>
      <c r="AG858">
        <f>Q858/K858</f>
        <v>6.0187226152564395E-2</v>
      </c>
      <c r="AH858">
        <f>Q858/L858</f>
        <v>0.13646521591078184</v>
      </c>
      <c r="AI858" s="1">
        <f>R858</f>
        <v>0</v>
      </c>
      <c r="AJ858" s="1">
        <f>P858</f>
        <v>1128824.088</v>
      </c>
    </row>
    <row r="859" spans="1:36" x14ac:dyDescent="0.25">
      <c r="A859" t="s">
        <v>142</v>
      </c>
      <c r="B859">
        <v>2021</v>
      </c>
      <c r="C859" s="1">
        <v>2554040.787</v>
      </c>
      <c r="D859" s="1">
        <v>400182.80900000001</v>
      </c>
      <c r="E859" s="1">
        <v>301089.25599999999</v>
      </c>
      <c r="F859" s="1">
        <v>0</v>
      </c>
      <c r="G859" s="1">
        <v>1931731.723</v>
      </c>
      <c r="H859" s="1">
        <v>1566633.3929999999</v>
      </c>
      <c r="I859" s="1">
        <v>546847.78</v>
      </c>
      <c r="J859" s="1">
        <v>493762.72600000002</v>
      </c>
      <c r="K859" s="1">
        <v>370733.908</v>
      </c>
      <c r="L859" s="1">
        <v>134024.13800000001</v>
      </c>
      <c r="M859" s="1">
        <v>4999.3</v>
      </c>
      <c r="N859" s="1">
        <v>1437968.997</v>
      </c>
      <c r="O859" s="1">
        <v>1437968.997</v>
      </c>
      <c r="P859" s="1">
        <v>1237968.997</v>
      </c>
      <c r="Q859" s="1">
        <v>446324.43800000002</v>
      </c>
      <c r="R859" s="1">
        <v>0</v>
      </c>
      <c r="T859">
        <f>E859/G859</f>
        <v>0.15586494357115241</v>
      </c>
      <c r="U859">
        <f>D859/C859</f>
        <v>0.15668614653177032</v>
      </c>
      <c r="V859">
        <f>(E859-F859)/O859</f>
        <v>0.20938508175639062</v>
      </c>
      <c r="W859">
        <f>H859/K859</f>
        <v>4.2257623572969756</v>
      </c>
      <c r="X859">
        <f>(H859-I859)/K859</f>
        <v>2.7507211803242986</v>
      </c>
      <c r="Y859">
        <f>(H859-K859)/G859</f>
        <v>0.61908155814864152</v>
      </c>
      <c r="Z859">
        <f>J859/N859</f>
        <v>0.34337508460205002</v>
      </c>
      <c r="AA859">
        <f>J859/G859</f>
        <v>0.25560626256796221</v>
      </c>
      <c r="AB859">
        <f>C859/G859</f>
        <v>1.3221508745704851</v>
      </c>
      <c r="AC859">
        <f>C859/(G859-K859)</f>
        <v>1.6361591044251398</v>
      </c>
      <c r="AD859">
        <f>Q859/E859</f>
        <v>1.482365873593311</v>
      </c>
      <c r="AE859">
        <f>Q859/J859</f>
        <v>0.90392493093940018</v>
      </c>
      <c r="AF859">
        <f>Q859/G859</f>
        <v>0.23104887323942344</v>
      </c>
      <c r="AG859">
        <f>Q859/K859</f>
        <v>1.2038942982253462</v>
      </c>
      <c r="AH859">
        <f>Q859/L859</f>
        <v>3.3301795084106418</v>
      </c>
      <c r="AI859" s="1">
        <f>R859</f>
        <v>0</v>
      </c>
      <c r="AJ859" s="1">
        <f>P859</f>
        <v>1237968.997</v>
      </c>
    </row>
    <row r="860" spans="1:36" x14ac:dyDescent="0.25">
      <c r="A860" t="s">
        <v>142</v>
      </c>
      <c r="B860">
        <v>2022</v>
      </c>
      <c r="C860" s="1">
        <v>3121311.7429999998</v>
      </c>
      <c r="D860" s="1">
        <v>625353.44200000004</v>
      </c>
      <c r="E860" s="1">
        <v>444246.68400000001</v>
      </c>
      <c r="F860" s="1">
        <v>0</v>
      </c>
      <c r="G860" s="1">
        <v>3593640.4539999999</v>
      </c>
      <c r="H860" s="1">
        <v>3178566.2480000001</v>
      </c>
      <c r="I860" s="1">
        <v>1386554.638</v>
      </c>
      <c r="J860" s="1">
        <v>1751060.5319999999</v>
      </c>
      <c r="K860" s="1">
        <v>1599640.9</v>
      </c>
      <c r="L860" s="1">
        <v>830003.68799999997</v>
      </c>
      <c r="M860" s="1">
        <v>43841.9</v>
      </c>
      <c r="N860" s="1">
        <v>1842579.922</v>
      </c>
      <c r="O860" s="1">
        <v>1842579.922</v>
      </c>
      <c r="P860" s="1">
        <v>1642579.922</v>
      </c>
      <c r="Q860" s="1">
        <v>-690582.17</v>
      </c>
      <c r="R860" s="1">
        <v>0</v>
      </c>
      <c r="T860">
        <f>E860/G860</f>
        <v>0.12362023682851161</v>
      </c>
      <c r="U860">
        <f>D860/C860</f>
        <v>0.20034956245637656</v>
      </c>
      <c r="V860">
        <f>(E860-F860)/O860</f>
        <v>0.24110036080160868</v>
      </c>
      <c r="W860">
        <f>H860/K860</f>
        <v>1.9870498735059852</v>
      </c>
      <c r="X860">
        <f>(H860-I860)/K860</f>
        <v>1.1202586843084597</v>
      </c>
      <c r="Y860">
        <f>(H860-K860)/G860</f>
        <v>0.43936653324417418</v>
      </c>
      <c r="Z860">
        <f>J860/N860</f>
        <v>0.95033084377655552</v>
      </c>
      <c r="AA860">
        <f>J860/G860</f>
        <v>0.48726647933043332</v>
      </c>
      <c r="AB860">
        <f>C860/G860</f>
        <v>0.86856539571891178</v>
      </c>
      <c r="AC860">
        <f>C860/(G860-K860)</f>
        <v>1.5653522774057751</v>
      </c>
      <c r="AD860">
        <f>Q860/E860</f>
        <v>-1.5545015750753473</v>
      </c>
      <c r="AE860">
        <f>Q860/J860</f>
        <v>-0.39437938174029957</v>
      </c>
      <c r="AF860">
        <f>Q860/G860</f>
        <v>-0.19216785286110874</v>
      </c>
      <c r="AG860">
        <f>Q860/K860</f>
        <v>-0.43171074833107859</v>
      </c>
      <c r="AH860">
        <f>Q860/L860</f>
        <v>-0.83202301385436739</v>
      </c>
      <c r="AI860" s="1">
        <f>R860</f>
        <v>0</v>
      </c>
      <c r="AJ860" s="1">
        <f>P860</f>
        <v>1642579.922</v>
      </c>
    </row>
    <row r="861" spans="1:36" x14ac:dyDescent="0.25">
      <c r="A861" t="s">
        <v>142</v>
      </c>
      <c r="B861">
        <v>2023</v>
      </c>
      <c r="C861" s="1">
        <v>3046286.24</v>
      </c>
      <c r="D861" s="1">
        <v>252771.28</v>
      </c>
      <c r="E861" s="1">
        <v>106166.149</v>
      </c>
      <c r="F861" s="1">
        <v>0</v>
      </c>
      <c r="G861" s="1">
        <v>3786359.0120000001</v>
      </c>
      <c r="H861" s="1">
        <v>2631672.8020000001</v>
      </c>
      <c r="I861" s="1">
        <v>1047331.572</v>
      </c>
      <c r="J861" s="1">
        <v>1669894.6839999999</v>
      </c>
      <c r="K861" s="1">
        <v>1039812.697</v>
      </c>
      <c r="L861" s="1">
        <v>951346.91299999994</v>
      </c>
      <c r="M861" s="1">
        <v>555589.1</v>
      </c>
      <c r="N861" s="1">
        <v>2084634.571</v>
      </c>
      <c r="O861" s="1">
        <v>2116464.3280000002</v>
      </c>
      <c r="P861" s="1">
        <v>1644345.75</v>
      </c>
      <c r="Q861" s="1">
        <v>574870.43000000005</v>
      </c>
      <c r="R861" s="1">
        <v>6.9</v>
      </c>
      <c r="T861">
        <f>E861/G861</f>
        <v>2.8039113212331594E-2</v>
      </c>
      <c r="U861">
        <f>D861/C861</f>
        <v>8.2976864314628543E-2</v>
      </c>
      <c r="V861">
        <f>(E861-F861)/O861</f>
        <v>5.0162030890605211E-2</v>
      </c>
      <c r="W861">
        <f>H861/K861</f>
        <v>2.5309104318428997</v>
      </c>
      <c r="X861">
        <f>(H861-I861)/K861</f>
        <v>1.5236794420485904</v>
      </c>
      <c r="Y861">
        <f>(H861-K861)/G861</f>
        <v>0.42041974888143541</v>
      </c>
      <c r="Z861">
        <f>J861/N861</f>
        <v>0.80104911778324328</v>
      </c>
      <c r="AA861">
        <f>J861/G861</f>
        <v>0.44102914665715798</v>
      </c>
      <c r="AB861">
        <f>C861/G861</f>
        <v>0.80454236651767352</v>
      </c>
      <c r="AC861">
        <f>C861/(G861-K861)</f>
        <v>1.109133395407534</v>
      </c>
      <c r="AD861">
        <f>Q861/E861</f>
        <v>5.4148185218623688</v>
      </c>
      <c r="AE861">
        <f>Q861/J861</f>
        <v>0.34425550036663277</v>
      </c>
      <c r="AF861">
        <f>Q861/G861</f>
        <v>0.15182670955872898</v>
      </c>
      <c r="AG861">
        <f>Q861/K861</f>
        <v>0.55285959832821696</v>
      </c>
      <c r="AH861">
        <f>Q861/L861</f>
        <v>0.60427003246080868</v>
      </c>
      <c r="AI861" s="1">
        <f>R861</f>
        <v>6.9</v>
      </c>
      <c r="AJ861" s="1">
        <f>P861</f>
        <v>1644345.75</v>
      </c>
    </row>
    <row r="862" spans="1:36" s="8" customFormat="1" x14ac:dyDescent="0.25">
      <c r="A862" s="8" t="s">
        <v>142</v>
      </c>
      <c r="B862" s="8">
        <v>2024</v>
      </c>
      <c r="C862" s="9">
        <v>2538550.9929999998</v>
      </c>
      <c r="D862" s="9">
        <v>-25815.654999999999</v>
      </c>
      <c r="E862" s="9">
        <v>35412.997000000003</v>
      </c>
      <c r="F862" s="9">
        <v>0</v>
      </c>
      <c r="G862" s="9">
        <v>3440964.1140000001</v>
      </c>
      <c r="H862" s="9">
        <v>2509817.9950000001</v>
      </c>
      <c r="I862" s="9">
        <v>868720.321</v>
      </c>
      <c r="J862" s="9">
        <v>1369156.608</v>
      </c>
      <c r="K862" s="9">
        <v>1123066.0560000001</v>
      </c>
      <c r="L862" s="9">
        <v>893378.21900000004</v>
      </c>
      <c r="M862" s="9">
        <v>171645.386</v>
      </c>
      <c r="N862" s="9">
        <v>2058873.452</v>
      </c>
      <c r="O862" s="9">
        <v>2071807.5060000001</v>
      </c>
      <c r="P862" s="9">
        <v>1622143.983</v>
      </c>
      <c r="Q862" s="9">
        <v>22652.192999999999</v>
      </c>
      <c r="R862" s="9">
        <v>6.9</v>
      </c>
      <c r="T862" s="8">
        <f>E862/G862</f>
        <v>1.0291591492023333E-2</v>
      </c>
      <c r="U862" s="8">
        <f>D862/C862</f>
        <v>-1.0169445116992377E-2</v>
      </c>
      <c r="V862" s="8">
        <f>(E862-F862)/O862</f>
        <v>1.7092802732610626E-2</v>
      </c>
      <c r="W862" s="8">
        <f>H862/K862</f>
        <v>2.2347910718085133</v>
      </c>
      <c r="X862" s="8">
        <f>(H862-I862)/K862</f>
        <v>1.4612654930067621</v>
      </c>
      <c r="Y862" s="8">
        <f>(H862-K862)/G862</f>
        <v>0.40301261305162217</v>
      </c>
      <c r="Z862" s="8">
        <f>J862/N862</f>
        <v>0.6650027988218481</v>
      </c>
      <c r="AA862" s="8">
        <f>J862/G862</f>
        <v>0.39789912438476538</v>
      </c>
      <c r="AB862" s="8">
        <f>C862/G862</f>
        <v>0.73774410569165261</v>
      </c>
      <c r="AC862" s="8">
        <f>C862/(G862-K862)</f>
        <v>1.0951952715256124</v>
      </c>
      <c r="AD862" s="8">
        <f>Q862/E862</f>
        <v>0.63965760932349214</v>
      </c>
      <c r="AE862" s="8">
        <f>Q862/J862</f>
        <v>1.6544632562588486E-2</v>
      </c>
      <c r="AF862" s="8">
        <f>Q862/G862</f>
        <v>6.5830948099216352E-3</v>
      </c>
      <c r="AG862" s="8">
        <f>Q862/K862</f>
        <v>2.0169956058221385E-2</v>
      </c>
      <c r="AH862" s="8">
        <f>Q862/L862</f>
        <v>2.5355658463842624E-2</v>
      </c>
      <c r="AI862" s="9">
        <f>R862</f>
        <v>6.9</v>
      </c>
      <c r="AJ862" s="9">
        <f>P862</f>
        <v>1622143.983</v>
      </c>
    </row>
    <row r="863" spans="1:36" x14ac:dyDescent="0.25">
      <c r="A863" s="15" t="s">
        <v>124</v>
      </c>
      <c r="B863" s="15">
        <v>2018</v>
      </c>
      <c r="C863" s="6">
        <v>349050</v>
      </c>
      <c r="D863" s="6">
        <v>219970</v>
      </c>
      <c r="E863" s="6">
        <v>439358</v>
      </c>
      <c r="F863" s="6"/>
      <c r="G863" s="6">
        <v>4962166</v>
      </c>
      <c r="H863" s="6">
        <v>1038282</v>
      </c>
      <c r="I863" s="6">
        <v>0</v>
      </c>
      <c r="J863" s="6">
        <v>1340942</v>
      </c>
      <c r="K863" s="6">
        <v>521651</v>
      </c>
      <c r="L863" s="6">
        <v>561704</v>
      </c>
      <c r="M863" s="6">
        <v>362241</v>
      </c>
      <c r="N863" s="6">
        <v>3473291</v>
      </c>
      <c r="O863" s="6">
        <v>3621224</v>
      </c>
      <c r="P863" s="6">
        <v>502791</v>
      </c>
      <c r="Q863" s="6">
        <v>254161</v>
      </c>
      <c r="R863" s="6">
        <v>9.9</v>
      </c>
      <c r="S863" s="15"/>
      <c r="T863" s="15">
        <f>E863/G863</f>
        <v>8.8541576400305841E-2</v>
      </c>
      <c r="U863" s="15">
        <f>D863/C863</f>
        <v>0.6301962469560235</v>
      </c>
      <c r="V863" s="15">
        <f>(E863-F863)/O863</f>
        <v>0.12132858944931327</v>
      </c>
      <c r="W863" s="15">
        <f>H863/K863</f>
        <v>1.9903767077988923</v>
      </c>
      <c r="X863" s="15">
        <f>(H863-I863)/K863</f>
        <v>1.9903767077988923</v>
      </c>
      <c r="Y863" s="15">
        <f>(H863-K863)/G863</f>
        <v>0.10411400989003593</v>
      </c>
      <c r="Z863" s="15">
        <f>J863/N863</f>
        <v>0.3860724598082913</v>
      </c>
      <c r="AA863" s="15">
        <f>J863/G863</f>
        <v>0.2702332005821651</v>
      </c>
      <c r="AB863" s="15">
        <f>C863/G863</f>
        <v>7.0342265857288935E-2</v>
      </c>
      <c r="AC863" s="15">
        <f>C863/(G863-K863)</f>
        <v>7.8605747306337209E-2</v>
      </c>
      <c r="AD863" s="15">
        <f>Q863/E863</f>
        <v>0.57848269520527684</v>
      </c>
      <c r="AE863" s="15">
        <f>Q863/J863</f>
        <v>0.18953914486980047</v>
      </c>
      <c r="AF863" s="15">
        <f>Q863/G863</f>
        <v>5.1219769753772848E-2</v>
      </c>
      <c r="AG863" s="15">
        <f>Q863/K863</f>
        <v>0.48722421695731438</v>
      </c>
      <c r="AH863" s="15">
        <f>Q863/L863</f>
        <v>0.45248209021121444</v>
      </c>
      <c r="AI863" s="6">
        <f>R863</f>
        <v>9.9</v>
      </c>
      <c r="AJ863" s="6">
        <f>P863</f>
        <v>502791</v>
      </c>
    </row>
    <row r="864" spans="1:36" x14ac:dyDescent="0.25">
      <c r="A864" t="s">
        <v>124</v>
      </c>
      <c r="B864">
        <v>2019</v>
      </c>
      <c r="C864" s="1">
        <v>429509</v>
      </c>
      <c r="D864" s="1">
        <v>275370</v>
      </c>
      <c r="E864" s="1">
        <v>556214</v>
      </c>
      <c r="G864" s="1">
        <v>5327069</v>
      </c>
      <c r="H864" s="1">
        <v>942554</v>
      </c>
      <c r="I864" s="1">
        <v>0</v>
      </c>
      <c r="J864" s="1">
        <v>1164074</v>
      </c>
      <c r="K864" s="1">
        <v>398796</v>
      </c>
      <c r="L864" s="1">
        <v>762989</v>
      </c>
      <c r="M864" s="1">
        <v>467687</v>
      </c>
      <c r="N864" s="1">
        <v>3998898</v>
      </c>
      <c r="O864" s="1">
        <v>4162995</v>
      </c>
      <c r="P864" s="1">
        <v>814238</v>
      </c>
      <c r="Q864" s="1">
        <v>-153264</v>
      </c>
      <c r="R864" s="1">
        <v>7.9</v>
      </c>
      <c r="T864">
        <f>E864/G864</f>
        <v>0.10441276431748867</v>
      </c>
      <c r="U864">
        <f>D864/C864</f>
        <v>0.64112742689908708</v>
      </c>
      <c r="V864">
        <f>(E864-F864)/O864</f>
        <v>0.13360909633569101</v>
      </c>
      <c r="W864">
        <f>H864/K864</f>
        <v>2.3634991323884895</v>
      </c>
      <c r="X864">
        <f>(H864-I864)/K864</f>
        <v>2.3634991323884895</v>
      </c>
      <c r="Y864">
        <f>(H864-K864)/G864</f>
        <v>0.10207451790093201</v>
      </c>
      <c r="Z864">
        <f>J864/N864</f>
        <v>0.29109869769121394</v>
      </c>
      <c r="AA864">
        <f>J864/G864</f>
        <v>0.21852054103297705</v>
      </c>
      <c r="AB864">
        <f>C864/G864</f>
        <v>8.0627639702057552E-2</v>
      </c>
      <c r="AC864">
        <f>C864/(G864-K864)</f>
        <v>8.7152030741803471E-2</v>
      </c>
      <c r="AD864">
        <f>Q864/E864</f>
        <v>-0.27554861977584166</v>
      </c>
      <c r="AE864">
        <f>Q864/J864</f>
        <v>-0.13166173284516278</v>
      </c>
      <c r="AF864">
        <f>Q864/G864</f>
        <v>-2.8770793094664251E-2</v>
      </c>
      <c r="AG864">
        <f>Q864/K864</f>
        <v>-0.38431679354858123</v>
      </c>
      <c r="AH864">
        <f>Q864/L864</f>
        <v>-0.20087314496015016</v>
      </c>
      <c r="AI864" s="1">
        <f>R864</f>
        <v>7.9</v>
      </c>
      <c r="AJ864" s="1">
        <f>P864</f>
        <v>814238</v>
      </c>
    </row>
    <row r="865" spans="1:36" x14ac:dyDescent="0.25">
      <c r="A865" t="s">
        <v>124</v>
      </c>
      <c r="B865">
        <v>2020</v>
      </c>
      <c r="C865" s="1">
        <v>345296</v>
      </c>
      <c r="D865" s="1">
        <v>216564</v>
      </c>
      <c r="E865" s="1">
        <v>419154</v>
      </c>
      <c r="G865" s="1">
        <v>7365165</v>
      </c>
      <c r="H865" s="1">
        <v>681031</v>
      </c>
      <c r="I865" s="1">
        <v>0</v>
      </c>
      <c r="J865" s="1">
        <v>2808884</v>
      </c>
      <c r="K865" s="1">
        <v>359356</v>
      </c>
      <c r="L865" s="1">
        <v>2588715</v>
      </c>
      <c r="M865" s="1">
        <v>2324605</v>
      </c>
      <c r="N865" s="1">
        <v>4382936</v>
      </c>
      <c r="O865" s="1">
        <v>4556281</v>
      </c>
      <c r="P865" s="1">
        <v>997828</v>
      </c>
      <c r="Q865" s="1">
        <v>-91427</v>
      </c>
      <c r="R865" s="1">
        <v>4.2</v>
      </c>
      <c r="T865">
        <f>E865/G865</f>
        <v>5.6910333984371023E-2</v>
      </c>
      <c r="U865">
        <f>D865/C865</f>
        <v>0.62718363375191144</v>
      </c>
      <c r="V865">
        <f>(E865-F865)/O865</f>
        <v>9.1994765028759196E-2</v>
      </c>
      <c r="W865">
        <f>H865/K865</f>
        <v>1.895142977993967</v>
      </c>
      <c r="X865">
        <f>(H865-I865)/K865</f>
        <v>1.895142977993967</v>
      </c>
      <c r="Y865">
        <f>(H865-K865)/G865</f>
        <v>4.367519261279279E-2</v>
      </c>
      <c r="Z865">
        <f>J865/N865</f>
        <v>0.64086813040391188</v>
      </c>
      <c r="AA865">
        <f>J865/G865</f>
        <v>0.38137421225457951</v>
      </c>
      <c r="AB865">
        <f>C865/G865</f>
        <v>4.688231696099137E-2</v>
      </c>
      <c r="AC865">
        <f>C865/(G865-K865)</f>
        <v>4.9287098749052391E-2</v>
      </c>
      <c r="AD865">
        <f>Q865/E865</f>
        <v>-0.21812269476135263</v>
      </c>
      <c r="AE865">
        <f>Q865/J865</f>
        <v>-3.2549225955931252E-2</v>
      </c>
      <c r="AF865">
        <f>Q865/G865</f>
        <v>-1.2413435408439593E-2</v>
      </c>
      <c r="AG865">
        <f>Q865/K865</f>
        <v>-0.25441901624016294</v>
      </c>
      <c r="AH865">
        <f>Q865/L865</f>
        <v>-3.5317522400109706E-2</v>
      </c>
      <c r="AI865" s="1">
        <f>R865</f>
        <v>4.2</v>
      </c>
      <c r="AJ865" s="1">
        <f>P865</f>
        <v>997828</v>
      </c>
    </row>
    <row r="866" spans="1:36" x14ac:dyDescent="0.25">
      <c r="A866" t="s">
        <v>124</v>
      </c>
      <c r="B866">
        <v>2021</v>
      </c>
      <c r="C866" s="1">
        <v>350262</v>
      </c>
      <c r="D866" s="1">
        <v>212361</v>
      </c>
      <c r="E866" s="1">
        <v>688541</v>
      </c>
      <c r="G866" s="1">
        <v>8362900</v>
      </c>
      <c r="H866" s="1">
        <v>606549</v>
      </c>
      <c r="I866" s="1">
        <v>0</v>
      </c>
      <c r="J866" s="1">
        <v>3089830</v>
      </c>
      <c r="K866" s="1">
        <v>1242618</v>
      </c>
      <c r="L866" s="1">
        <v>2911170</v>
      </c>
      <c r="M866" s="1">
        <v>1729799</v>
      </c>
      <c r="N866" s="1">
        <v>5065439</v>
      </c>
      <c r="O866" s="1">
        <v>5273070</v>
      </c>
      <c r="P866" s="1">
        <v>1427254</v>
      </c>
      <c r="Q866" s="1">
        <v>100474</v>
      </c>
      <c r="R866" s="1">
        <v>9.6999999999999993</v>
      </c>
      <c r="T866">
        <f>E866/G866</f>
        <v>8.2332803214196032E-2</v>
      </c>
      <c r="U866">
        <f>D866/C866</f>
        <v>0.60629186152080439</v>
      </c>
      <c r="V866">
        <f>(E866-F866)/O866</f>
        <v>0.13057687457211833</v>
      </c>
      <c r="W866">
        <f>H866/K866</f>
        <v>0.48812185241160194</v>
      </c>
      <c r="X866">
        <f>(H866-I866)/K866</f>
        <v>0.48812185241160194</v>
      </c>
      <c r="Y866">
        <f>(H866-K866)/G866</f>
        <v>-7.6058424709132003E-2</v>
      </c>
      <c r="Z866">
        <f>J866/N866</f>
        <v>0.60998266882692698</v>
      </c>
      <c r="AA866">
        <f>J866/G866</f>
        <v>0.36946872496382832</v>
      </c>
      <c r="AB866">
        <f>C866/G866</f>
        <v>4.1882839684798334E-2</v>
      </c>
      <c r="AC866">
        <f>C866/(G866-K866)</f>
        <v>4.9192152782712821E-2</v>
      </c>
      <c r="AD866">
        <f>Q866/E866</f>
        <v>0.14592304597692804</v>
      </c>
      <c r="AE866">
        <f>Q866/J866</f>
        <v>3.2517646601916611E-2</v>
      </c>
      <c r="AF866">
        <f>Q866/G866</f>
        <v>1.2014253428834495E-2</v>
      </c>
      <c r="AG866">
        <f>Q866/K866</f>
        <v>8.0856707371050482E-2</v>
      </c>
      <c r="AH866">
        <f>Q866/L866</f>
        <v>3.4513271296420338E-2</v>
      </c>
      <c r="AI866" s="1">
        <f>R866</f>
        <v>9.6999999999999993</v>
      </c>
      <c r="AJ866" s="1">
        <f>P866</f>
        <v>1427254</v>
      </c>
    </row>
    <row r="867" spans="1:36" x14ac:dyDescent="0.25">
      <c r="A867" t="s">
        <v>124</v>
      </c>
      <c r="B867">
        <v>2022</v>
      </c>
      <c r="C867" s="1">
        <v>437971</v>
      </c>
      <c r="D867" s="1">
        <v>279781</v>
      </c>
      <c r="E867" s="1">
        <v>724282</v>
      </c>
      <c r="G867" s="1">
        <v>12075302</v>
      </c>
      <c r="H867" s="1">
        <v>1042057</v>
      </c>
      <c r="I867" s="1">
        <v>0</v>
      </c>
      <c r="J867" s="1">
        <v>3598062</v>
      </c>
      <c r="K867" s="1">
        <v>657509</v>
      </c>
      <c r="L867" s="1">
        <v>3447251</v>
      </c>
      <c r="M867" s="1">
        <v>2900650</v>
      </c>
      <c r="N867" s="1">
        <v>8241396</v>
      </c>
      <c r="O867" s="1">
        <v>8477240</v>
      </c>
      <c r="P867" s="1">
        <v>1878891</v>
      </c>
      <c r="Q867" s="1">
        <v>132793</v>
      </c>
      <c r="R867" s="1">
        <v>8.5</v>
      </c>
      <c r="T867">
        <f>E867/G867</f>
        <v>5.998044603770572E-2</v>
      </c>
      <c r="U867">
        <f>D867/C867</f>
        <v>0.63881170214466254</v>
      </c>
      <c r="V867">
        <f>(E867-F867)/O867</f>
        <v>8.5438420995512687E-2</v>
      </c>
      <c r="W867">
        <f>H867/K867</f>
        <v>1.5848558726952786</v>
      </c>
      <c r="X867">
        <f>(H867-I867)/K867</f>
        <v>1.5848558726952786</v>
      </c>
      <c r="Y867">
        <f>(H867-K867)/G867</f>
        <v>3.1845828783412619E-2</v>
      </c>
      <c r="Z867">
        <f>J867/N867</f>
        <v>0.43658404474193452</v>
      </c>
      <c r="AA867">
        <f>J867/G867</f>
        <v>0.29796869676634175</v>
      </c>
      <c r="AB867">
        <f>C867/G867</f>
        <v>3.6269983144106871E-2</v>
      </c>
      <c r="AC867">
        <f>C867/(G867-K867)</f>
        <v>3.835863901193514E-2</v>
      </c>
      <c r="AD867">
        <f>Q867/E867</f>
        <v>0.18334433273227832</v>
      </c>
      <c r="AE867">
        <f>Q867/J867</f>
        <v>3.690681261190052E-2</v>
      </c>
      <c r="AF867">
        <f>Q867/G867</f>
        <v>1.0997074855767583E-2</v>
      </c>
      <c r="AG867">
        <f>Q867/K867</f>
        <v>0.20196377540079299</v>
      </c>
      <c r="AH867">
        <f>Q867/L867</f>
        <v>3.8521418950926402E-2</v>
      </c>
      <c r="AI867" s="1">
        <f>R867</f>
        <v>8.5</v>
      </c>
      <c r="AJ867" s="1">
        <f>P867</f>
        <v>1878891</v>
      </c>
    </row>
    <row r="868" spans="1:36" x14ac:dyDescent="0.25">
      <c r="A868" t="s">
        <v>124</v>
      </c>
      <c r="B868">
        <v>2023</v>
      </c>
      <c r="C868" s="1">
        <v>280873</v>
      </c>
      <c r="D868" s="1">
        <v>81371</v>
      </c>
      <c r="E868" s="1">
        <v>-318699</v>
      </c>
      <c r="G868" s="1">
        <v>9911784</v>
      </c>
      <c r="H868" s="1">
        <v>1043663</v>
      </c>
      <c r="I868" s="1">
        <v>0</v>
      </c>
      <c r="J868" s="1">
        <v>3678398</v>
      </c>
      <c r="K868" s="1">
        <v>529929</v>
      </c>
      <c r="L868" s="1">
        <v>3554397</v>
      </c>
      <c r="M868" s="1">
        <v>3068341</v>
      </c>
      <c r="N868" s="1">
        <v>6077216</v>
      </c>
      <c r="O868" s="1">
        <v>6233385</v>
      </c>
      <c r="P868" s="1">
        <v>1625274</v>
      </c>
      <c r="Q868" s="1">
        <v>282087</v>
      </c>
      <c r="R868" s="1">
        <v>6.7</v>
      </c>
      <c r="T868">
        <f>E868/G868</f>
        <v>-3.2153545718913969E-2</v>
      </c>
      <c r="U868">
        <f>D868/C868</f>
        <v>0.28970744785009594</v>
      </c>
      <c r="V868">
        <f>(E868-F868)/O868</f>
        <v>-5.1127758031952145E-2</v>
      </c>
      <c r="W868">
        <f>H868/K868</f>
        <v>1.96943930224615</v>
      </c>
      <c r="X868">
        <f>(H868-I868)/K868</f>
        <v>1.96943930224615</v>
      </c>
      <c r="Y868">
        <f>(H868-K868)/G868</f>
        <v>5.1830629077469804E-2</v>
      </c>
      <c r="Z868">
        <f>J868/N868</f>
        <v>0.60527682412473083</v>
      </c>
      <c r="AA868">
        <f>J868/G868</f>
        <v>0.37111361587379227</v>
      </c>
      <c r="AB868">
        <f>C868/G868</f>
        <v>2.8337280150576325E-2</v>
      </c>
      <c r="AC868">
        <f>C868/(G868-K868)</f>
        <v>2.9937896077055125E-2</v>
      </c>
      <c r="AD868">
        <f>Q868/E868</f>
        <v>-0.88512044280025981</v>
      </c>
      <c r="AE868">
        <f>Q868/J868</f>
        <v>7.668746013889742E-2</v>
      </c>
      <c r="AF868">
        <f>Q868/G868</f>
        <v>2.8459760624323531E-2</v>
      </c>
      <c r="AG868">
        <f>Q868/K868</f>
        <v>0.53231093221922177</v>
      </c>
      <c r="AH868">
        <f>Q868/L868</f>
        <v>7.9362828631691959E-2</v>
      </c>
      <c r="AI868" s="1">
        <f>R868</f>
        <v>6.7</v>
      </c>
      <c r="AJ868" s="1">
        <f>P868</f>
        <v>1625274</v>
      </c>
    </row>
    <row r="869" spans="1:36" s="8" customFormat="1" x14ac:dyDescent="0.25">
      <c r="A869" s="8" t="s">
        <v>124</v>
      </c>
      <c r="B869" s="8">
        <v>2024</v>
      </c>
      <c r="C869" s="9">
        <v>419181</v>
      </c>
      <c r="D869" s="9">
        <v>218590</v>
      </c>
      <c r="E869" s="9">
        <v>-65673</v>
      </c>
      <c r="F869" s="9"/>
      <c r="G869" s="9">
        <v>8959960</v>
      </c>
      <c r="H869" s="9">
        <v>783403</v>
      </c>
      <c r="I869" s="9">
        <v>0</v>
      </c>
      <c r="J869" s="9">
        <v>3588292</v>
      </c>
      <c r="K869" s="9">
        <v>632196</v>
      </c>
      <c r="L869" s="9">
        <v>3452790</v>
      </c>
      <c r="M869" s="9">
        <v>2881315</v>
      </c>
      <c r="N869" s="9">
        <v>5215072</v>
      </c>
      <c r="O869" s="9">
        <v>5371668</v>
      </c>
      <c r="P869" s="9">
        <v>1528642</v>
      </c>
      <c r="Q869" s="9">
        <v>-41527</v>
      </c>
      <c r="R869" s="9">
        <v>4.5</v>
      </c>
      <c r="T869" s="8">
        <f>E869/G869</f>
        <v>-7.329608614324171E-3</v>
      </c>
      <c r="U869" s="8">
        <f>D869/C869</f>
        <v>0.52146924598204591</v>
      </c>
      <c r="V869" s="8">
        <f>(E869-F869)/O869</f>
        <v>-1.2225811423937593E-2</v>
      </c>
      <c r="W869" s="8">
        <f>H869/K869</f>
        <v>1.2391774070066879</v>
      </c>
      <c r="X869" s="8">
        <f>(H869-I869)/K869</f>
        <v>1.2391774070066879</v>
      </c>
      <c r="Y869" s="8">
        <f>(H869-K869)/G869</f>
        <v>1.6875856588645485E-2</v>
      </c>
      <c r="Z869" s="8">
        <f>J869/N869</f>
        <v>0.68806183308686819</v>
      </c>
      <c r="AA869" s="8">
        <f>J869/G869</f>
        <v>0.40048080571788269</v>
      </c>
      <c r="AB869" s="8">
        <f>C869/G869</f>
        <v>4.6783802606261637E-2</v>
      </c>
      <c r="AC869" s="8">
        <f>C869/(G869-K869)</f>
        <v>5.0335360127880667E-2</v>
      </c>
      <c r="AD869" s="8">
        <f>Q869/E869</f>
        <v>0.6323298768139114</v>
      </c>
      <c r="AE869" s="8">
        <f>Q869/J869</f>
        <v>-1.1572915470647316E-2</v>
      </c>
      <c r="AF869" s="8">
        <f>Q869/G869</f>
        <v>-4.6347305121897863E-3</v>
      </c>
      <c r="AG869" s="8">
        <f>Q869/K869</f>
        <v>-6.5686907224974528E-2</v>
      </c>
      <c r="AH869" s="8">
        <f>Q869/L869</f>
        <v>-1.2027085342578032E-2</v>
      </c>
      <c r="AI869" s="9">
        <f>R869</f>
        <v>4.5</v>
      </c>
      <c r="AJ869" s="9">
        <f>P869</f>
        <v>1528642</v>
      </c>
    </row>
    <row r="870" spans="1:36" x14ac:dyDescent="0.25">
      <c r="A870" s="15" t="s">
        <v>133</v>
      </c>
      <c r="B870" s="15">
        <v>2018</v>
      </c>
      <c r="C870" s="6">
        <v>18313245</v>
      </c>
      <c r="D870" s="6">
        <v>2680467</v>
      </c>
      <c r="E870" s="6">
        <v>1611164</v>
      </c>
      <c r="F870" s="6"/>
      <c r="G870" s="6">
        <v>25722893</v>
      </c>
      <c r="H870" s="6">
        <v>10343928</v>
      </c>
      <c r="I870" s="6">
        <v>6113247</v>
      </c>
      <c r="J870" s="6">
        <v>11308144</v>
      </c>
      <c r="K870" s="6">
        <v>6648641</v>
      </c>
      <c r="L870" s="6">
        <v>5515740</v>
      </c>
      <c r="M870" s="6">
        <v>1712118</v>
      </c>
      <c r="N870" s="6">
        <v>10516814</v>
      </c>
      <c r="O870" s="6">
        <v>14414749</v>
      </c>
      <c r="P870" s="6">
        <v>7162378</v>
      </c>
      <c r="Q870" s="6">
        <v>868776</v>
      </c>
      <c r="R870" s="6">
        <v>98.4</v>
      </c>
      <c r="S870" s="15"/>
      <c r="T870" s="15">
        <f>E870/G870</f>
        <v>6.263541196552036E-2</v>
      </c>
      <c r="U870" s="15">
        <f>D870/C870</f>
        <v>0.14636766995690823</v>
      </c>
      <c r="V870" s="15">
        <f>(E870-F870)/O870</f>
        <v>0.1117719080644415</v>
      </c>
      <c r="W870" s="15">
        <f>H870/K870</f>
        <v>1.5557958385781394</v>
      </c>
      <c r="X870" s="15">
        <f>(H870-I870)/K870</f>
        <v>0.63632267105412976</v>
      </c>
      <c r="Y870" s="15">
        <f>(H870-K870)/G870</f>
        <v>0.14365751939332796</v>
      </c>
      <c r="Z870" s="15">
        <f>J870/N870</f>
        <v>1.0752442707458743</v>
      </c>
      <c r="AA870" s="15">
        <f>J870/G870</f>
        <v>0.43961400453673699</v>
      </c>
      <c r="AB870" s="15">
        <f>C870/G870</f>
        <v>0.71194344275350363</v>
      </c>
      <c r="AC870" s="15">
        <f>C870/(G870-K870)</f>
        <v>0.96010291779724832</v>
      </c>
      <c r="AD870" s="15">
        <f>Q870/E870</f>
        <v>0.53922257448652033</v>
      </c>
      <c r="AE870" s="15">
        <f>Q870/J870</f>
        <v>7.6827461694863458E-2</v>
      </c>
      <c r="AF870" s="15">
        <f>Q870/G870</f>
        <v>3.377442809407169E-2</v>
      </c>
      <c r="AG870" s="15">
        <f>Q870/K870</f>
        <v>0.13066971129889551</v>
      </c>
      <c r="AH870" s="15">
        <f>Q870/L870</f>
        <v>0.15750851200382904</v>
      </c>
      <c r="AI870" s="6">
        <f>R870</f>
        <v>98.4</v>
      </c>
      <c r="AJ870" s="6">
        <f>P870</f>
        <v>7162378</v>
      </c>
    </row>
    <row r="871" spans="1:36" x14ac:dyDescent="0.25">
      <c r="A871" t="s">
        <v>133</v>
      </c>
      <c r="B871">
        <v>2019</v>
      </c>
      <c r="C871" s="1">
        <v>19627160</v>
      </c>
      <c r="D871" s="1">
        <v>2034353</v>
      </c>
      <c r="E871" s="1">
        <v>780070</v>
      </c>
      <c r="G871" s="1">
        <v>31056456</v>
      </c>
      <c r="H871" s="1">
        <v>12778328</v>
      </c>
      <c r="I871" s="1">
        <v>8316920</v>
      </c>
      <c r="J871" s="1">
        <v>15871349</v>
      </c>
      <c r="K871" s="1">
        <v>9571604</v>
      </c>
      <c r="L871" s="1">
        <v>9214647</v>
      </c>
      <c r="M871" s="1">
        <v>2950245</v>
      </c>
      <c r="N871" s="1">
        <v>11241554</v>
      </c>
      <c r="O871" s="1">
        <v>15185107</v>
      </c>
      <c r="P871" s="1">
        <v>7602815</v>
      </c>
      <c r="Q871" s="1">
        <v>-926655</v>
      </c>
      <c r="R871" s="1">
        <v>60</v>
      </c>
      <c r="T871">
        <f>E871/G871</f>
        <v>2.5117804813272963E-2</v>
      </c>
      <c r="U871">
        <f>D871/C871</f>
        <v>0.10364989127311337</v>
      </c>
      <c r="V871">
        <f>(E871-F871)/O871</f>
        <v>5.1370727911235661E-2</v>
      </c>
      <c r="W871">
        <f>H871/K871</f>
        <v>1.335024725218469</v>
      </c>
      <c r="X871">
        <f>(H871-I871)/K871</f>
        <v>0.46610871072392884</v>
      </c>
      <c r="Y871">
        <f>(H871-K871)/G871</f>
        <v>0.10325466627615205</v>
      </c>
      <c r="Z871">
        <f>J871/N871</f>
        <v>1.4118465294033191</v>
      </c>
      <c r="AA871">
        <f>J871/G871</f>
        <v>0.51104829862106615</v>
      </c>
      <c r="AB871">
        <f>C871/G871</f>
        <v>0.63198325011714152</v>
      </c>
      <c r="AC871">
        <f>C871/(G871-K871)</f>
        <v>0.91353480117061081</v>
      </c>
      <c r="AD871">
        <f>Q871/E871</f>
        <v>-1.1879126232261208</v>
      </c>
      <c r="AE871">
        <f>Q871/J871</f>
        <v>-5.8385396225613839E-2</v>
      </c>
      <c r="AF871">
        <f>Q871/G871</f>
        <v>-2.9837757405416769E-2</v>
      </c>
      <c r="AG871">
        <f>Q871/K871</f>
        <v>-9.6812927070530713E-2</v>
      </c>
      <c r="AH871">
        <f>Q871/L871</f>
        <v>-0.10056326628681489</v>
      </c>
      <c r="AI871" s="1">
        <f>R871</f>
        <v>60</v>
      </c>
      <c r="AJ871" s="1">
        <f>P871</f>
        <v>7602815</v>
      </c>
    </row>
    <row r="872" spans="1:36" x14ac:dyDescent="0.25">
      <c r="A872" t="s">
        <v>133</v>
      </c>
      <c r="B872">
        <v>2020</v>
      </c>
      <c r="C872" s="1">
        <v>19929709</v>
      </c>
      <c r="D872" s="1">
        <v>1973220</v>
      </c>
      <c r="E872" s="1">
        <v>414649</v>
      </c>
      <c r="G872" s="1">
        <v>33422877</v>
      </c>
      <c r="H872" s="1">
        <v>14635468</v>
      </c>
      <c r="I872" s="1">
        <v>10226419</v>
      </c>
      <c r="J872" s="1">
        <v>17865225</v>
      </c>
      <c r="K872" s="1">
        <v>11579944</v>
      </c>
      <c r="L872" s="1">
        <v>11408192</v>
      </c>
      <c r="M872" s="1">
        <v>2765040</v>
      </c>
      <c r="N872" s="1">
        <v>11621070</v>
      </c>
      <c r="O872" s="1">
        <v>15557652</v>
      </c>
      <c r="P872" s="1">
        <v>7982331</v>
      </c>
      <c r="Q872" s="1">
        <v>-653467</v>
      </c>
      <c r="R872" s="1">
        <v>47</v>
      </c>
      <c r="T872">
        <f>E872/G872</f>
        <v>1.2406143253317181E-2</v>
      </c>
      <c r="U872">
        <f>D872/C872</f>
        <v>9.9008971982481028E-2</v>
      </c>
      <c r="V872">
        <f>(E872-F872)/O872</f>
        <v>2.6652415158791312E-2</v>
      </c>
      <c r="W872">
        <f>H872/K872</f>
        <v>1.2638634521894061</v>
      </c>
      <c r="X872">
        <f>(H872-I872)/K872</f>
        <v>0.38074873246364577</v>
      </c>
      <c r="Y872">
        <f>(H872-K872)/G872</f>
        <v>9.1420137171315322E-2</v>
      </c>
      <c r="Z872">
        <f>J872/N872</f>
        <v>1.5373132594502916</v>
      </c>
      <c r="AA872">
        <f>J872/G872</f>
        <v>0.53452086126517473</v>
      </c>
      <c r="AB872">
        <f>C872/G872</f>
        <v>0.59628945168304925</v>
      </c>
      <c r="AC872">
        <f>C872/(G872-K872)</f>
        <v>0.91240993139520232</v>
      </c>
      <c r="AD872">
        <f>Q872/E872</f>
        <v>-1.5759521908891616</v>
      </c>
      <c r="AE872">
        <f>Q872/J872</f>
        <v>-3.6577596979607031E-2</v>
      </c>
      <c r="AF872">
        <f>Q872/G872</f>
        <v>-1.9551488640550004E-2</v>
      </c>
      <c r="AG872">
        <f>Q872/K872</f>
        <v>-5.6430929199657615E-2</v>
      </c>
      <c r="AH872">
        <f>Q872/L872</f>
        <v>-5.7280505096688417E-2</v>
      </c>
      <c r="AI872" s="1">
        <f>R872</f>
        <v>47</v>
      </c>
      <c r="AJ872" s="1">
        <f>P872</f>
        <v>7982331</v>
      </c>
    </row>
    <row r="873" spans="1:36" x14ac:dyDescent="0.25">
      <c r="A873" t="s">
        <v>133</v>
      </c>
      <c r="B873">
        <v>2021</v>
      </c>
      <c r="C873" s="1">
        <v>29423381</v>
      </c>
      <c r="D873" s="1">
        <v>5331516</v>
      </c>
      <c r="E873" s="1">
        <v>4013420</v>
      </c>
      <c r="G873" s="1">
        <v>33710005</v>
      </c>
      <c r="H873" s="1">
        <v>13922422</v>
      </c>
      <c r="I873" s="1">
        <v>6484986</v>
      </c>
      <c r="J873" s="1">
        <v>14315184</v>
      </c>
      <c r="K873" s="1">
        <v>8672364</v>
      </c>
      <c r="L873" s="1">
        <v>6541664</v>
      </c>
      <c r="M873" s="1">
        <v>2572712</v>
      </c>
      <c r="N873" s="1">
        <v>14571215</v>
      </c>
      <c r="O873" s="1">
        <v>19394821</v>
      </c>
      <c r="P873" s="1">
        <v>10242050</v>
      </c>
      <c r="Q873" s="1">
        <v>10044255</v>
      </c>
      <c r="R873" s="1">
        <v>37.700000000000003</v>
      </c>
      <c r="T873">
        <f>E873/G873</f>
        <v>0.11905723538160258</v>
      </c>
      <c r="U873">
        <f>D873/C873</f>
        <v>0.18119997834375323</v>
      </c>
      <c r="V873">
        <f>(E873-F873)/O873</f>
        <v>0.20693256204839425</v>
      </c>
      <c r="W873">
        <f>H873/K873</f>
        <v>1.6053779569215498</v>
      </c>
      <c r="X873">
        <f>(H873-I873)/K873</f>
        <v>0.85760191800067431</v>
      </c>
      <c r="Y873">
        <f>(H873-K873)/G873</f>
        <v>0.15574183391547999</v>
      </c>
      <c r="Z873">
        <f>J873/N873</f>
        <v>0.9824289875621216</v>
      </c>
      <c r="AA873">
        <f>J873/G873</f>
        <v>0.42465683407641142</v>
      </c>
      <c r="AB873">
        <f>C873/G873</f>
        <v>0.87283822710794612</v>
      </c>
      <c r="AC873">
        <f>C873/(G873-K873)</f>
        <v>1.1751658632696267</v>
      </c>
      <c r="AD873">
        <f>Q873/E873</f>
        <v>2.5026673012044589</v>
      </c>
      <c r="AE873">
        <f>Q873/J873</f>
        <v>0.70165042936227717</v>
      </c>
      <c r="AF873">
        <f>Q873/G873</f>
        <v>0.29796064996133936</v>
      </c>
      <c r="AG873">
        <f>Q873/K873</f>
        <v>1.1581911229740818</v>
      </c>
      <c r="AH873">
        <f>Q873/L873</f>
        <v>1.5354281418305802</v>
      </c>
      <c r="AI873" s="1">
        <f>R873</f>
        <v>37.700000000000003</v>
      </c>
      <c r="AJ873" s="1">
        <f>P873</f>
        <v>10242050</v>
      </c>
    </row>
    <row r="874" spans="1:36" x14ac:dyDescent="0.25">
      <c r="A874" t="s">
        <v>133</v>
      </c>
      <c r="B874">
        <v>2022</v>
      </c>
      <c r="C874" s="1">
        <v>39857514</v>
      </c>
      <c r="D874" s="1">
        <v>9011506</v>
      </c>
      <c r="E874" s="1">
        <v>6882082</v>
      </c>
      <c r="G874" s="1">
        <v>43533573</v>
      </c>
      <c r="H874" s="1">
        <v>22605478</v>
      </c>
      <c r="I874" s="1">
        <v>8388233</v>
      </c>
      <c r="J874" s="1">
        <v>20082857</v>
      </c>
      <c r="K874" s="1">
        <v>14697183</v>
      </c>
      <c r="L874" s="1">
        <v>10520383</v>
      </c>
      <c r="M874" s="1">
        <v>2363591</v>
      </c>
      <c r="N874" s="1">
        <v>17817130</v>
      </c>
      <c r="O874" s="1">
        <v>23450716</v>
      </c>
      <c r="P874" s="1">
        <v>13492885</v>
      </c>
      <c r="Q874" s="1">
        <v>5646554</v>
      </c>
      <c r="R874" s="1">
        <v>69.7</v>
      </c>
      <c r="T874">
        <f>E874/G874</f>
        <v>0.15808677132933702</v>
      </c>
      <c r="U874">
        <f>D874/C874</f>
        <v>0.22609302727711517</v>
      </c>
      <c r="V874">
        <f>(E874-F874)/O874</f>
        <v>0.2934700160114514</v>
      </c>
      <c r="W874">
        <f>H874/K874</f>
        <v>1.538082365852014</v>
      </c>
      <c r="X874">
        <f>(H874-I874)/K874</f>
        <v>0.96734489867888285</v>
      </c>
      <c r="Y874">
        <f>(H874-K874)/G874</f>
        <v>0.18165968136821667</v>
      </c>
      <c r="Z874">
        <f>J874/N874</f>
        <v>1.1271656546256328</v>
      </c>
      <c r="AA874">
        <f>J874/G874</f>
        <v>0.46131883087106129</v>
      </c>
      <c r="AB874">
        <f>C874/G874</f>
        <v>0.91555806825228891</v>
      </c>
      <c r="AC874">
        <f>C874/(G874-K874)</f>
        <v>1.3821949973627072</v>
      </c>
      <c r="AD874">
        <f>Q874/E874</f>
        <v>0.82047177002540805</v>
      </c>
      <c r="AE874">
        <f>Q874/J874</f>
        <v>0.28116288434459302</v>
      </c>
      <c r="AF874">
        <f>Q874/G874</f>
        <v>0.12970573309018307</v>
      </c>
      <c r="AG874">
        <f>Q874/K874</f>
        <v>0.38419294364096845</v>
      </c>
      <c r="AH874">
        <f>Q874/L874</f>
        <v>0.53672513633771701</v>
      </c>
      <c r="AI874" s="1">
        <f>R874</f>
        <v>69.7</v>
      </c>
      <c r="AJ874" s="1">
        <f>P874</f>
        <v>13492885</v>
      </c>
    </row>
    <row r="875" spans="1:36" x14ac:dyDescent="0.25">
      <c r="A875" t="s">
        <v>133</v>
      </c>
      <c r="B875">
        <v>2023</v>
      </c>
      <c r="C875" s="1">
        <v>43455012</v>
      </c>
      <c r="D875" s="1">
        <f>7560985+3369159-545433</f>
        <v>10384711</v>
      </c>
      <c r="E875" s="1">
        <v>5207251</v>
      </c>
      <c r="G875" s="1">
        <v>45368091</v>
      </c>
      <c r="H875" s="1">
        <v>25829265</v>
      </c>
      <c r="I875" s="1">
        <v>14896538</v>
      </c>
      <c r="J875" s="1">
        <f>4000550+K875</f>
        <v>21856174</v>
      </c>
      <c r="K875" s="1">
        <v>17855624</v>
      </c>
      <c r="L875" s="1">
        <f>12221073+M875</f>
        <v>12871145</v>
      </c>
      <c r="M875" s="1">
        <v>650072</v>
      </c>
      <c r="N875" s="1">
        <v>18632274</v>
      </c>
      <c r="O875" s="1">
        <v>23511917</v>
      </c>
      <c r="P875" s="1">
        <v>14672498</v>
      </c>
      <c r="Q875" s="1">
        <v>-2692084</v>
      </c>
      <c r="R875" s="1">
        <v>48.1</v>
      </c>
      <c r="T875">
        <f>E875/G875</f>
        <v>0.11477782920158576</v>
      </c>
      <c r="U875">
        <f>D875/C875</f>
        <v>0.23897613927709882</v>
      </c>
      <c r="V875">
        <f>(E875-F875)/O875</f>
        <v>0.2214728386460364</v>
      </c>
      <c r="W875">
        <f>H875/K875</f>
        <v>1.4465618787671604</v>
      </c>
      <c r="X875">
        <f>(H875-I875)/K875</f>
        <v>0.6122847904951404</v>
      </c>
      <c r="Y875">
        <f>(H875-K875)/G875</f>
        <v>0.17575438649159825</v>
      </c>
      <c r="Z875">
        <f>J875/N875</f>
        <v>1.1730277259769795</v>
      </c>
      <c r="AA875">
        <f>J875/G875</f>
        <v>0.48175211956791392</v>
      </c>
      <c r="AB875">
        <f>C875/G875</f>
        <v>0.95783205865990706</v>
      </c>
      <c r="AC875">
        <f>C875/(G875-K875)</f>
        <v>1.5794662107182174</v>
      </c>
      <c r="AD875">
        <f>Q875/E875</f>
        <v>-0.51698756215131558</v>
      </c>
      <c r="AE875">
        <f>Q875/J875</f>
        <v>-0.12317270168145623</v>
      </c>
      <c r="AF875">
        <f>Q875/G875</f>
        <v>-5.9338710107947897E-2</v>
      </c>
      <c r="AG875">
        <f>Q875/K875</f>
        <v>-0.15076952785296105</v>
      </c>
      <c r="AH875">
        <f>Q875/L875</f>
        <v>-0.20915652803227686</v>
      </c>
      <c r="AI875" s="1">
        <f>R875</f>
        <v>48.1</v>
      </c>
      <c r="AJ875" s="1">
        <f>P875</f>
        <v>14672498</v>
      </c>
    </row>
    <row r="876" spans="1:36" s="8" customFormat="1" x14ac:dyDescent="0.25">
      <c r="A876" s="8" t="s">
        <v>133</v>
      </c>
      <c r="B876" s="8">
        <v>2024</v>
      </c>
      <c r="C876" s="9">
        <v>40243864</v>
      </c>
      <c r="D876" s="9">
        <f>5423674+1785240-227046</f>
        <v>6981868</v>
      </c>
      <c r="E876" s="9">
        <v>3522116</v>
      </c>
      <c r="F876" s="9"/>
      <c r="G876" s="9">
        <v>52842454</v>
      </c>
      <c r="H876" s="9">
        <v>26109187</v>
      </c>
      <c r="I876" s="9">
        <v>17711617</v>
      </c>
      <c r="J876" s="9">
        <f>11720517+K876</f>
        <v>26331681</v>
      </c>
      <c r="K876" s="9">
        <v>14611164</v>
      </c>
      <c r="L876" s="9">
        <f>8385765+M876</f>
        <v>16027718</v>
      </c>
      <c r="M876" s="9">
        <v>7641953</v>
      </c>
      <c r="N876" s="9">
        <v>21144259</v>
      </c>
      <c r="O876" s="9">
        <v>26510773</v>
      </c>
      <c r="P876" s="9">
        <v>15577401</v>
      </c>
      <c r="Q876" s="9">
        <v>4013905</v>
      </c>
      <c r="R876" s="9">
        <v>50.9</v>
      </c>
      <c r="T876" s="8">
        <f>E876/G876</f>
        <v>6.6653149757200908E-2</v>
      </c>
      <c r="U876" s="8">
        <f>D876/C876</f>
        <v>0.17348900692040903</v>
      </c>
      <c r="V876" s="8">
        <f>(E876-F876)/O876</f>
        <v>0.13285602800039065</v>
      </c>
      <c r="W876" s="8">
        <f>H876/K876</f>
        <v>1.7869340868393511</v>
      </c>
      <c r="X876" s="8">
        <f>(H876-I876)/K876</f>
        <v>0.57473655076351204</v>
      </c>
      <c r="Y876" s="8">
        <f>(H876-K876)/G876</f>
        <v>0.21759063271361317</v>
      </c>
      <c r="Z876" s="8">
        <f>J876/N876</f>
        <v>1.2453347738504339</v>
      </c>
      <c r="AA876" s="8">
        <f>J876/G876</f>
        <v>0.49830541556605223</v>
      </c>
      <c r="AB876" s="8">
        <f>C876/G876</f>
        <v>0.76158204159102827</v>
      </c>
      <c r="AC876" s="8">
        <f>C876/(G876-K876)</f>
        <v>1.0526420636081073</v>
      </c>
      <c r="AD876" s="8">
        <f>Q876/E876</f>
        <v>1.1396288481128958</v>
      </c>
      <c r="AE876" s="8">
        <f>Q876/J876</f>
        <v>0.15243633704965512</v>
      </c>
      <c r="AF876" s="8">
        <f>Q876/G876</f>
        <v>7.5959852280895204E-2</v>
      </c>
      <c r="AG876" s="8">
        <f>Q876/K876</f>
        <v>0.27471493715353545</v>
      </c>
      <c r="AH876" s="8">
        <f>Q876/L876</f>
        <v>0.25043521479476993</v>
      </c>
      <c r="AI876" s="9">
        <f>R876</f>
        <v>50.9</v>
      </c>
      <c r="AJ876" s="9">
        <f>P876</f>
        <v>15577401</v>
      </c>
    </row>
    <row r="877" spans="1:36" x14ac:dyDescent="0.25">
      <c r="A877" s="15" t="s">
        <v>143</v>
      </c>
      <c r="B877" s="15">
        <v>2018</v>
      </c>
      <c r="C877" s="6">
        <v>2144945.4070000001</v>
      </c>
      <c r="D877" s="6">
        <v>-205468.024</v>
      </c>
      <c r="E877" s="6">
        <v>-600198.89199999999</v>
      </c>
      <c r="F877" s="6">
        <v>0</v>
      </c>
      <c r="G877" s="6">
        <v>5761432.6179999998</v>
      </c>
      <c r="H877" s="6">
        <v>464535.26799999998</v>
      </c>
      <c r="I877" s="6">
        <v>305998.00099999999</v>
      </c>
      <c r="J877" s="6">
        <v>3957361.1069999998</v>
      </c>
      <c r="K877" s="6">
        <v>643483.21799999999</v>
      </c>
      <c r="L877" s="6">
        <v>2115316.0120000001</v>
      </c>
      <c r="M877" s="6">
        <v>1916732.45</v>
      </c>
      <c r="N877" s="6">
        <v>1804071.5109999999</v>
      </c>
      <c r="O877" s="6">
        <v>1804071.5109999999</v>
      </c>
      <c r="P877" s="6">
        <v>-3681605.7969999998</v>
      </c>
      <c r="Q877" s="6">
        <v>430903.40600000002</v>
      </c>
      <c r="R877" s="6">
        <v>6.3</v>
      </c>
      <c r="S877" s="15"/>
      <c r="T877" s="15">
        <f>E877/G877</f>
        <v>-0.10417528621698098</v>
      </c>
      <c r="U877" s="15">
        <f>D877/C877</f>
        <v>-9.5791726600340465E-2</v>
      </c>
      <c r="V877" s="15">
        <f>(E877-F877)/O877</f>
        <v>-0.33269129762340116</v>
      </c>
      <c r="W877" s="15">
        <f>H877/K877</f>
        <v>0.72190735516586535</v>
      </c>
      <c r="X877" s="15">
        <f>(H877-I877)/K877</f>
        <v>0.2463735845244685</v>
      </c>
      <c r="Y877" s="15">
        <f>(H877-K877)/G877</f>
        <v>-3.1059627329655254E-2</v>
      </c>
      <c r="Z877" s="15">
        <f>J877/N877</f>
        <v>2.1935721964848431</v>
      </c>
      <c r="AA877" s="15">
        <f>J877/G877</f>
        <v>0.68687102139081202</v>
      </c>
      <c r="AB877" s="15">
        <f>C877/G877</f>
        <v>0.37229375907282375</v>
      </c>
      <c r="AC877" s="15">
        <f>C877/(G877-K877)</f>
        <v>0.41910250363163037</v>
      </c>
      <c r="AD877" s="15">
        <f>Q877/E877</f>
        <v>-0.71793435766622515</v>
      </c>
      <c r="AE877" s="15">
        <f>Q877/J877</f>
        <v>0.10888655201007413</v>
      </c>
      <c r="AF877" s="15">
        <f>Q877/G877</f>
        <v>7.4791017194883389E-2</v>
      </c>
      <c r="AG877" s="15">
        <f>Q877/K877</f>
        <v>0.66964202631310898</v>
      </c>
      <c r="AH877" s="15">
        <f>Q877/L877</f>
        <v>0.2037063982665111</v>
      </c>
      <c r="AI877" s="6">
        <f>R877</f>
        <v>6.3</v>
      </c>
      <c r="AJ877" s="6">
        <f>P877</f>
        <v>-3681605.7969999998</v>
      </c>
    </row>
    <row r="878" spans="1:36" x14ac:dyDescent="0.25">
      <c r="A878" t="s">
        <v>143</v>
      </c>
      <c r="B878">
        <v>2019</v>
      </c>
      <c r="C878" s="1">
        <v>2006977.497</v>
      </c>
      <c r="D878" s="1">
        <v>-435245.09299999999</v>
      </c>
      <c r="E878" s="1">
        <v>-763708.53500000003</v>
      </c>
      <c r="F878" s="1">
        <v>0</v>
      </c>
      <c r="G878" s="1">
        <v>6047308.3770000003</v>
      </c>
      <c r="H878" s="1">
        <v>450870.054</v>
      </c>
      <c r="I878" s="1">
        <v>253557.19699999999</v>
      </c>
      <c r="J878" s="1">
        <v>5099398.9119999995</v>
      </c>
      <c r="K878" s="1">
        <v>695024.48199999996</v>
      </c>
      <c r="L878" s="1">
        <v>3250217.7289999998</v>
      </c>
      <c r="M878" s="1">
        <v>2912559.02</v>
      </c>
      <c r="N878" s="1">
        <v>947909.46499999997</v>
      </c>
      <c r="O878" s="1">
        <v>947909.46499999997</v>
      </c>
      <c r="P878" s="1">
        <v>-4693768.7089999998</v>
      </c>
      <c r="Q878" s="1">
        <v>-850789.321</v>
      </c>
      <c r="R878" s="1">
        <v>6.8</v>
      </c>
      <c r="T878">
        <f>E878/G878</f>
        <v>-0.12628900121988934</v>
      </c>
      <c r="U878">
        <f>D878/C878</f>
        <v>-0.21686595572227285</v>
      </c>
      <c r="V878">
        <f>(E878-F878)/O878</f>
        <v>-0.80567666343536304</v>
      </c>
      <c r="W878">
        <f>H878/K878</f>
        <v>0.64871103921775242</v>
      </c>
      <c r="X878">
        <f>(H878-I878)/K878</f>
        <v>0.28389339096690991</v>
      </c>
      <c r="Y878">
        <f>(H878-K878)/G878</f>
        <v>-4.0374066076835684E-2</v>
      </c>
      <c r="Z878">
        <f>J878/N878</f>
        <v>5.3796265363802434</v>
      </c>
      <c r="AA878">
        <f>J878/G878</f>
        <v>0.84325101253224866</v>
      </c>
      <c r="AB878">
        <f>C878/G878</f>
        <v>0.33187946965516552</v>
      </c>
      <c r="AC878">
        <f>C878/(G878-K878)</f>
        <v>0.3749759049356256</v>
      </c>
      <c r="AD878">
        <f>Q878/E878</f>
        <v>1.1140235862363381</v>
      </c>
      <c r="AE878">
        <f>Q878/J878</f>
        <v>-0.16684109944760486</v>
      </c>
      <c r="AF878">
        <f>Q878/G878</f>
        <v>-0.14068892604118641</v>
      </c>
      <c r="AG878">
        <f>Q878/K878</f>
        <v>-1.2241141758802103</v>
      </c>
      <c r="AH878">
        <f>Q878/L878</f>
        <v>-0.26176379305572361</v>
      </c>
      <c r="AI878" s="1">
        <f>R878</f>
        <v>6.8</v>
      </c>
      <c r="AJ878" s="1">
        <f>P878</f>
        <v>-4693768.7089999998</v>
      </c>
    </row>
    <row r="879" spans="1:36" x14ac:dyDescent="0.25">
      <c r="A879" t="s">
        <v>143</v>
      </c>
      <c r="B879">
        <v>2020</v>
      </c>
      <c r="C879" s="1">
        <v>2832067.0260000001</v>
      </c>
      <c r="D879" s="1">
        <v>186109.196</v>
      </c>
      <c r="E879" s="1">
        <v>-200895.03200000001</v>
      </c>
      <c r="F879" s="1">
        <v>0</v>
      </c>
      <c r="G879" s="1">
        <v>7123308.1909999996</v>
      </c>
      <c r="H879" s="1">
        <v>551371.79</v>
      </c>
      <c r="I879" s="1">
        <v>363449.82500000001</v>
      </c>
      <c r="J879" s="1">
        <v>5682027.8389999997</v>
      </c>
      <c r="K879" s="1">
        <v>1095423.213</v>
      </c>
      <c r="L879" s="1">
        <v>3456162.3459999999</v>
      </c>
      <c r="M879" s="1">
        <v>2909107.2680000002</v>
      </c>
      <c r="N879" s="1">
        <v>1441280.352</v>
      </c>
      <c r="O879" s="1">
        <v>1441280.352</v>
      </c>
      <c r="P879" s="1">
        <v>-5077361.2029999997</v>
      </c>
      <c r="Q879" s="1">
        <v>97886.278000000006</v>
      </c>
      <c r="R879" s="1">
        <v>10</v>
      </c>
      <c r="T879">
        <f>E879/G879</f>
        <v>-2.8202490558224397E-2</v>
      </c>
      <c r="U879">
        <f>D879/C879</f>
        <v>6.5714968710631066E-2</v>
      </c>
      <c r="V879">
        <f>(E879-F879)/O879</f>
        <v>-0.13938650570045377</v>
      </c>
      <c r="W879">
        <f>H879/K879</f>
        <v>0.5033413419184134</v>
      </c>
      <c r="X879">
        <f>(H879-I879)/K879</f>
        <v>0.17155192876125405</v>
      </c>
      <c r="Y879">
        <f>(H879-K879)/G879</f>
        <v>-7.6376229753387065E-2</v>
      </c>
      <c r="Z879">
        <f>J879/N879</f>
        <v>3.9423473934930877</v>
      </c>
      <c r="AA879">
        <f>J879/G879</f>
        <v>0.79766699497559335</v>
      </c>
      <c r="AB879">
        <f>C879/G879</f>
        <v>0.39757749490302802</v>
      </c>
      <c r="AC879">
        <f>C879/(G879-K879)</f>
        <v>0.46982764872525079</v>
      </c>
      <c r="AD879">
        <f>Q879/E879</f>
        <v>-0.48725086442157517</v>
      </c>
      <c r="AE879">
        <f>Q879/J879</f>
        <v>1.7227349244601266E-2</v>
      </c>
      <c r="AF879">
        <f>Q879/G879</f>
        <v>1.374168790333615E-2</v>
      </c>
      <c r="AG879">
        <f>Q879/K879</f>
        <v>8.9359324175650831E-2</v>
      </c>
      <c r="AH879">
        <f>Q879/L879</f>
        <v>2.8322245369430919E-2</v>
      </c>
      <c r="AI879" s="1">
        <f>R879</f>
        <v>10</v>
      </c>
      <c r="AJ879" s="1">
        <f>P879</f>
        <v>-5077361.2029999997</v>
      </c>
    </row>
    <row r="880" spans="1:36" x14ac:dyDescent="0.25">
      <c r="A880" t="s">
        <v>143</v>
      </c>
      <c r="B880">
        <v>2021</v>
      </c>
      <c r="C880" s="1">
        <v>3099649.2850000001</v>
      </c>
      <c r="D880" s="1">
        <v>-38765.764000000003</v>
      </c>
      <c r="E880" s="1">
        <v>-238188.07</v>
      </c>
      <c r="F880" s="1">
        <v>0</v>
      </c>
      <c r="G880" s="1">
        <v>7252399.5630000001</v>
      </c>
      <c r="H880" s="1">
        <v>429903.21899999998</v>
      </c>
      <c r="I880" s="1">
        <v>314467.08799999999</v>
      </c>
      <c r="J880" s="1">
        <v>6185957.5070000002</v>
      </c>
      <c r="K880" s="1">
        <v>1219676.58</v>
      </c>
      <c r="L880" s="1">
        <v>3764925.0809999998</v>
      </c>
      <c r="M880" s="1">
        <v>3186776.9330000002</v>
      </c>
      <c r="N880" s="1">
        <v>1066442.0560000001</v>
      </c>
      <c r="O880" s="1">
        <v>1066442.0560000001</v>
      </c>
      <c r="P880" s="1">
        <v>-5690592.3080000002</v>
      </c>
      <c r="Q880" s="1">
        <v>162497.36799999999</v>
      </c>
      <c r="R880" s="1">
        <v>12.6</v>
      </c>
      <c r="T880">
        <f>E880/G880</f>
        <v>-3.2842656824256938E-2</v>
      </c>
      <c r="U880">
        <f>D880/C880</f>
        <v>-1.2506500070055507E-2</v>
      </c>
      <c r="V880">
        <f>(E880-F880)/O880</f>
        <v>-0.22334834664472383</v>
      </c>
      <c r="W880">
        <f>H880/K880</f>
        <v>0.35247312775326056</v>
      </c>
      <c r="X880">
        <f>(H880-I880)/K880</f>
        <v>9.4644869708000776E-2</v>
      </c>
      <c r="Y880">
        <f>(H880-K880)/G880</f>
        <v>-0.10889821418958133</v>
      </c>
      <c r="Z880">
        <f>J880/N880</f>
        <v>5.800556600517262</v>
      </c>
      <c r="AA880">
        <f>J880/G880</f>
        <v>0.85295321269380542</v>
      </c>
      <c r="AB880">
        <f>C880/G880</f>
        <v>0.42739637523746843</v>
      </c>
      <c r="AC880">
        <f>C880/(G880-K880)</f>
        <v>0.51380600331470583</v>
      </c>
      <c r="AD880">
        <f>Q880/E880</f>
        <v>-0.68222295096475649</v>
      </c>
      <c r="AE880">
        <f>Q880/J880</f>
        <v>2.6268749472675611E-2</v>
      </c>
      <c r="AF880">
        <f>Q880/G880</f>
        <v>2.2406014256167367E-2</v>
      </c>
      <c r="AG880">
        <f>Q880/K880</f>
        <v>0.13322988295798874</v>
      </c>
      <c r="AH880">
        <f>Q880/L880</f>
        <v>4.3160850349999301E-2</v>
      </c>
      <c r="AI880" s="1">
        <f>R880</f>
        <v>12.6</v>
      </c>
      <c r="AJ880" s="1">
        <f>P880</f>
        <v>-5690592.3080000002</v>
      </c>
    </row>
    <row r="881" spans="1:36" x14ac:dyDescent="0.25">
      <c r="A881" t="s">
        <v>143</v>
      </c>
      <c r="B881">
        <v>2022</v>
      </c>
      <c r="C881" s="1">
        <v>4172567.8319999999</v>
      </c>
      <c r="D881" s="1">
        <v>961152.40399999998</v>
      </c>
      <c r="E881" s="1">
        <v>-203485.37</v>
      </c>
      <c r="F881" s="1">
        <v>0</v>
      </c>
      <c r="G881" s="1">
        <v>7719016.6140000001</v>
      </c>
      <c r="H881" s="1">
        <v>547830.31700000004</v>
      </c>
      <c r="I881" s="1">
        <v>435601.15899999999</v>
      </c>
      <c r="J881" s="1">
        <v>7108068.2230000002</v>
      </c>
      <c r="K881" s="1">
        <v>1271112.8470000001</v>
      </c>
      <c r="L881" s="1">
        <v>4034990.7280000001</v>
      </c>
      <c r="M881" s="1">
        <v>3434990.7280000001</v>
      </c>
      <c r="N881" s="1">
        <v>610948.39099999995</v>
      </c>
      <c r="O881" s="1">
        <v>610948.39099999995</v>
      </c>
      <c r="P881" s="1">
        <v>-6144937.1330000004</v>
      </c>
      <c r="Q881" s="1">
        <v>910460.56200000003</v>
      </c>
      <c r="R881" s="1">
        <v>11.3</v>
      </c>
      <c r="T881">
        <f>E881/G881</f>
        <v>-2.6361566527909535E-2</v>
      </c>
      <c r="U881">
        <f>D881/C881</f>
        <v>0.23035033645919167</v>
      </c>
      <c r="V881">
        <f>(E881-F881)/O881</f>
        <v>-0.33306474490739763</v>
      </c>
      <c r="W881">
        <f>H881/K881</f>
        <v>0.43098480067521494</v>
      </c>
      <c r="X881">
        <f>(H881-I881)/K881</f>
        <v>8.8292049179485674E-2</v>
      </c>
      <c r="Y881">
        <f>(H881-K881)/G881</f>
        <v>-9.3701382723827886E-2</v>
      </c>
      <c r="Z881">
        <f>J881/N881</f>
        <v>11.634482270041694</v>
      </c>
      <c r="AA881">
        <f>J881/G881</f>
        <v>0.92085152532358572</v>
      </c>
      <c r="AB881">
        <f>C881/G881</f>
        <v>0.54055691814838214</v>
      </c>
      <c r="AC881">
        <f>C881/(G881-K881)</f>
        <v>0.64712005370721593</v>
      </c>
      <c r="AD881">
        <f>Q881/E881</f>
        <v>-4.4743293436771401</v>
      </c>
      <c r="AE881">
        <f>Q881/J881</f>
        <v>0.12808832631262154</v>
      </c>
      <c r="AF881">
        <f>Q881/G881</f>
        <v>0.11795033066112275</v>
      </c>
      <c r="AG881">
        <f>Q881/K881</f>
        <v>0.71627044298136966</v>
      </c>
      <c r="AH881">
        <f>Q881/L881</f>
        <v>0.22564130214278896</v>
      </c>
      <c r="AI881" s="1">
        <f>R881</f>
        <v>11.3</v>
      </c>
      <c r="AJ881" s="1">
        <f>P881</f>
        <v>-6144937.1330000004</v>
      </c>
    </row>
    <row r="882" spans="1:36" x14ac:dyDescent="0.25">
      <c r="A882" t="s">
        <v>143</v>
      </c>
      <c r="B882">
        <v>2023</v>
      </c>
      <c r="C882" s="1">
        <v>4038642.9589999998</v>
      </c>
      <c r="D882" s="1">
        <v>650647.79200000002</v>
      </c>
      <c r="E882" s="1">
        <v>-1038259.633</v>
      </c>
      <c r="F882" s="1">
        <v>0</v>
      </c>
      <c r="G882" s="1">
        <v>8536826.4350000005</v>
      </c>
      <c r="H882" s="1">
        <v>707309.01699999999</v>
      </c>
      <c r="I882" s="1">
        <v>548393.57999999996</v>
      </c>
      <c r="J882" s="1">
        <v>8924046.4979999997</v>
      </c>
      <c r="K882" s="1">
        <v>1384939.6510000001</v>
      </c>
      <c r="L882" s="1">
        <v>4801285.2790000001</v>
      </c>
      <c r="M882" s="1">
        <v>4201285.2790000001</v>
      </c>
      <c r="N882" s="1">
        <v>-387220.06300000002</v>
      </c>
      <c r="O882" s="1">
        <v>-387220.06300000002</v>
      </c>
      <c r="P882" s="1">
        <v>-7762789.2039999999</v>
      </c>
      <c r="Q882" s="1">
        <v>163482.26199999999</v>
      </c>
      <c r="R882" s="1">
        <v>11</v>
      </c>
      <c r="S882" s="14"/>
      <c r="T882">
        <f>E882/G882</f>
        <v>-0.12162126533851686</v>
      </c>
      <c r="U882">
        <f>D882/C882</f>
        <v>0.16110554921673631</v>
      </c>
      <c r="V882">
        <f>(E882-F882)/O882</f>
        <v>2.6813167297067455</v>
      </c>
      <c r="W882">
        <f>H882/K882</f>
        <v>0.51071468456353697</v>
      </c>
      <c r="X882">
        <f>(H882-I882)/K882</f>
        <v>0.11474538755912912</v>
      </c>
      <c r="Y882">
        <f>(H882-K882)/G882</f>
        <v>-7.9377346975427879E-2</v>
      </c>
      <c r="Z882">
        <f>J882/N882</f>
        <v>-23.046446583528393</v>
      </c>
      <c r="AA882">
        <f>J882/G882</f>
        <v>1.0453587836121914</v>
      </c>
      <c r="AB882">
        <f>C882/G882</f>
        <v>0.47308481550497866</v>
      </c>
      <c r="AC882">
        <f>C882/(G882-K882)</f>
        <v>0.5646961537527605</v>
      </c>
      <c r="AD882">
        <f>Q882/E882</f>
        <v>-0.1574579775654246</v>
      </c>
      <c r="AE882">
        <f>Q882/J882</f>
        <v>1.8319297421482351E-2</v>
      </c>
      <c r="AF882">
        <f>Q882/G882</f>
        <v>1.9150238469150743E-2</v>
      </c>
      <c r="AG882">
        <f>Q882/K882</f>
        <v>0.11804287781200942</v>
      </c>
      <c r="AH882">
        <f>Q882/L882</f>
        <v>3.4049687219179295E-2</v>
      </c>
      <c r="AI882" s="1">
        <f>R882</f>
        <v>11</v>
      </c>
      <c r="AJ882" s="1">
        <f>P882</f>
        <v>-7762789.2039999999</v>
      </c>
    </row>
    <row r="883" spans="1:36" s="8" customFormat="1" x14ac:dyDescent="0.25">
      <c r="A883" s="8" t="s">
        <v>143</v>
      </c>
      <c r="B883" s="8">
        <v>2024</v>
      </c>
      <c r="C883" s="9">
        <v>4684545.22</v>
      </c>
      <c r="D883" s="9">
        <v>1004997.121</v>
      </c>
      <c r="E883" s="9">
        <v>243744.242</v>
      </c>
      <c r="F883" s="9">
        <v>0</v>
      </c>
      <c r="G883" s="9">
        <v>9302515.6569999997</v>
      </c>
      <c r="H883" s="9">
        <v>1112935.3219999999</v>
      </c>
      <c r="I883" s="9">
        <v>500862.34499999997</v>
      </c>
      <c r="J883" s="9">
        <v>9435521.2540000007</v>
      </c>
      <c r="K883" s="9">
        <v>1226894.1980000001</v>
      </c>
      <c r="L883" s="9">
        <v>5259657.0880000005</v>
      </c>
      <c r="M883" s="9">
        <v>4659657.0880000005</v>
      </c>
      <c r="N883" s="9">
        <v>-133005.59700000001</v>
      </c>
      <c r="O883" s="9">
        <v>-133005.59700000001</v>
      </c>
      <c r="P883" s="9">
        <v>-7900881.4309999999</v>
      </c>
      <c r="Q883" s="9">
        <v>819259.98699999996</v>
      </c>
      <c r="R883" s="9">
        <v>14.1</v>
      </c>
      <c r="S883" s="18"/>
      <c r="T883" s="8">
        <f>E883/G883</f>
        <v>2.6201970626793431E-2</v>
      </c>
      <c r="U883" s="8">
        <f>D883/C883</f>
        <v>0.21453461836792775</v>
      </c>
      <c r="V883" s="8">
        <f>(E883-F883)/O883</f>
        <v>-1.8325863534900715</v>
      </c>
      <c r="W883" s="8">
        <f>H883/K883</f>
        <v>0.90711597121759302</v>
      </c>
      <c r="X883" s="8">
        <f>(H883-I883)/K883</f>
        <v>0.49887999959390134</v>
      </c>
      <c r="Y883" s="8">
        <f>(H883-K883)/G883</f>
        <v>-1.2250328857468556E-2</v>
      </c>
      <c r="Z883" s="8">
        <f>J883/N883</f>
        <v>-70.940783446880062</v>
      </c>
      <c r="AA883" s="8">
        <f>J883/G883</f>
        <v>1.0142978095285351</v>
      </c>
      <c r="AB883" s="8">
        <f>C883/G883</f>
        <v>0.50357832146995118</v>
      </c>
      <c r="AC883" s="8">
        <f>C883/(G883-K883)</f>
        <v>0.58008479518059097</v>
      </c>
      <c r="AD883" s="8">
        <f>Q883/E883</f>
        <v>3.3611460122204648</v>
      </c>
      <c r="AE883" s="8">
        <f>Q883/J883</f>
        <v>8.682721017163636E-2</v>
      </c>
      <c r="AF883" s="8">
        <f>Q883/G883</f>
        <v>8.8068649084564507E-2</v>
      </c>
      <c r="AG883" s="8">
        <f>Q883/K883</f>
        <v>0.66775112991446384</v>
      </c>
      <c r="AH883" s="8">
        <f>Q883/L883</f>
        <v>0.15576300380288213</v>
      </c>
      <c r="AI883" s="9">
        <f>R883</f>
        <v>14.1</v>
      </c>
      <c r="AJ883" s="9">
        <f>P883</f>
        <v>-7900881.4309999999</v>
      </c>
    </row>
    <row r="884" spans="1:36" x14ac:dyDescent="0.25">
      <c r="A884" s="15" t="s">
        <v>146</v>
      </c>
      <c r="B884" s="15">
        <v>2018</v>
      </c>
      <c r="C884" s="6">
        <v>4755030.4019999998</v>
      </c>
      <c r="D884" s="6">
        <v>171294.50099999999</v>
      </c>
      <c r="E884" s="6">
        <v>-34725.428</v>
      </c>
      <c r="F884" s="6">
        <v>0</v>
      </c>
      <c r="G884" s="6">
        <v>6206257.5460000001</v>
      </c>
      <c r="H884" s="6">
        <v>1839277.1880000001</v>
      </c>
      <c r="I884" s="6">
        <v>607313.14099999995</v>
      </c>
      <c r="J884" s="6">
        <v>2888639.014</v>
      </c>
      <c r="K884" s="6">
        <v>1385244.2220000001</v>
      </c>
      <c r="L884" s="6">
        <v>642397.39599999995</v>
      </c>
      <c r="M884" s="6">
        <v>252231.37599999999</v>
      </c>
      <c r="N884" s="6">
        <v>3317618.531</v>
      </c>
      <c r="O884" s="6">
        <v>3317618.531</v>
      </c>
      <c r="P884" s="6">
        <v>1175821.3570000001</v>
      </c>
      <c r="Q884" s="6">
        <v>106261.89200000001</v>
      </c>
      <c r="R884" s="6">
        <v>11.8</v>
      </c>
      <c r="S884" s="15"/>
      <c r="T884" s="15">
        <f>E884/G884</f>
        <v>-5.5952283228047654E-3</v>
      </c>
      <c r="U884" s="15">
        <f>D884/C884</f>
        <v>3.602384980082405E-2</v>
      </c>
      <c r="V884" s="15">
        <f>(E884-F884)/O884</f>
        <v>-1.0466974329786199E-2</v>
      </c>
      <c r="W884" s="15">
        <f>H884/K884</f>
        <v>1.3277638403316869</v>
      </c>
      <c r="X884" s="15">
        <f>(H884-I884)/K884</f>
        <v>0.88934790518115603</v>
      </c>
      <c r="Y884" s="15">
        <f>(H884-K884)/G884</f>
        <v>7.3157287243522329E-2</v>
      </c>
      <c r="Z884" s="15">
        <f>J884/N884</f>
        <v>0.87069655145955061</v>
      </c>
      <c r="AA884" s="15">
        <f>J884/G884</f>
        <v>0.46543975859683084</v>
      </c>
      <c r="AB884" s="15">
        <f>C884/G884</f>
        <v>0.76616710904378571</v>
      </c>
      <c r="AC884" s="15">
        <f>C884/(G884-K884)</f>
        <v>0.98631347445742923</v>
      </c>
      <c r="AD884" s="15">
        <f>Q884/E884</f>
        <v>-3.0600599652796219</v>
      </c>
      <c r="AE884" s="15">
        <f>Q884/J884</f>
        <v>3.6786144438607241E-2</v>
      </c>
      <c r="AF884" s="15">
        <f>Q884/G884</f>
        <v>1.7121734187213508E-2</v>
      </c>
      <c r="AG884" s="15">
        <f>Q884/K884</f>
        <v>7.6709861201644483E-2</v>
      </c>
      <c r="AH884" s="15">
        <f>Q884/L884</f>
        <v>0.16541457462570414</v>
      </c>
      <c r="AI884" s="6">
        <f>R884</f>
        <v>11.8</v>
      </c>
      <c r="AJ884" s="6">
        <f>P884</f>
        <v>1175821.3570000001</v>
      </c>
    </row>
    <row r="885" spans="1:36" x14ac:dyDescent="0.25">
      <c r="A885" t="s">
        <v>146</v>
      </c>
      <c r="B885">
        <v>2019</v>
      </c>
      <c r="C885" s="1">
        <v>4857372.4529999997</v>
      </c>
      <c r="D885" s="1">
        <v>-111350.686</v>
      </c>
      <c r="E885" s="1">
        <v>-58214.252999999997</v>
      </c>
      <c r="F885" s="1">
        <v>0</v>
      </c>
      <c r="G885" s="1">
        <v>6235277.1569999997</v>
      </c>
      <c r="H885" s="1">
        <v>1659648.7039999999</v>
      </c>
      <c r="I885" s="1">
        <v>640176.924</v>
      </c>
      <c r="J885" s="1">
        <v>3281748.0929999999</v>
      </c>
      <c r="K885" s="1">
        <v>1699217.443</v>
      </c>
      <c r="L885" s="1">
        <v>421322.40700000001</v>
      </c>
      <c r="M885" s="1">
        <v>16510.137999999999</v>
      </c>
      <c r="N885" s="1">
        <v>2953529.0630000001</v>
      </c>
      <c r="O885" s="1">
        <v>2953529.0630000001</v>
      </c>
      <c r="P885" s="1">
        <v>722844.23</v>
      </c>
      <c r="Q885" s="1">
        <v>-146245.14600000001</v>
      </c>
      <c r="R885" s="1">
        <v>9.6</v>
      </c>
      <c r="T885">
        <f>E885/G885</f>
        <v>-9.3362735182743375E-3</v>
      </c>
      <c r="U885">
        <f>D885/C885</f>
        <v>-2.2924057621158501E-2</v>
      </c>
      <c r="V885">
        <f>(E885-F885)/O885</f>
        <v>-1.9710066079684958E-2</v>
      </c>
      <c r="W885">
        <f>H885/K885</f>
        <v>0.9767135517805533</v>
      </c>
      <c r="X885">
        <f>(H885-I885)/K885</f>
        <v>0.59996546304286025</v>
      </c>
      <c r="Y885">
        <f>(H885-K885)/G885</f>
        <v>-6.3459471012573083E-3</v>
      </c>
      <c r="Z885">
        <f>J885/N885</f>
        <v>1.1111277468407967</v>
      </c>
      <c r="AA885">
        <f>J885/G885</f>
        <v>0.52631952203051047</v>
      </c>
      <c r="AB885">
        <f>C885/G885</f>
        <v>0.77901468221775794</v>
      </c>
      <c r="AC885">
        <f>C885/(G885-K885)</f>
        <v>1.070835209247424</v>
      </c>
      <c r="AD885">
        <f>Q885/E885</f>
        <v>2.5121879688123805</v>
      </c>
      <c r="AE885">
        <f>Q885/J885</f>
        <v>-4.456318457591011E-2</v>
      </c>
      <c r="AF885">
        <f>Q885/G885</f>
        <v>-2.3454474006150423E-2</v>
      </c>
      <c r="AG885">
        <f>Q885/K885</f>
        <v>-8.6066175110468199E-2</v>
      </c>
      <c r="AH885">
        <f>Q885/L885</f>
        <v>-0.34710982271588514</v>
      </c>
      <c r="AI885" s="1">
        <f>R885</f>
        <v>9.6</v>
      </c>
      <c r="AJ885" s="1">
        <f>P885</f>
        <v>722844.23</v>
      </c>
    </row>
    <row r="886" spans="1:36" x14ac:dyDescent="0.25">
      <c r="A886" t="s">
        <v>146</v>
      </c>
      <c r="B886">
        <v>2020</v>
      </c>
      <c r="C886" s="1">
        <v>5106438.892</v>
      </c>
      <c r="D886" s="1">
        <v>288712.28999999998</v>
      </c>
      <c r="E886" s="1">
        <v>197952.723</v>
      </c>
      <c r="F886" s="1">
        <v>0</v>
      </c>
      <c r="G886" s="1">
        <v>6802789.5369999995</v>
      </c>
      <c r="H886" s="1">
        <v>1671660.446</v>
      </c>
      <c r="I886" s="1">
        <v>473912.34600000002</v>
      </c>
      <c r="J886" s="1">
        <v>3412336.4939999999</v>
      </c>
      <c r="K886" s="1">
        <v>1739306.483</v>
      </c>
      <c r="L886" s="1">
        <v>532009.86499999999</v>
      </c>
      <c r="M886" s="1">
        <v>69189.868000000002</v>
      </c>
      <c r="N886" s="1">
        <v>3390453.0430000001</v>
      </c>
      <c r="O886" s="1">
        <v>3390453.0430000001</v>
      </c>
      <c r="P886" s="1">
        <v>876978.63300000003</v>
      </c>
      <c r="Q886" s="1">
        <v>374325.78100000002</v>
      </c>
      <c r="R886" s="1">
        <v>13.1</v>
      </c>
      <c r="T886">
        <f>E886/G886</f>
        <v>2.9098757491077151E-2</v>
      </c>
      <c r="U886">
        <f>D886/C886</f>
        <v>5.6538871042266056E-2</v>
      </c>
      <c r="V886">
        <f>(E886-F886)/O886</f>
        <v>5.8385330954132314E-2</v>
      </c>
      <c r="W886">
        <f>H886/K886</f>
        <v>0.96110746572776384</v>
      </c>
      <c r="X886">
        <f>(H886-I886)/K886</f>
        <v>0.68863544850019398</v>
      </c>
      <c r="Y886">
        <f>(H886-K886)/G886</f>
        <v>-9.9438673844129567E-3</v>
      </c>
      <c r="Z886">
        <f>J886/N886</f>
        <v>1.006454432703376</v>
      </c>
      <c r="AA886">
        <f>J886/G886</f>
        <v>0.50160841746470164</v>
      </c>
      <c r="AB886">
        <f>C886/G886</f>
        <v>0.75063896424053089</v>
      </c>
      <c r="AC886">
        <f>C886/(G886-K886)</f>
        <v>1.0084834564551504</v>
      </c>
      <c r="AD886">
        <f>Q886/E886</f>
        <v>1.8909857633026852</v>
      </c>
      <c r="AE886">
        <f>Q886/J886</f>
        <v>0.10969779259993462</v>
      </c>
      <c r="AF886">
        <f>Q886/G886</f>
        <v>5.5025336145424257E-2</v>
      </c>
      <c r="AG886">
        <f>Q886/K886</f>
        <v>0.21521553829567369</v>
      </c>
      <c r="AH886">
        <f>Q886/L886</f>
        <v>0.70360684195207546</v>
      </c>
      <c r="AI886" s="1">
        <f>R886</f>
        <v>13.1</v>
      </c>
      <c r="AJ886" s="1">
        <f>P886</f>
        <v>876978.63300000003</v>
      </c>
    </row>
    <row r="887" spans="1:36" x14ac:dyDescent="0.25">
      <c r="A887" t="s">
        <v>146</v>
      </c>
      <c r="B887">
        <v>2021</v>
      </c>
      <c r="C887" s="1">
        <v>4791647.7189999996</v>
      </c>
      <c r="D887" s="1">
        <v>453971.71299999999</v>
      </c>
      <c r="E887" s="1">
        <v>298666.13500000001</v>
      </c>
      <c r="F887" s="1">
        <v>0</v>
      </c>
      <c r="G887" s="1">
        <v>7093984.7350000003</v>
      </c>
      <c r="H887" s="1">
        <v>1810355.5190000001</v>
      </c>
      <c r="I887" s="1">
        <v>460620.25699999998</v>
      </c>
      <c r="J887" s="1">
        <v>3599571.733</v>
      </c>
      <c r="K887" s="1">
        <v>1723800.216</v>
      </c>
      <c r="L887" s="1">
        <v>639552.74899999995</v>
      </c>
      <c r="M887" s="1">
        <v>4500</v>
      </c>
      <c r="N887" s="1">
        <v>3494413.0019999999</v>
      </c>
      <c r="O887" s="1">
        <v>3494413.0019999999</v>
      </c>
      <c r="P887" s="1">
        <v>886404.62100000004</v>
      </c>
      <c r="Q887" s="1">
        <v>-48086.542000000001</v>
      </c>
      <c r="R887" s="1">
        <v>28</v>
      </c>
      <c r="T887">
        <f>E887/G887</f>
        <v>4.2101321916644917E-2</v>
      </c>
      <c r="U887">
        <f>D887/C887</f>
        <v>9.4742297352097979E-2</v>
      </c>
      <c r="V887">
        <f>(E887-F887)/O887</f>
        <v>8.546961530564956E-2</v>
      </c>
      <c r="W887">
        <f>H887/K887</f>
        <v>1.0502119109840047</v>
      </c>
      <c r="X887">
        <f>(H887-I887)/K887</f>
        <v>0.78299982183086125</v>
      </c>
      <c r="Y887">
        <f>(H887-K887)/G887</f>
        <v>1.2201224873371547E-2</v>
      </c>
      <c r="Z887">
        <f>J887/N887</f>
        <v>1.0300933893445947</v>
      </c>
      <c r="AA887">
        <f>J887/G887</f>
        <v>0.50741182388518347</v>
      </c>
      <c r="AB887">
        <f>C887/G887</f>
        <v>0.67545221733550842</v>
      </c>
      <c r="AC887">
        <f>C887/(G887-K887)</f>
        <v>0.89226872969576621</v>
      </c>
      <c r="AD887">
        <f>Q887/E887</f>
        <v>-0.16100433348427667</v>
      </c>
      <c r="AE887">
        <f>Q887/J887</f>
        <v>-1.3358962000716434E-2</v>
      </c>
      <c r="AF887">
        <f>Q887/G887</f>
        <v>-6.7784952739963853E-3</v>
      </c>
      <c r="AG887">
        <f>Q887/K887</f>
        <v>-2.7895658414281113E-2</v>
      </c>
      <c r="AH887">
        <f>Q887/L887</f>
        <v>-7.5187765317540692E-2</v>
      </c>
      <c r="AI887" s="1">
        <f>R887</f>
        <v>28</v>
      </c>
      <c r="AJ887" s="1">
        <f>P887</f>
        <v>886404.62100000004</v>
      </c>
    </row>
    <row r="888" spans="1:36" x14ac:dyDescent="0.25">
      <c r="A888" t="s">
        <v>146</v>
      </c>
      <c r="B888">
        <v>2022</v>
      </c>
      <c r="C888" s="1">
        <v>9330903.4079999998</v>
      </c>
      <c r="D888" s="1">
        <v>2043874.808</v>
      </c>
      <c r="E888" s="1">
        <v>2156921.148</v>
      </c>
      <c r="F888" s="1">
        <v>0</v>
      </c>
      <c r="G888" s="1">
        <v>9701893.1260000002</v>
      </c>
      <c r="H888" s="1">
        <v>4112073.13</v>
      </c>
      <c r="I888" s="1">
        <v>1015197.18</v>
      </c>
      <c r="J888" s="1">
        <v>4062007.6239999998</v>
      </c>
      <c r="K888" s="1">
        <v>1984377.4850000001</v>
      </c>
      <c r="L888" s="1">
        <v>1205633.966</v>
      </c>
      <c r="M888" s="1">
        <v>0</v>
      </c>
      <c r="N888" s="1">
        <v>5639885.5020000003</v>
      </c>
      <c r="O888" s="1">
        <v>5639885.5020000003</v>
      </c>
      <c r="P888" s="1">
        <v>2842875.98</v>
      </c>
      <c r="Q888" s="1">
        <v>-328557.70400000003</v>
      </c>
      <c r="R888" s="1">
        <v>71.8</v>
      </c>
      <c r="T888">
        <f>E888/G888</f>
        <v>0.22231961535627412</v>
      </c>
      <c r="U888">
        <f>D888/C888</f>
        <v>0.219043614388683</v>
      </c>
      <c r="V888">
        <f>(E888-F888)/O888</f>
        <v>0.38244059161043586</v>
      </c>
      <c r="W888">
        <f>H888/K888</f>
        <v>2.0722232342804472</v>
      </c>
      <c r="X888">
        <f>(H888-I888)/K888</f>
        <v>1.5606284456508031</v>
      </c>
      <c r="Y888">
        <f>(H888-K888)/G888</f>
        <v>0.21930726481597809</v>
      </c>
      <c r="Z888">
        <f>J888/N888</f>
        <v>0.72022873914010166</v>
      </c>
      <c r="AA888">
        <f>J888/G888</f>
        <v>0.41868195941205216</v>
      </c>
      <c r="AB888">
        <f>C888/G888</f>
        <v>0.96176110031496953</v>
      </c>
      <c r="AC888">
        <f>C888/(G888-K888)</f>
        <v>1.2090553284309178</v>
      </c>
      <c r="AD888">
        <f>Q888/E888</f>
        <v>-0.15232717445635616</v>
      </c>
      <c r="AE888">
        <f>Q888/J888</f>
        <v>-8.0885545871146811E-2</v>
      </c>
      <c r="AF888">
        <f>Q888/G888</f>
        <v>-3.3865318833445165E-2</v>
      </c>
      <c r="AG888">
        <f>Q888/K888</f>
        <v>-0.16557217892441467</v>
      </c>
      <c r="AH888">
        <f>Q888/L888</f>
        <v>-0.2725186194696177</v>
      </c>
      <c r="AI888" s="1">
        <f>R888</f>
        <v>71.8</v>
      </c>
      <c r="AJ888" s="1">
        <f>P888</f>
        <v>2842875.98</v>
      </c>
    </row>
    <row r="889" spans="1:36" x14ac:dyDescent="0.25">
      <c r="A889" t="s">
        <v>146</v>
      </c>
      <c r="B889">
        <v>2023</v>
      </c>
      <c r="C889" s="1">
        <v>9803782.1989999991</v>
      </c>
      <c r="D889" s="1">
        <v>318720.15299999999</v>
      </c>
      <c r="E889" s="1">
        <v>-177629.08100000001</v>
      </c>
      <c r="F889" s="1">
        <v>0</v>
      </c>
      <c r="G889" s="1">
        <v>10832560.135</v>
      </c>
      <c r="H889" s="1">
        <v>4442134.6109999996</v>
      </c>
      <c r="I889" s="1">
        <v>1078483.8019999999</v>
      </c>
      <c r="J889" s="1">
        <v>5009674.3550000004</v>
      </c>
      <c r="K889" s="1">
        <v>2709471.4449999998</v>
      </c>
      <c r="L889" s="1">
        <v>1207751.8</v>
      </c>
      <c r="M889" s="1">
        <v>0</v>
      </c>
      <c r="N889" s="1">
        <v>5822885.7790000001</v>
      </c>
      <c r="O889" s="1">
        <v>5822885.7790000001</v>
      </c>
      <c r="P889" s="1">
        <v>2771036.8539999998</v>
      </c>
      <c r="Q889" s="1">
        <v>1072626.7439999999</v>
      </c>
      <c r="R889" s="1">
        <v>60.6</v>
      </c>
      <c r="T889">
        <f>E889/G889</f>
        <v>-1.639770089307702E-2</v>
      </c>
      <c r="U889">
        <f>D889/C889</f>
        <v>3.2509917757302886E-2</v>
      </c>
      <c r="V889">
        <f>(E889-F889)/O889</f>
        <v>-3.0505334939011176E-2</v>
      </c>
      <c r="W889">
        <f>H889/K889</f>
        <v>1.6394838259681308</v>
      </c>
      <c r="X889">
        <f>(H889-I889)/K889</f>
        <v>1.2414416897462448</v>
      </c>
      <c r="Y889">
        <f>(H889-K889)/G889</f>
        <v>0.15994955434420025</v>
      </c>
      <c r="Z889">
        <f>J889/N889</f>
        <v>0.86034219889168817</v>
      </c>
      <c r="AA889">
        <f>J889/G889</f>
        <v>0.46246448600952084</v>
      </c>
      <c r="AB889">
        <f>C889/G889</f>
        <v>0.90502910455340846</v>
      </c>
      <c r="AC889">
        <f>C889/(G889-K889)</f>
        <v>1.2069032572633402</v>
      </c>
      <c r="AD889">
        <f>Q889/E889</f>
        <v>-6.038576217145434</v>
      </c>
      <c r="AE889">
        <f>Q889/J889</f>
        <v>0.21411107149698153</v>
      </c>
      <c r="AF889">
        <f>Q889/G889</f>
        <v>9.9018766628799326E-2</v>
      </c>
      <c r="AG889">
        <f>Q889/K889</f>
        <v>0.39588043859233218</v>
      </c>
      <c r="AH889">
        <f>Q889/L889</f>
        <v>0.888118522365274</v>
      </c>
      <c r="AI889" s="1">
        <f>R889</f>
        <v>60.6</v>
      </c>
      <c r="AJ889" s="1">
        <f>P889</f>
        <v>2771036.8539999998</v>
      </c>
    </row>
    <row r="890" spans="1:36" s="8" customFormat="1" x14ac:dyDescent="0.25">
      <c r="A890" s="8" t="s">
        <v>146</v>
      </c>
      <c r="B890" s="8">
        <v>2024</v>
      </c>
      <c r="C890" s="9">
        <v>10062991.598999999</v>
      </c>
      <c r="D890" s="9">
        <v>905831.78599999996</v>
      </c>
      <c r="E890" s="9">
        <v>532838.52599999995</v>
      </c>
      <c r="F890" s="9">
        <v>0</v>
      </c>
      <c r="G890" s="9">
        <v>11733553.388</v>
      </c>
      <c r="H890" s="9">
        <v>4897213.5130000003</v>
      </c>
      <c r="I890" s="9">
        <v>1111242.679</v>
      </c>
      <c r="J890" s="9">
        <v>5556340.6330000004</v>
      </c>
      <c r="K890" s="9">
        <v>2865168.37</v>
      </c>
      <c r="L890" s="9">
        <v>900025.1</v>
      </c>
      <c r="M890" s="9">
        <v>0</v>
      </c>
      <c r="N890" s="9">
        <v>6177212.7549999999</v>
      </c>
      <c r="O890" s="9">
        <v>6177212.7549999999</v>
      </c>
      <c r="P890" s="9">
        <v>3017132.3859999999</v>
      </c>
      <c r="Q890" s="9">
        <v>1242837.5560000001</v>
      </c>
      <c r="R890" s="9">
        <v>61.9</v>
      </c>
      <c r="T890" s="8">
        <f>E890/G890</f>
        <v>4.5411522697373009E-2</v>
      </c>
      <c r="U890" s="8">
        <f>D890/C890</f>
        <v>9.0016152462058713E-2</v>
      </c>
      <c r="V890" s="8">
        <f>(E890-F890)/O890</f>
        <v>8.6258729807987641E-2</v>
      </c>
      <c r="W890" s="8">
        <f>H890/K890</f>
        <v>1.7092236408431383</v>
      </c>
      <c r="X890" s="8">
        <f>(H890-I890)/K890</f>
        <v>1.3213781338790922</v>
      </c>
      <c r="Y890" s="8">
        <f>(H890-K890)/G890</f>
        <v>0.17318241761938793</v>
      </c>
      <c r="Z890" s="8">
        <f>J890/N890</f>
        <v>0.89948992423849261</v>
      </c>
      <c r="AA890" s="8">
        <f>J890/G890</f>
        <v>0.4735428773590884</v>
      </c>
      <c r="AB890" s="8">
        <f>C890/G890</f>
        <v>0.85762524499112969</v>
      </c>
      <c r="AC890" s="8">
        <f>C890/(G890-K890)</f>
        <v>1.1347039600305275</v>
      </c>
      <c r="AD890" s="8">
        <f>Q890/E890</f>
        <v>2.33248441198488</v>
      </c>
      <c r="AE890" s="8">
        <f>Q890/J890</f>
        <v>0.22367915109786252</v>
      </c>
      <c r="AF890" s="8">
        <f>Q890/G890</f>
        <v>0.10592166881612011</v>
      </c>
      <c r="AG890" s="8">
        <f>Q890/K890</f>
        <v>0.4337747020430775</v>
      </c>
      <c r="AH890" s="8">
        <f>Q890/L890</f>
        <v>1.3808921062312598</v>
      </c>
      <c r="AI890" s="9">
        <f>R890</f>
        <v>61.9</v>
      </c>
      <c r="AJ890" s="9">
        <f>P890</f>
        <v>3017132.3859999999</v>
      </c>
    </row>
    <row r="891" spans="1:36" x14ac:dyDescent="0.25">
      <c r="A891" s="15" t="s">
        <v>147</v>
      </c>
      <c r="B891" s="15">
        <v>2018</v>
      </c>
      <c r="C891" s="6">
        <v>444535.32199999999</v>
      </c>
      <c r="D891" s="6">
        <v>46239.529000000002</v>
      </c>
      <c r="E891" s="6">
        <v>-1144.2270000000001</v>
      </c>
      <c r="F891" s="6">
        <v>0</v>
      </c>
      <c r="G891" s="6">
        <v>1615107.227</v>
      </c>
      <c r="H891" s="6">
        <v>111694.38800000001</v>
      </c>
      <c r="I891" s="6">
        <v>12990.937</v>
      </c>
      <c r="J891" s="6">
        <v>692305.79200000002</v>
      </c>
      <c r="K891" s="6">
        <v>371449.49599999998</v>
      </c>
      <c r="L891" s="6">
        <v>247528.00899999999</v>
      </c>
      <c r="M891" s="6">
        <v>167068.00899999999</v>
      </c>
      <c r="N891" s="6">
        <v>922801.43500000006</v>
      </c>
      <c r="O891" s="6">
        <v>922801.43500000006</v>
      </c>
      <c r="P891" s="6">
        <v>-384276.55900000001</v>
      </c>
      <c r="Q891" s="6">
        <v>90838.782999999996</v>
      </c>
      <c r="R891" s="6">
        <v>2.4</v>
      </c>
      <c r="S891" s="15"/>
      <c r="T891" s="15">
        <f>E891/G891</f>
        <v>-7.084526530943447E-4</v>
      </c>
      <c r="U891" s="15">
        <f>D891/C891</f>
        <v>0.10401767128867209</v>
      </c>
      <c r="V891" s="15">
        <f>(E891-F891)/O891</f>
        <v>-1.2399493071876292E-3</v>
      </c>
      <c r="W891" s="15">
        <f>H891/K891</f>
        <v>0.30069872002195425</v>
      </c>
      <c r="X891" s="15">
        <f>(H891-I891)/K891</f>
        <v>0.26572509065943112</v>
      </c>
      <c r="Y891" s="15">
        <f>(H891-K891)/G891</f>
        <v>-0.16082839805161742</v>
      </c>
      <c r="Z891" s="15">
        <f>J891/N891</f>
        <v>0.75022184160344307</v>
      </c>
      <c r="AA891" s="15">
        <f>J891/G891</f>
        <v>0.42864385746445555</v>
      </c>
      <c r="AB891" s="15">
        <f>C891/G891</f>
        <v>0.27523579522686392</v>
      </c>
      <c r="AC891" s="15">
        <f>C891/(G891-K891)</f>
        <v>0.35744185149925306</v>
      </c>
      <c r="AD891" s="15">
        <f>Q891/E891</f>
        <v>-79.388777751267881</v>
      </c>
      <c r="AE891" s="15">
        <f>Q891/J891</f>
        <v>0.13121193560662858</v>
      </c>
      <c r="AF891" s="15">
        <f>Q891/G891</f>
        <v>5.6243190223803016E-2</v>
      </c>
      <c r="AG891" s="15">
        <f>Q891/K891</f>
        <v>0.24455217728980308</v>
      </c>
      <c r="AH891" s="15">
        <f>Q891/L891</f>
        <v>0.36698385514828746</v>
      </c>
      <c r="AI891" s="6">
        <f>R891</f>
        <v>2.4</v>
      </c>
      <c r="AJ891" s="6">
        <f>P891</f>
        <v>-384276.55900000001</v>
      </c>
    </row>
    <row r="892" spans="1:36" x14ac:dyDescent="0.25">
      <c r="A892" t="s">
        <v>147</v>
      </c>
      <c r="B892">
        <v>2019</v>
      </c>
      <c r="C892" s="1">
        <v>456637.408</v>
      </c>
      <c r="D892" s="1">
        <v>54812.127</v>
      </c>
      <c r="E892" s="1">
        <v>-14358.226000000001</v>
      </c>
      <c r="F892" s="1">
        <v>0</v>
      </c>
      <c r="G892" s="1">
        <v>1909819.675</v>
      </c>
      <c r="H892" s="1">
        <v>120807.783</v>
      </c>
      <c r="I892" s="1">
        <v>12785.053</v>
      </c>
      <c r="J892" s="1">
        <v>748578.21799999999</v>
      </c>
      <c r="K892" s="1">
        <v>314762.04800000001</v>
      </c>
      <c r="L892" s="1">
        <v>288970.23700000002</v>
      </c>
      <c r="M892" s="1">
        <v>233915.715</v>
      </c>
      <c r="N892" s="1">
        <v>1161241.4569999999</v>
      </c>
      <c r="O892" s="1">
        <v>1161241.4569999999</v>
      </c>
      <c r="P892" s="1">
        <v>-398840.59399999998</v>
      </c>
      <c r="Q892" s="1">
        <v>54870.273999999998</v>
      </c>
      <c r="R892" s="1">
        <v>1.6</v>
      </c>
      <c r="T892">
        <f>E892/G892</f>
        <v>-7.5181056033470804E-3</v>
      </c>
      <c r="U892">
        <f>D892/C892</f>
        <v>0.12003424607736035</v>
      </c>
      <c r="V892">
        <f>(E892-F892)/O892</f>
        <v>-1.2364548228491297E-2</v>
      </c>
      <c r="W892">
        <f>H892/K892</f>
        <v>0.38380670022835789</v>
      </c>
      <c r="X892">
        <f>(H892-I892)/K892</f>
        <v>0.34318854730542353</v>
      </c>
      <c r="Y892">
        <f>(H892-K892)/G892</f>
        <v>-0.1015563236356333</v>
      </c>
      <c r="Z892">
        <f>J892/N892</f>
        <v>0.64463614650299217</v>
      </c>
      <c r="AA892">
        <f>J892/G892</f>
        <v>0.39196277418180853</v>
      </c>
      <c r="AB892">
        <f>C892/G892</f>
        <v>0.23909975060865366</v>
      </c>
      <c r="AC892">
        <f>C892/(G892-K892)</f>
        <v>0.28628270243680665</v>
      </c>
      <c r="AD892">
        <f>Q892/E892</f>
        <v>-3.8215218230998729</v>
      </c>
      <c r="AE892">
        <f>Q892/J892</f>
        <v>7.3299319537507568E-2</v>
      </c>
      <c r="AF892">
        <f>Q892/G892</f>
        <v>2.8730604631560304E-2</v>
      </c>
      <c r="AG892">
        <f>Q892/K892</f>
        <v>0.17432303020216719</v>
      </c>
      <c r="AH892">
        <f>Q892/L892</f>
        <v>0.18988209502004871</v>
      </c>
      <c r="AI892" s="1">
        <f>R892</f>
        <v>1.6</v>
      </c>
      <c r="AJ892" s="1">
        <f>P892</f>
        <v>-398840.59399999998</v>
      </c>
    </row>
    <row r="893" spans="1:36" x14ac:dyDescent="0.25">
      <c r="A893" t="s">
        <v>147</v>
      </c>
      <c r="B893">
        <v>2020</v>
      </c>
      <c r="C893" s="1">
        <v>417737.277</v>
      </c>
      <c r="D893" s="1">
        <v>10992.629000000001</v>
      </c>
      <c r="E893" s="1">
        <v>-40662.712</v>
      </c>
      <c r="F893" s="1">
        <v>0</v>
      </c>
      <c r="G893" s="1">
        <v>1832535.709</v>
      </c>
      <c r="H893" s="1">
        <v>70931.861000000004</v>
      </c>
      <c r="I893" s="1">
        <v>11799.306</v>
      </c>
      <c r="J893" s="1">
        <v>715066.61100000003</v>
      </c>
      <c r="K893" s="1">
        <v>262421.37400000001</v>
      </c>
      <c r="L893" s="1">
        <v>323844.37</v>
      </c>
      <c r="M893" s="1">
        <v>247624.44</v>
      </c>
      <c r="N893" s="1">
        <v>1117469.098</v>
      </c>
      <c r="O893" s="1">
        <v>1117469.098</v>
      </c>
      <c r="P893" s="1">
        <v>-441100.83600000001</v>
      </c>
      <c r="Q893" s="1">
        <v>9266.348</v>
      </c>
      <c r="R893" s="1">
        <v>1.1000000000000001</v>
      </c>
      <c r="T893">
        <f>E893/G893</f>
        <v>-2.2189314947750356E-2</v>
      </c>
      <c r="U893">
        <f>D893/C893</f>
        <v>2.6314694917686267E-2</v>
      </c>
      <c r="V893">
        <f>(E893-F893)/O893</f>
        <v>-3.6388220553728458E-2</v>
      </c>
      <c r="W893">
        <f>H893/K893</f>
        <v>0.27029757492238421</v>
      </c>
      <c r="X893">
        <f>(H893-I893)/K893</f>
        <v>0.22533437005782922</v>
      </c>
      <c r="Y893">
        <f>(H893-K893)/G893</f>
        <v>-0.1044942873743477</v>
      </c>
      <c r="Z893">
        <f>J893/N893</f>
        <v>0.63989833121989381</v>
      </c>
      <c r="AA893">
        <f>J893/G893</f>
        <v>0.39020609938902973</v>
      </c>
      <c r="AB893">
        <f>C893/G893</f>
        <v>0.22795587280967958</v>
      </c>
      <c r="AC893">
        <f>C893/(G893-K893)</f>
        <v>0.26605532328956161</v>
      </c>
      <c r="AD893">
        <f>Q893/E893</f>
        <v>-0.227883177098468</v>
      </c>
      <c r="AE893">
        <f>Q893/J893</f>
        <v>1.2958720009372664E-2</v>
      </c>
      <c r="AF893">
        <f>Q893/G893</f>
        <v>5.0565715879318778E-3</v>
      </c>
      <c r="AG893">
        <f>Q893/K893</f>
        <v>3.5310949938094596E-2</v>
      </c>
      <c r="AH893">
        <f>Q893/L893</f>
        <v>2.8613583740856759E-2</v>
      </c>
      <c r="AI893" s="1">
        <f>R893</f>
        <v>1.1000000000000001</v>
      </c>
      <c r="AJ893" s="1">
        <f>P893</f>
        <v>-441100.83600000001</v>
      </c>
    </row>
    <row r="894" spans="1:36" x14ac:dyDescent="0.25">
      <c r="A894" t="s">
        <v>147</v>
      </c>
      <c r="B894">
        <v>2021</v>
      </c>
      <c r="C894" s="1">
        <v>183599.21599999999</v>
      </c>
      <c r="D894" s="1">
        <v>-66643.778999999995</v>
      </c>
      <c r="E894" s="1">
        <v>-112008.53599999999</v>
      </c>
      <c r="F894" s="1">
        <v>0</v>
      </c>
      <c r="G894" s="1">
        <v>1764264.4129999999</v>
      </c>
      <c r="H894" s="1">
        <v>39963.370000000003</v>
      </c>
      <c r="I894" s="1">
        <v>8427.5429999999997</v>
      </c>
      <c r="J894" s="1">
        <v>756836.196</v>
      </c>
      <c r="K894" s="1">
        <v>268698.038</v>
      </c>
      <c r="L894" s="1">
        <v>381489.53100000002</v>
      </c>
      <c r="M894" s="1">
        <v>281548.58</v>
      </c>
      <c r="N894" s="1">
        <v>1007428.2169999999</v>
      </c>
      <c r="O894" s="1">
        <v>1007428.2169999999</v>
      </c>
      <c r="P894" s="1">
        <v>-551928.47</v>
      </c>
      <c r="Q894" s="1">
        <v>-48.735999999999997</v>
      </c>
      <c r="R894" s="1">
        <v>1.9</v>
      </c>
      <c r="T894">
        <f>E894/G894</f>
        <v>-6.3487386116652347E-2</v>
      </c>
      <c r="U894">
        <f>D894/C894</f>
        <v>-0.36298509575335008</v>
      </c>
      <c r="V894">
        <f>(E894-F894)/O894</f>
        <v>-0.11118264717018543</v>
      </c>
      <c r="W894">
        <f>H894/K894</f>
        <v>0.14872966805957846</v>
      </c>
      <c r="X894">
        <f>(H894-I894)/K894</f>
        <v>0.11736530431978817</v>
      </c>
      <c r="Y894">
        <f>(H894-K894)/G894</f>
        <v>-0.12964874557042941</v>
      </c>
      <c r="Z894">
        <f>J894/N894</f>
        <v>0.75125570559634225</v>
      </c>
      <c r="AA894">
        <f>J894/G894</f>
        <v>0.42898116088679505</v>
      </c>
      <c r="AB894">
        <f>C894/G894</f>
        <v>0.10406558940210284</v>
      </c>
      <c r="AC894">
        <f>C894/(G894-K894)</f>
        <v>0.12276233209642734</v>
      </c>
      <c r="AD894">
        <f>Q894/E894</f>
        <v>4.3510969556820203E-4</v>
      </c>
      <c r="AE894">
        <f>Q894/J894</f>
        <v>-6.4394383167160253E-5</v>
      </c>
      <c r="AF894">
        <f>Q894/G894</f>
        <v>-2.76239772456375E-5</v>
      </c>
      <c r="AG894">
        <f>Q894/K894</f>
        <v>-1.8137832476469365E-4</v>
      </c>
      <c r="AH894">
        <f>Q894/L894</f>
        <v>-1.2775186745557114E-4</v>
      </c>
      <c r="AI894" s="1">
        <f>R894</f>
        <v>1.9</v>
      </c>
      <c r="AJ894" s="1">
        <f>P894</f>
        <v>-551928.47</v>
      </c>
    </row>
    <row r="895" spans="1:36" x14ac:dyDescent="0.25">
      <c r="A895" t="s">
        <v>147</v>
      </c>
      <c r="B895">
        <v>2022</v>
      </c>
      <c r="C895" s="1">
        <v>249313.73800000001</v>
      </c>
      <c r="D895" s="1">
        <v>-29733.018</v>
      </c>
      <c r="E895" s="1">
        <v>-196517.96100000001</v>
      </c>
      <c r="F895" s="1">
        <v>0</v>
      </c>
      <c r="G895" s="1">
        <v>1849816.804</v>
      </c>
      <c r="H895" s="1">
        <v>43765.387000000002</v>
      </c>
      <c r="I895" s="1">
        <v>9932.8130000000001</v>
      </c>
      <c r="J895" s="1">
        <v>936978.12699999998</v>
      </c>
      <c r="K895" s="1">
        <v>270437.788</v>
      </c>
      <c r="L895" s="1">
        <v>531092.87</v>
      </c>
      <c r="M895" s="1">
        <v>447557.71100000001</v>
      </c>
      <c r="N895" s="1">
        <v>912838.67700000003</v>
      </c>
      <c r="O895" s="1">
        <v>912838.67700000003</v>
      </c>
      <c r="P895" s="1">
        <v>-744464.59400000004</v>
      </c>
      <c r="Q895" s="1">
        <v>-2853.259</v>
      </c>
      <c r="R895" s="1">
        <v>1.9</v>
      </c>
      <c r="T895">
        <f>E895/G895</f>
        <v>-0.10623644491446625</v>
      </c>
      <c r="U895">
        <f>D895/C895</f>
        <v>-0.11925944490070579</v>
      </c>
      <c r="V895">
        <f>(E895-F895)/O895</f>
        <v>-0.2152822464160335</v>
      </c>
      <c r="W895">
        <f>H895/K895</f>
        <v>0.16183162613354907</v>
      </c>
      <c r="X895">
        <f>(H895-I895)/K895</f>
        <v>0.12510298301951797</v>
      </c>
      <c r="Y895">
        <f>(H895-K895)/G895</f>
        <v>-0.12253775644693517</v>
      </c>
      <c r="Z895">
        <f>J895/N895</f>
        <v>1.0264443768742721</v>
      </c>
      <c r="AA895">
        <f>J895/G895</f>
        <v>0.50652482179527225</v>
      </c>
      <c r="AB895">
        <f>C895/G895</f>
        <v>0.13477752902930165</v>
      </c>
      <c r="AC895">
        <f>C895/(G895-K895)</f>
        <v>0.15785554668911722</v>
      </c>
      <c r="AD895">
        <f>Q895/E895</f>
        <v>1.4519074925675623E-2</v>
      </c>
      <c r="AE895">
        <f>Q895/J895</f>
        <v>-3.0451714055860775E-3</v>
      </c>
      <c r="AF895">
        <f>Q895/G895</f>
        <v>-1.5424549035505464E-3</v>
      </c>
      <c r="AG895">
        <f>Q895/K895</f>
        <v>-1.0550518923782944E-2</v>
      </c>
      <c r="AH895">
        <f>Q895/L895</f>
        <v>-5.37242949618209E-3</v>
      </c>
      <c r="AI895" s="1">
        <f>R895</f>
        <v>1.9</v>
      </c>
      <c r="AJ895" s="1">
        <f>P895</f>
        <v>-744464.59400000004</v>
      </c>
    </row>
    <row r="896" spans="1:36" x14ac:dyDescent="0.25">
      <c r="A896" t="s">
        <v>147</v>
      </c>
      <c r="B896">
        <v>2023</v>
      </c>
      <c r="C896" s="1">
        <v>574159.45600000001</v>
      </c>
      <c r="D896" s="1">
        <v>-11672.554</v>
      </c>
      <c r="E896" s="1">
        <v>-165654.92300000001</v>
      </c>
      <c r="F896" s="1">
        <v>0</v>
      </c>
      <c r="G896" s="1">
        <v>1962435.0619999999</v>
      </c>
      <c r="H896" s="1">
        <v>182429.71799999999</v>
      </c>
      <c r="I896" s="1">
        <v>14705.352000000001</v>
      </c>
      <c r="J896" s="1">
        <v>1398411.2009999999</v>
      </c>
      <c r="K896" s="1">
        <v>467180.13400000002</v>
      </c>
      <c r="L896" s="1">
        <v>626761.14199999999</v>
      </c>
      <c r="M896" s="1">
        <v>504830.32799999998</v>
      </c>
      <c r="N896" s="1">
        <v>564023.86100000003</v>
      </c>
      <c r="O896" s="1">
        <v>564023.86100000003</v>
      </c>
      <c r="P896" s="1">
        <v>-1028287.057</v>
      </c>
      <c r="Q896" s="1">
        <v>102622.768</v>
      </c>
      <c r="R896" s="1">
        <v>2.1</v>
      </c>
      <c r="T896">
        <f>E896/G896</f>
        <v>-8.4412945023095001E-2</v>
      </c>
      <c r="U896">
        <f>D896/C896</f>
        <v>-2.0329812350943846E-2</v>
      </c>
      <c r="V896">
        <f>(E896-F896)/O896</f>
        <v>-0.2937019769098031</v>
      </c>
      <c r="W896">
        <f>H896/K896</f>
        <v>0.39049117186990656</v>
      </c>
      <c r="X896">
        <f>(H896-I896)/K896</f>
        <v>0.35901433685534234</v>
      </c>
      <c r="Y896">
        <f>(H896-K896)/G896</f>
        <v>-0.14510055466997157</v>
      </c>
      <c r="Z896">
        <f>J896/N896</f>
        <v>2.4793475909346321</v>
      </c>
      <c r="AA896">
        <f>J896/G896</f>
        <v>0.71258979625793084</v>
      </c>
      <c r="AB896">
        <f>C896/G896</f>
        <v>0.29257500903742006</v>
      </c>
      <c r="AC896">
        <f>C896/(G896-K896)</f>
        <v>0.38398767009447371</v>
      </c>
      <c r="AD896">
        <f>Q896/E896</f>
        <v>-0.61949724246951587</v>
      </c>
      <c r="AE896">
        <f>Q896/J896</f>
        <v>7.3385258875654558E-2</v>
      </c>
      <c r="AF896">
        <f>Q896/G896</f>
        <v>5.2293586670538197E-2</v>
      </c>
      <c r="AG896">
        <f>Q896/K896</f>
        <v>0.21966423769209328</v>
      </c>
      <c r="AH896">
        <f>Q896/L896</f>
        <v>0.16373505171767652</v>
      </c>
      <c r="AI896" s="1">
        <f>R896</f>
        <v>2.1</v>
      </c>
      <c r="AJ896" s="1">
        <f>P896</f>
        <v>-1028287.057</v>
      </c>
    </row>
    <row r="897" spans="1:36" s="8" customFormat="1" x14ac:dyDescent="0.25">
      <c r="A897" s="8" t="s">
        <v>147</v>
      </c>
      <c r="B897" s="8">
        <v>2024</v>
      </c>
      <c r="C897" s="9">
        <v>761946.87</v>
      </c>
      <c r="D897" s="9">
        <v>77735.429999999993</v>
      </c>
      <c r="E897" s="9">
        <v>70154.995999999999</v>
      </c>
      <c r="F897" s="9">
        <v>0</v>
      </c>
      <c r="G897" s="9">
        <v>2103510.8730000001</v>
      </c>
      <c r="H897" s="9">
        <v>270927.065</v>
      </c>
      <c r="I897" s="9">
        <v>20699.528999999999</v>
      </c>
      <c r="J897" s="9">
        <v>1227885.9950000001</v>
      </c>
      <c r="K897" s="9">
        <v>296372.86800000002</v>
      </c>
      <c r="L897" s="9">
        <v>518896.13900000002</v>
      </c>
      <c r="M897" s="9">
        <v>509856.13900000002</v>
      </c>
      <c r="N897" s="9">
        <v>875624.87800000003</v>
      </c>
      <c r="O897" s="9">
        <v>875624.87800000003</v>
      </c>
      <c r="P897" s="9">
        <v>50498.624000000003</v>
      </c>
      <c r="Q897" s="9">
        <v>-86494.464999999997</v>
      </c>
      <c r="R897" s="9">
        <v>3.4</v>
      </c>
      <c r="T897" s="8">
        <f>E897/G897</f>
        <v>3.3351382633903789E-2</v>
      </c>
      <c r="U897" s="8">
        <f>D897/C897</f>
        <v>0.10202211343160973</v>
      </c>
      <c r="V897" s="8">
        <f>(E897-F897)/O897</f>
        <v>8.0119920941761999E-2</v>
      </c>
      <c r="W897" s="8">
        <f>H897/K897</f>
        <v>0.91414260295918848</v>
      </c>
      <c r="X897" s="8">
        <f>(H897-I897)/K897</f>
        <v>0.8442997420398145</v>
      </c>
      <c r="Y897" s="8">
        <f>(H897-K897)/G897</f>
        <v>-1.2096825039800977E-2</v>
      </c>
      <c r="Z897" s="8">
        <f>J897/N897</f>
        <v>1.4022968349238703</v>
      </c>
      <c r="AA897" s="8">
        <f>J897/G897</f>
        <v>0.5837317081460125</v>
      </c>
      <c r="AB897" s="8">
        <f>C897/G897</f>
        <v>0.36222625695930971</v>
      </c>
      <c r="AC897" s="8">
        <f>C897/(G897-K897)</f>
        <v>0.42163181112446357</v>
      </c>
      <c r="AD897" s="8">
        <f>Q897/E897</f>
        <v>-1.2329052801884559</v>
      </c>
      <c r="AE897" s="8">
        <f>Q897/J897</f>
        <v>-7.0441771754225432E-2</v>
      </c>
      <c r="AF897" s="8">
        <f>Q897/G897</f>
        <v>-4.1119095750925545E-2</v>
      </c>
      <c r="AG897" s="8">
        <f>Q897/K897</f>
        <v>-0.29184339843146501</v>
      </c>
      <c r="AH897" s="8">
        <f>Q897/L897</f>
        <v>-0.16668935939028059</v>
      </c>
      <c r="AI897" s="9">
        <f>R897</f>
        <v>3.4</v>
      </c>
      <c r="AJ897" s="9">
        <f>P897</f>
        <v>50498.624000000003</v>
      </c>
    </row>
    <row r="898" spans="1:36" x14ac:dyDescent="0.25">
      <c r="A898" s="15" t="s">
        <v>148</v>
      </c>
      <c r="B898" s="15">
        <v>2018</v>
      </c>
      <c r="C898" s="6">
        <v>4517365</v>
      </c>
      <c r="D898" s="6">
        <v>556937</v>
      </c>
      <c r="E898" s="6">
        <v>251398</v>
      </c>
      <c r="F898" s="6"/>
      <c r="G898" s="6">
        <v>4652735</v>
      </c>
      <c r="H898" s="6">
        <v>956021</v>
      </c>
      <c r="I898" s="6">
        <v>601647</v>
      </c>
      <c r="J898" s="6">
        <v>3591865</v>
      </c>
      <c r="K898" s="6">
        <v>1821670</v>
      </c>
      <c r="L898" s="6">
        <v>1262426</v>
      </c>
      <c r="M898" s="6">
        <v>401153</v>
      </c>
      <c r="N898" s="6">
        <v>1060870</v>
      </c>
      <c r="O898" s="6">
        <v>1060870</v>
      </c>
      <c r="P898" s="6">
        <v>-786668</v>
      </c>
      <c r="Q898" s="6">
        <v>403219</v>
      </c>
      <c r="R898" s="6">
        <v>19.2</v>
      </c>
      <c r="S898" s="15"/>
      <c r="T898" s="15">
        <f>E898/G898</f>
        <v>5.4032305729855665E-2</v>
      </c>
      <c r="U898" s="15">
        <f>D898/C898</f>
        <v>0.12328802299570657</v>
      </c>
      <c r="V898" s="15">
        <f>(E898-F898)/O898</f>
        <v>0.23697342746990677</v>
      </c>
      <c r="W898" s="15">
        <f>H898/K898</f>
        <v>0.52480471215972158</v>
      </c>
      <c r="X898" s="15">
        <f>(H898-I898)/K898</f>
        <v>0.19453248941904955</v>
      </c>
      <c r="Y898" s="15">
        <f>(H898-K898)/G898</f>
        <v>-0.18605164489273512</v>
      </c>
      <c r="Z898" s="15">
        <f>J898/N898</f>
        <v>3.3857729976340174</v>
      </c>
      <c r="AA898" s="15">
        <f>J898/G898</f>
        <v>0.7719900230724509</v>
      </c>
      <c r="AB898" s="15">
        <f>C898/G898</f>
        <v>0.97090528474112536</v>
      </c>
      <c r="AC898" s="15">
        <f>C898/(G898-K898)</f>
        <v>1.595641569515359</v>
      </c>
      <c r="AD898" s="15">
        <f>Q898/E898</f>
        <v>1.6039069523226119</v>
      </c>
      <c r="AE898" s="15">
        <f>Q898/J898</f>
        <v>0.11225895182586206</v>
      </c>
      <c r="AF898" s="15">
        <f>Q898/G898</f>
        <v>8.6662790810136406E-2</v>
      </c>
      <c r="AG898" s="15">
        <f>Q898/K898</f>
        <v>0.22134579808637131</v>
      </c>
      <c r="AH898" s="15">
        <f>Q898/L898</f>
        <v>0.31940010741223646</v>
      </c>
      <c r="AI898" s="6">
        <f>R898</f>
        <v>19.2</v>
      </c>
      <c r="AJ898" s="6">
        <f>P898</f>
        <v>-786668</v>
      </c>
    </row>
    <row r="899" spans="1:36" x14ac:dyDescent="0.25">
      <c r="A899" t="s">
        <v>148</v>
      </c>
      <c r="B899">
        <v>2019</v>
      </c>
      <c r="C899" s="1">
        <v>4167216</v>
      </c>
      <c r="D899" s="1">
        <v>238603</v>
      </c>
      <c r="E899" s="1">
        <v>5264</v>
      </c>
      <c r="G899" s="1">
        <v>4764851</v>
      </c>
      <c r="H899" s="1">
        <v>926789</v>
      </c>
      <c r="I899" s="1">
        <v>590873</v>
      </c>
      <c r="J899" s="1">
        <v>3738924</v>
      </c>
      <c r="K899" s="1">
        <v>1971493</v>
      </c>
      <c r="L899" s="1">
        <v>1343300</v>
      </c>
      <c r="M899" s="1">
        <v>312770</v>
      </c>
      <c r="N899" s="1">
        <v>1025924</v>
      </c>
      <c r="O899" s="1">
        <v>1025924</v>
      </c>
      <c r="P899" s="1">
        <v>-868662</v>
      </c>
      <c r="Q899" s="1">
        <v>124305</v>
      </c>
      <c r="R899" s="1">
        <v>10.8</v>
      </c>
      <c r="T899">
        <f>E899/G899</f>
        <v>1.1047564761206593E-3</v>
      </c>
      <c r="U899">
        <f>D899/C899</f>
        <v>5.7257171214547077E-2</v>
      </c>
      <c r="V899">
        <f>(E899-F899)/O899</f>
        <v>5.1309843614146854E-3</v>
      </c>
      <c r="W899">
        <f>H899/K899</f>
        <v>0.4700949990692333</v>
      </c>
      <c r="X899">
        <f>(H899-I899)/K899</f>
        <v>0.17038660548122667</v>
      </c>
      <c r="Y899">
        <f>(H899-K899)/G899</f>
        <v>-0.21925218647970315</v>
      </c>
      <c r="Z899">
        <f>J899/N899</f>
        <v>3.6444453975148257</v>
      </c>
      <c r="AA899">
        <f>J899/G899</f>
        <v>0.78468854535010646</v>
      </c>
      <c r="AB899">
        <f>C899/G899</f>
        <v>0.87457425216444329</v>
      </c>
      <c r="AC899">
        <f>C899/(G899-K899)</f>
        <v>1.4918302630740492</v>
      </c>
      <c r="AD899">
        <f>Q899/E899</f>
        <v>23.614171732522795</v>
      </c>
      <c r="AE899">
        <f>Q899/J899</f>
        <v>3.3246195964400455E-2</v>
      </c>
      <c r="AF899">
        <f>Q899/G899</f>
        <v>2.6087909149729971E-2</v>
      </c>
      <c r="AG899">
        <f>Q899/K899</f>
        <v>6.3051200283237116E-2</v>
      </c>
      <c r="AH899">
        <f>Q899/L899</f>
        <v>9.253703565845306E-2</v>
      </c>
      <c r="AI899" s="1">
        <f>R899</f>
        <v>10.8</v>
      </c>
      <c r="AJ899" s="1">
        <f>P899</f>
        <v>-868662</v>
      </c>
    </row>
    <row r="900" spans="1:36" x14ac:dyDescent="0.25">
      <c r="A900" t="s">
        <v>148</v>
      </c>
      <c r="B900">
        <v>2020</v>
      </c>
      <c r="C900" s="1">
        <v>3716295</v>
      </c>
      <c r="D900" s="1">
        <v>-356621</v>
      </c>
      <c r="E900" s="1">
        <v>-576111</v>
      </c>
      <c r="G900" s="1">
        <v>4737679</v>
      </c>
      <c r="H900" s="1">
        <v>736898</v>
      </c>
      <c r="I900" s="1">
        <v>398244</v>
      </c>
      <c r="J900" s="1">
        <v>4364434</v>
      </c>
      <c r="K900" s="1">
        <v>2496245</v>
      </c>
      <c r="L900" s="1">
        <v>1463584</v>
      </c>
      <c r="M900" s="1">
        <v>126223</v>
      </c>
      <c r="N900" s="1">
        <v>373245</v>
      </c>
      <c r="O900" s="1">
        <v>373245</v>
      </c>
      <c r="P900" s="1">
        <v>-1596114</v>
      </c>
      <c r="Q900" s="1">
        <v>-50285</v>
      </c>
      <c r="R900" s="1">
        <v>6.2</v>
      </c>
      <c r="T900">
        <f>E900/G900</f>
        <v>-0.12160194897121565</v>
      </c>
      <c r="U900">
        <f>D900/C900</f>
        <v>-9.5961434708493276E-2</v>
      </c>
      <c r="V900">
        <f>(E900-F900)/O900</f>
        <v>-1.5435196720652655</v>
      </c>
      <c r="W900">
        <f>H900/K900</f>
        <v>0.29520259429663354</v>
      </c>
      <c r="X900">
        <f>(H900-I900)/K900</f>
        <v>0.13566536938481599</v>
      </c>
      <c r="Y900">
        <f>(H900-K900)/G900</f>
        <v>-0.37135209033790595</v>
      </c>
      <c r="Z900">
        <f>J900/N900</f>
        <v>11.693214912456964</v>
      </c>
      <c r="AA900">
        <f>J900/G900</f>
        <v>0.92121775240576664</v>
      </c>
      <c r="AB900">
        <f>C900/G900</f>
        <v>0.78441257839545486</v>
      </c>
      <c r="AC900">
        <f>C900/(G900-K900)</f>
        <v>1.6579988525203062</v>
      </c>
      <c r="AD900">
        <f>Q900/E900</f>
        <v>8.7283526959214458E-2</v>
      </c>
      <c r="AE900">
        <f>Q900/J900</f>
        <v>-1.1521539791872211E-2</v>
      </c>
      <c r="AF900">
        <f>Q900/G900</f>
        <v>-1.0613846991322121E-2</v>
      </c>
      <c r="AG900">
        <f>Q900/K900</f>
        <v>-2.0144256673523632E-2</v>
      </c>
      <c r="AH900">
        <f>Q900/L900</f>
        <v>-3.4357440365568356E-2</v>
      </c>
      <c r="AI900" s="1">
        <f>R900</f>
        <v>6.2</v>
      </c>
      <c r="AJ900" s="1">
        <f>P900</f>
        <v>-1596114</v>
      </c>
    </row>
    <row r="901" spans="1:36" x14ac:dyDescent="0.25">
      <c r="A901" t="s">
        <v>148</v>
      </c>
      <c r="B901">
        <v>2021</v>
      </c>
      <c r="C901" s="1">
        <v>3974894</v>
      </c>
      <c r="D901" s="1">
        <v>275900</v>
      </c>
      <c r="E901" s="1">
        <v>103513</v>
      </c>
      <c r="G901" s="1">
        <v>4906747</v>
      </c>
      <c r="H901" s="1">
        <v>854621</v>
      </c>
      <c r="I901" s="1">
        <v>459391</v>
      </c>
      <c r="J901" s="1">
        <v>4193190</v>
      </c>
      <c r="K901" s="1">
        <v>1990173</v>
      </c>
      <c r="L901" s="1">
        <v>1479046</v>
      </c>
      <c r="M901" s="1">
        <v>677370</v>
      </c>
      <c r="N901" s="1">
        <v>713557</v>
      </c>
      <c r="O901" s="1">
        <v>713557</v>
      </c>
      <c r="P901" s="1">
        <v>-1380022</v>
      </c>
      <c r="Q901" s="1">
        <v>49804</v>
      </c>
      <c r="R901" s="1">
        <v>11</v>
      </c>
      <c r="T901">
        <f>E901/G901</f>
        <v>2.1096054065962645E-2</v>
      </c>
      <c r="U901">
        <f>D901/C901</f>
        <v>6.9410655982272737E-2</v>
      </c>
      <c r="V901">
        <f>(E901-F901)/O901</f>
        <v>0.14506619653370367</v>
      </c>
      <c r="W901">
        <f>H901/K901</f>
        <v>0.429420457417521</v>
      </c>
      <c r="X901">
        <f>(H901-I901)/K901</f>
        <v>0.19859077577677919</v>
      </c>
      <c r="Y901">
        <f>(H901-K901)/G901</f>
        <v>-0.23142664580016048</v>
      </c>
      <c r="Z901">
        <f>J901/N901</f>
        <v>5.8764611656812278</v>
      </c>
      <c r="AA901">
        <f>J901/G901</f>
        <v>0.85457636189516195</v>
      </c>
      <c r="AB901">
        <f>C901/G901</f>
        <v>0.81008741636770754</v>
      </c>
      <c r="AC901">
        <f>C901/(G901-K901)</f>
        <v>1.3628641001394102</v>
      </c>
      <c r="AD901">
        <f>Q901/E901</f>
        <v>0.4811376348864394</v>
      </c>
      <c r="AE901">
        <f>Q901/J901</f>
        <v>1.1877353518442999E-2</v>
      </c>
      <c r="AF901">
        <f>Q901/G901</f>
        <v>1.0150105558733719E-2</v>
      </c>
      <c r="AG901">
        <f>Q901/K901</f>
        <v>2.5024960141656026E-2</v>
      </c>
      <c r="AH901">
        <f>Q901/L901</f>
        <v>3.3673056821762137E-2</v>
      </c>
      <c r="AI901" s="1">
        <f>R901</f>
        <v>11</v>
      </c>
      <c r="AJ901" s="1">
        <f>P901</f>
        <v>-1380022</v>
      </c>
    </row>
    <row r="902" spans="1:36" x14ac:dyDescent="0.25">
      <c r="A902" t="s">
        <v>148</v>
      </c>
      <c r="B902">
        <v>2022</v>
      </c>
      <c r="C902" s="1">
        <v>4005924</v>
      </c>
      <c r="D902" s="1">
        <v>375609</v>
      </c>
      <c r="E902" s="1">
        <v>162662</v>
      </c>
      <c r="G902" s="1">
        <v>5057504</v>
      </c>
      <c r="H902" s="1">
        <v>913354</v>
      </c>
      <c r="I902" s="1">
        <v>544143</v>
      </c>
      <c r="J902" s="1">
        <v>4048137</v>
      </c>
      <c r="K902" s="1">
        <v>2132526</v>
      </c>
      <c r="L902" s="1">
        <v>1240902</v>
      </c>
      <c r="M902" s="1">
        <v>448524</v>
      </c>
      <c r="N902" s="1">
        <v>1009367</v>
      </c>
      <c r="O902" s="1">
        <v>1009367</v>
      </c>
      <c r="P902" s="1">
        <v>-1173586</v>
      </c>
      <c r="Q902" s="1">
        <v>329504</v>
      </c>
      <c r="R902" s="1">
        <v>9.6</v>
      </c>
      <c r="T902">
        <f>E902/G902</f>
        <v>3.2162505457237402E-2</v>
      </c>
      <c r="U902">
        <f>D902/C902</f>
        <v>9.3763386424705011E-2</v>
      </c>
      <c r="V902">
        <f>(E902-F902)/O902</f>
        <v>0.16115248467603954</v>
      </c>
      <c r="W902">
        <f>H902/K902</f>
        <v>0.42829677105929775</v>
      </c>
      <c r="X902">
        <f>(H902-I902)/K902</f>
        <v>0.17313317633641981</v>
      </c>
      <c r="Y902">
        <f>(H902-K902)/G902</f>
        <v>-0.24106199421691016</v>
      </c>
      <c r="Z902">
        <f>J902/N902</f>
        <v>4.0105699908952843</v>
      </c>
      <c r="AA902">
        <f>J902/G902</f>
        <v>0.80042190772365185</v>
      </c>
      <c r="AB902">
        <f>C902/G902</f>
        <v>0.79207530038532836</v>
      </c>
      <c r="AC902">
        <f>C902/(G902-K902)</f>
        <v>1.3695569676079615</v>
      </c>
      <c r="AD902">
        <f>Q902/E902</f>
        <v>2.0256974585336462</v>
      </c>
      <c r="AE902">
        <f>Q902/J902</f>
        <v>8.1396454714847841E-2</v>
      </c>
      <c r="AF902">
        <f>Q902/G902</f>
        <v>6.5151505564800344E-2</v>
      </c>
      <c r="AG902">
        <f>Q902/K902</f>
        <v>0.15451347369270058</v>
      </c>
      <c r="AH902">
        <f>Q902/L902</f>
        <v>0.2655358763222237</v>
      </c>
      <c r="AI902" s="1">
        <f>R902</f>
        <v>9.6</v>
      </c>
      <c r="AJ902" s="1">
        <f>P902</f>
        <v>-1173586</v>
      </c>
    </row>
    <row r="903" spans="1:36" x14ac:dyDescent="0.25">
      <c r="A903" t="s">
        <v>148</v>
      </c>
      <c r="B903">
        <v>2023</v>
      </c>
      <c r="C903" s="1">
        <v>6169527</v>
      </c>
      <c r="D903" s="1">
        <v>1576847</v>
      </c>
      <c r="E903" s="1">
        <v>886551</v>
      </c>
      <c r="G903" s="1">
        <v>6171180</v>
      </c>
      <c r="H903" s="1">
        <v>1829223</v>
      </c>
      <c r="I903" s="1">
        <v>965086</v>
      </c>
      <c r="J903" s="1">
        <v>4419642</v>
      </c>
      <c r="K903" s="1">
        <v>2272374</v>
      </c>
      <c r="L903" s="1">
        <v>960239</v>
      </c>
      <c r="M903" s="1">
        <v>247917</v>
      </c>
      <c r="N903" s="1">
        <v>1751538</v>
      </c>
      <c r="O903" s="1">
        <v>1751538</v>
      </c>
      <c r="P903" s="1">
        <v>-547190</v>
      </c>
      <c r="Q903" s="1">
        <v>854268</v>
      </c>
      <c r="R903" s="1">
        <v>36.5</v>
      </c>
      <c r="T903">
        <f>E903/G903</f>
        <v>0.14365988352308634</v>
      </c>
      <c r="U903">
        <f>D903/C903</f>
        <v>0.25558636829047027</v>
      </c>
      <c r="V903">
        <f>(E903-F903)/O903</f>
        <v>0.50615573284736048</v>
      </c>
      <c r="W903">
        <f>H903/K903</f>
        <v>0.80498324659585085</v>
      </c>
      <c r="X903">
        <f>(H903-I903)/K903</f>
        <v>0.38027939062847926</v>
      </c>
      <c r="Y903">
        <f>(H903-K903)/G903</f>
        <v>-7.1809767337851105E-2</v>
      </c>
      <c r="Z903">
        <f>J903/N903</f>
        <v>2.5232921009992362</v>
      </c>
      <c r="AA903">
        <f>J903/G903</f>
        <v>0.71617454036343131</v>
      </c>
      <c r="AB903">
        <f>C903/G903</f>
        <v>0.99973214198905236</v>
      </c>
      <c r="AC903">
        <f>C903/(G903-K903)</f>
        <v>1.5824144622738345</v>
      </c>
      <c r="AD903">
        <f>Q903/E903</f>
        <v>0.9635858512369847</v>
      </c>
      <c r="AE903">
        <f>Q903/J903</f>
        <v>0.19328895869846471</v>
      </c>
      <c r="AF903">
        <f>Q903/G903</f>
        <v>0.13842863115319923</v>
      </c>
      <c r="AG903">
        <f>Q903/K903</f>
        <v>0.37593635554710625</v>
      </c>
      <c r="AH903">
        <f>Q903/L903</f>
        <v>0.88964101645527827</v>
      </c>
      <c r="AI903" s="1">
        <f>R903</f>
        <v>36.5</v>
      </c>
      <c r="AJ903" s="1">
        <f>P903</f>
        <v>-547190</v>
      </c>
    </row>
    <row r="904" spans="1:36" s="8" customFormat="1" x14ac:dyDescent="0.25">
      <c r="A904" s="8" t="s">
        <v>148</v>
      </c>
      <c r="B904" s="8">
        <v>2024</v>
      </c>
      <c r="C904" s="9">
        <v>6328771</v>
      </c>
      <c r="D904" s="9">
        <v>927921</v>
      </c>
      <c r="E904" s="9">
        <v>468101</v>
      </c>
      <c r="F904" s="9"/>
      <c r="G904" s="9">
        <v>6490147</v>
      </c>
      <c r="H904" s="9">
        <v>1717039</v>
      </c>
      <c r="I904" s="9">
        <v>922204</v>
      </c>
      <c r="J904" s="9">
        <v>4323224</v>
      </c>
      <c r="K904" s="9">
        <v>1966626</v>
      </c>
      <c r="L904" s="9">
        <v>621871</v>
      </c>
      <c r="M904" s="9">
        <v>72917</v>
      </c>
      <c r="N904" s="9">
        <v>2166923</v>
      </c>
      <c r="O904" s="9">
        <v>2166923</v>
      </c>
      <c r="P904" s="9">
        <v>-260879</v>
      </c>
      <c r="Q904" s="9">
        <v>418406</v>
      </c>
      <c r="R904" s="9">
        <v>32</v>
      </c>
      <c r="T904" s="8">
        <f>E904/G904</f>
        <v>7.2124868666302938E-2</v>
      </c>
      <c r="U904" s="8">
        <f>D904/C904</f>
        <v>0.14661946213569743</v>
      </c>
      <c r="V904" s="8">
        <f>(E904-F904)/O904</f>
        <v>0.21602105843170247</v>
      </c>
      <c r="W904" s="8">
        <f>H904/K904</f>
        <v>0.87308873166529888</v>
      </c>
      <c r="X904" s="8">
        <f>(H904-I904)/K904</f>
        <v>0.40416174707341407</v>
      </c>
      <c r="Y904" s="8">
        <f>(H904-K904)/G904</f>
        <v>-3.8456293825085933E-2</v>
      </c>
      <c r="Z904" s="8">
        <f>J904/N904</f>
        <v>1.9950981183918395</v>
      </c>
      <c r="AA904" s="8">
        <f>J904/G904</f>
        <v>0.66612112175579385</v>
      </c>
      <c r="AB904" s="8">
        <f>C904/G904</f>
        <v>0.97513523191385343</v>
      </c>
      <c r="AC904" s="8">
        <f>C904/(G904-K904)</f>
        <v>1.3990807161058829</v>
      </c>
      <c r="AD904" s="8">
        <f>Q904/E904</f>
        <v>0.89383701380684932</v>
      </c>
      <c r="AE904" s="8">
        <f>Q904/J904</f>
        <v>9.6781013428866969E-2</v>
      </c>
      <c r="AF904" s="8">
        <f>Q904/G904</f>
        <v>6.4467877229899412E-2</v>
      </c>
      <c r="AG904" s="8">
        <f>Q904/K904</f>
        <v>0.21275321286304563</v>
      </c>
      <c r="AH904" s="8">
        <f>Q904/L904</f>
        <v>0.67281799601525072</v>
      </c>
      <c r="AI904" s="9">
        <f>R904</f>
        <v>32</v>
      </c>
      <c r="AJ904" s="9">
        <f>P904</f>
        <v>-260879</v>
      </c>
    </row>
    <row r="905" spans="1:36" x14ac:dyDescent="0.25">
      <c r="A905" s="15" t="s">
        <v>144</v>
      </c>
      <c r="B905" s="15">
        <v>2018</v>
      </c>
      <c r="C905" s="6">
        <v>212930.99799999999</v>
      </c>
      <c r="D905" s="6">
        <v>140754.83199999999</v>
      </c>
      <c r="E905" s="6">
        <v>117390.219</v>
      </c>
      <c r="F905" s="6">
        <v>0</v>
      </c>
      <c r="G905" s="6">
        <v>611981.54</v>
      </c>
      <c r="H905" s="6">
        <v>198663.70499999999</v>
      </c>
      <c r="I905" s="6">
        <v>23882.080000000002</v>
      </c>
      <c r="J905" s="6">
        <v>75020.133000000002</v>
      </c>
      <c r="K905" s="6">
        <v>22144.651000000002</v>
      </c>
      <c r="L905" s="6">
        <v>0</v>
      </c>
      <c r="M905" s="6">
        <v>0</v>
      </c>
      <c r="N905" s="6">
        <v>518504.90100000001</v>
      </c>
      <c r="O905" s="6">
        <v>536961.40700000001</v>
      </c>
      <c r="P905" s="6">
        <v>162882.671</v>
      </c>
      <c r="Q905" s="6">
        <v>138214.397</v>
      </c>
      <c r="R905" s="6"/>
      <c r="S905" s="15"/>
      <c r="T905" s="15">
        <f>E905/G905</f>
        <v>0.19181986927252739</v>
      </c>
      <c r="U905" s="15">
        <f>D905/C905</f>
        <v>0.66103495180161609</v>
      </c>
      <c r="V905" s="15">
        <f>(E905-F905)/O905</f>
        <v>0.21861947147348709</v>
      </c>
      <c r="W905" s="15">
        <f>H905/K905</f>
        <v>8.9711824765267227</v>
      </c>
      <c r="X905" s="15">
        <f>(H905-I905)/K905</f>
        <v>7.892724297167744</v>
      </c>
      <c r="Y905" s="15">
        <f>(H905-K905)/G905</f>
        <v>0.28843852708367634</v>
      </c>
      <c r="Z905" s="15">
        <f>J905/N905</f>
        <v>0.14468548485330518</v>
      </c>
      <c r="AA905" s="15">
        <f>J905/G905</f>
        <v>0.12258561426542375</v>
      </c>
      <c r="AB905" s="15">
        <f>C905/G905</f>
        <v>0.34793696228157467</v>
      </c>
      <c r="AC905" s="15">
        <f>C905/(G905-K905)</f>
        <v>0.3609997983696811</v>
      </c>
      <c r="AD905" s="15">
        <f>Q905/E905</f>
        <v>1.1773927860207842</v>
      </c>
      <c r="AE905" s="15">
        <f>Q905/J905</f>
        <v>1.8423640624577404</v>
      </c>
      <c r="AF905" s="15">
        <f>Q905/G905</f>
        <v>0.22584733029692364</v>
      </c>
      <c r="AG905" s="15">
        <f>Q905/K905</f>
        <v>6.2414348729180693</v>
      </c>
      <c r="AH905" s="15" t="e">
        <f>Q905/L905</f>
        <v>#DIV/0!</v>
      </c>
      <c r="AI905" s="6">
        <f>R905</f>
        <v>0</v>
      </c>
      <c r="AJ905" s="6">
        <f>P905</f>
        <v>162882.671</v>
      </c>
    </row>
    <row r="906" spans="1:36" x14ac:dyDescent="0.25">
      <c r="A906" t="s">
        <v>144</v>
      </c>
      <c r="B906">
        <v>2019</v>
      </c>
      <c r="C906" s="1">
        <v>158697.141</v>
      </c>
      <c r="D906" s="1">
        <v>103707.20699999999</v>
      </c>
      <c r="E906" s="1">
        <v>102822.446</v>
      </c>
      <c r="F906" s="1">
        <v>0</v>
      </c>
      <c r="G906" s="1">
        <v>706653.54500000004</v>
      </c>
      <c r="H906" s="1">
        <v>279957.96500000003</v>
      </c>
      <c r="I906" s="1">
        <v>39535.328999999998</v>
      </c>
      <c r="J906" s="1">
        <v>159440.57199999999</v>
      </c>
      <c r="K906" s="1">
        <v>89163.626000000004</v>
      </c>
      <c r="L906" s="1">
        <v>0</v>
      </c>
      <c r="M906" s="1">
        <v>0</v>
      </c>
      <c r="N906" s="1">
        <v>528756.46699999995</v>
      </c>
      <c r="O906" s="1">
        <v>547212.973</v>
      </c>
      <c r="P906" s="1">
        <v>173134.23699999999</v>
      </c>
      <c r="Q906" s="1">
        <v>86880.622000000003</v>
      </c>
      <c r="T906">
        <f>E906/G906</f>
        <v>0.14550616313684522</v>
      </c>
      <c r="U906">
        <f>D906/C906</f>
        <v>0.65349133794414094</v>
      </c>
      <c r="V906">
        <f>(E906-F906)/O906</f>
        <v>0.18790206203682236</v>
      </c>
      <c r="W906">
        <f>H906/K906</f>
        <v>3.1398225662110244</v>
      </c>
      <c r="X906">
        <f>(H906-I906)/K906</f>
        <v>2.6964205784991293</v>
      </c>
      <c r="Y906">
        <f>(H906-K906)/G906</f>
        <v>0.26999700256226694</v>
      </c>
      <c r="Z906">
        <f>J906/N906</f>
        <v>0.30153876491500198</v>
      </c>
      <c r="AA906">
        <f>J906/G906</f>
        <v>0.22562764048682438</v>
      </c>
      <c r="AB906">
        <f>C906/G906</f>
        <v>0.22457559595204463</v>
      </c>
      <c r="AC906">
        <f>C906/(G906-K906)</f>
        <v>0.25700361433754842</v>
      </c>
      <c r="AD906">
        <f>Q906/E906</f>
        <v>0.84495774395407797</v>
      </c>
      <c r="AE906">
        <f>Q906/J906</f>
        <v>0.5449091213747026</v>
      </c>
      <c r="AF906">
        <f>Q906/G906</f>
        <v>0.12294655933552276</v>
      </c>
      <c r="AG906">
        <f>Q906/K906</f>
        <v>0.97439534367971981</v>
      </c>
      <c r="AH906" t="e">
        <f>Q906/L906</f>
        <v>#DIV/0!</v>
      </c>
      <c r="AI906" s="1">
        <f>R906</f>
        <v>0</v>
      </c>
      <c r="AJ906" s="1">
        <f>P906</f>
        <v>173134.23699999999</v>
      </c>
    </row>
    <row r="907" spans="1:36" x14ac:dyDescent="0.25">
      <c r="A907" t="s">
        <v>144</v>
      </c>
      <c r="B907">
        <v>2020</v>
      </c>
      <c r="C907" s="1">
        <v>179757.448</v>
      </c>
      <c r="D907" s="1">
        <v>22863.737000000001</v>
      </c>
      <c r="E907" s="1">
        <v>35889.610999999997</v>
      </c>
      <c r="F907" s="1">
        <v>0</v>
      </c>
      <c r="G907" s="1">
        <v>658254.424</v>
      </c>
      <c r="H907" s="1">
        <v>253735.37</v>
      </c>
      <c r="I907" s="1">
        <v>15237.987999999999</v>
      </c>
      <c r="J907" s="1">
        <v>110806.833</v>
      </c>
      <c r="K907" s="1">
        <v>26060.742999999999</v>
      </c>
      <c r="L907" s="1">
        <v>0</v>
      </c>
      <c r="M907" s="1">
        <v>0</v>
      </c>
      <c r="N907" s="1">
        <v>528991.08499999996</v>
      </c>
      <c r="O907" s="1">
        <v>547447.59100000001</v>
      </c>
      <c r="P907" s="1">
        <v>144273.09</v>
      </c>
      <c r="Q907" s="1">
        <v>41590.798999999999</v>
      </c>
      <c r="R907" s="1">
        <v>17.2</v>
      </c>
      <c r="T907">
        <f>E907/G907</f>
        <v>5.452239998921754E-2</v>
      </c>
      <c r="U907">
        <f>D907/C907</f>
        <v>0.12719215395180733</v>
      </c>
      <c r="V907">
        <f>(E907-F907)/O907</f>
        <v>6.5558076407719545E-2</v>
      </c>
      <c r="W907">
        <f>H907/K907</f>
        <v>9.7363060600382738</v>
      </c>
      <c r="X907">
        <f>(H907-I907)/K907</f>
        <v>9.1515956394643077</v>
      </c>
      <c r="Y907">
        <f>(H907-K907)/G907</f>
        <v>0.34587633398115986</v>
      </c>
      <c r="Z907">
        <f>J907/N907</f>
        <v>0.2094682427398564</v>
      </c>
      <c r="AA907">
        <f>J907/G907</f>
        <v>0.16833435364803565</v>
      </c>
      <c r="AB907">
        <f>C907/G907</f>
        <v>0.27308202033443529</v>
      </c>
      <c r="AC907">
        <f>C907/(G907-K907)</f>
        <v>0.28433920395354284</v>
      </c>
      <c r="AD907">
        <f>Q907/E907</f>
        <v>1.158853435329795</v>
      </c>
      <c r="AE907">
        <f>Q907/J907</f>
        <v>0.37534507461286254</v>
      </c>
      <c r="AF907">
        <f>Q907/G907</f>
        <v>6.3183470529929925E-2</v>
      </c>
      <c r="AG907">
        <f>Q907/K907</f>
        <v>1.595917622149146</v>
      </c>
      <c r="AH907" t="e">
        <f>Q907/L907</f>
        <v>#DIV/0!</v>
      </c>
      <c r="AI907" s="1">
        <f>R907</f>
        <v>17.2</v>
      </c>
      <c r="AJ907" s="1">
        <f>P907</f>
        <v>144273.09</v>
      </c>
    </row>
    <row r="908" spans="1:36" x14ac:dyDescent="0.25">
      <c r="A908" t="s">
        <v>144</v>
      </c>
      <c r="B908">
        <v>2021</v>
      </c>
      <c r="C908" s="1">
        <v>230192.00399999999</v>
      </c>
      <c r="D908" s="1">
        <v>121590.942</v>
      </c>
      <c r="E908" s="1">
        <v>129904.26300000001</v>
      </c>
      <c r="F908" s="1">
        <v>0</v>
      </c>
      <c r="G908" s="1">
        <v>735130.63800000004</v>
      </c>
      <c r="H908" s="1">
        <v>352111.24800000002</v>
      </c>
      <c r="I908" s="1">
        <v>36800.258999999998</v>
      </c>
      <c r="J908" s="1">
        <v>139002.51300000001</v>
      </c>
      <c r="K908" s="1">
        <v>56424.824000000001</v>
      </c>
      <c r="L908" s="1">
        <v>0</v>
      </c>
      <c r="M908" s="1">
        <v>0</v>
      </c>
      <c r="N908" s="1">
        <v>579808.84900000005</v>
      </c>
      <c r="O908" s="1">
        <v>596128.125</v>
      </c>
      <c r="P908" s="1">
        <v>195090.85399999999</v>
      </c>
      <c r="Q908" s="1">
        <v>159683.568</v>
      </c>
      <c r="R908" s="1">
        <v>27.5</v>
      </c>
      <c r="T908">
        <f>E908/G908</f>
        <v>0.17670908582101566</v>
      </c>
      <c r="U908">
        <f>D908/C908</f>
        <v>0.52821531541990485</v>
      </c>
      <c r="V908">
        <f>(E908-F908)/O908</f>
        <v>0.21791332693789611</v>
      </c>
      <c r="W908">
        <f>H908/K908</f>
        <v>6.2403605902253236</v>
      </c>
      <c r="X908">
        <f>(H908-I908)/K908</f>
        <v>5.5881607889463689</v>
      </c>
      <c r="Y908">
        <f>(H908-K908)/G908</f>
        <v>0.40222296380469996</v>
      </c>
      <c r="Z908">
        <f>J908/N908</f>
        <v>0.23973851596045578</v>
      </c>
      <c r="AA908">
        <f>J908/G908</f>
        <v>0.18908545748844166</v>
      </c>
      <c r="AB908">
        <f>C908/G908</f>
        <v>0.31313074452489353</v>
      </c>
      <c r="AC908">
        <f>C908/(G908-K908)</f>
        <v>0.33916315324212026</v>
      </c>
      <c r="AD908">
        <f>Q908/E908</f>
        <v>1.2292403983693745</v>
      </c>
      <c r="AE908">
        <f>Q908/J908</f>
        <v>1.1487818784974053</v>
      </c>
      <c r="AF908">
        <f>Q908/G908</f>
        <v>0.21721794705011327</v>
      </c>
      <c r="AG908">
        <f>Q908/K908</f>
        <v>2.8300233244856909</v>
      </c>
      <c r="AH908" t="e">
        <f>Q908/L908</f>
        <v>#DIV/0!</v>
      </c>
      <c r="AI908" s="1">
        <f>R908</f>
        <v>27.5</v>
      </c>
      <c r="AJ908" s="1">
        <f>P908</f>
        <v>195090.85399999999</v>
      </c>
    </row>
    <row r="909" spans="1:36" x14ac:dyDescent="0.25">
      <c r="A909" t="s">
        <v>144</v>
      </c>
      <c r="B909">
        <v>2022</v>
      </c>
      <c r="C909" s="1">
        <v>244417.08600000001</v>
      </c>
      <c r="D909" s="1">
        <v>186510.435</v>
      </c>
      <c r="E909" s="1">
        <v>191277.098</v>
      </c>
      <c r="F909" s="1">
        <v>0</v>
      </c>
      <c r="G909" s="1">
        <v>846347.45</v>
      </c>
      <c r="H909" s="1">
        <v>445450.288</v>
      </c>
      <c r="I909" s="1">
        <v>115249.61</v>
      </c>
      <c r="J909" s="1">
        <v>143450.21100000001</v>
      </c>
      <c r="K909" s="1">
        <v>65612.377999999997</v>
      </c>
      <c r="L909" s="1">
        <v>0</v>
      </c>
      <c r="M909" s="1">
        <v>0</v>
      </c>
      <c r="N909" s="1">
        <v>686577.96299999999</v>
      </c>
      <c r="O909" s="1">
        <v>702897.23899999994</v>
      </c>
      <c r="P909" s="1">
        <v>301859.96799999999</v>
      </c>
      <c r="Q909" s="1">
        <v>136451.511</v>
      </c>
      <c r="R909" s="1">
        <v>43.4</v>
      </c>
      <c r="T909">
        <f>E909/G909</f>
        <v>0.22600304165860016</v>
      </c>
      <c r="U909">
        <f>D909/C909</f>
        <v>0.76308263899357665</v>
      </c>
      <c r="V909">
        <f>(E909-F909)/O909</f>
        <v>0.27212668849308141</v>
      </c>
      <c r="W909">
        <f>H909/K909</f>
        <v>6.7891196993347815</v>
      </c>
      <c r="X909">
        <f>(H909-I909)/K909</f>
        <v>5.0325973248523326</v>
      </c>
      <c r="Y909">
        <f>(H909-K909)/G909</f>
        <v>0.44879666146569008</v>
      </c>
      <c r="Z909">
        <f>J909/N909</f>
        <v>0.20893506452376481</v>
      </c>
      <c r="AA909">
        <f>J909/G909</f>
        <v>0.16949328671103106</v>
      </c>
      <c r="AB909">
        <f>C909/G909</f>
        <v>0.28879047960740006</v>
      </c>
      <c r="AC909">
        <f>C909/(G909-K909)</f>
        <v>0.31306021051914529</v>
      </c>
      <c r="AD909">
        <f>Q909/E909</f>
        <v>0.71337087621436002</v>
      </c>
      <c r="AE909">
        <f>Q909/J909</f>
        <v>0.95121164373888578</v>
      </c>
      <c r="AF909">
        <f>Q909/G909</f>
        <v>0.16122398785510608</v>
      </c>
      <c r="AG909">
        <f>Q909/K909</f>
        <v>2.079661112115156</v>
      </c>
      <c r="AH909" t="e">
        <f>Q909/L909</f>
        <v>#DIV/0!</v>
      </c>
      <c r="AI909" s="1">
        <f>R909</f>
        <v>43.4</v>
      </c>
      <c r="AJ909" s="1">
        <f>P909</f>
        <v>301859.96799999999</v>
      </c>
    </row>
    <row r="910" spans="1:36" x14ac:dyDescent="0.25">
      <c r="A910" t="s">
        <v>144</v>
      </c>
      <c r="B910">
        <v>2023</v>
      </c>
      <c r="C910" s="1">
        <v>324501.50599999999</v>
      </c>
      <c r="D910" s="1">
        <v>108713.08199999999</v>
      </c>
      <c r="E910" s="1">
        <v>69616.932000000001</v>
      </c>
      <c r="F910" s="1">
        <v>0</v>
      </c>
      <c r="G910" s="1">
        <v>907969.30500000005</v>
      </c>
      <c r="H910" s="1">
        <v>393833.46799999999</v>
      </c>
      <c r="I910" s="1">
        <v>51720.09</v>
      </c>
      <c r="J910" s="1">
        <v>186229.522</v>
      </c>
      <c r="K910" s="1">
        <v>44337.464</v>
      </c>
      <c r="L910" s="1">
        <v>0</v>
      </c>
      <c r="M910" s="1">
        <v>0</v>
      </c>
      <c r="N910" s="1">
        <v>705420.50699999998</v>
      </c>
      <c r="O910" s="1">
        <v>721739.78300000005</v>
      </c>
      <c r="P910" s="1">
        <v>320702.51199999999</v>
      </c>
      <c r="Q910" s="1">
        <v>108713.08199999999</v>
      </c>
      <c r="R910" s="1">
        <v>36</v>
      </c>
      <c r="T910">
        <f>E910/G910</f>
        <v>7.6673221899279956E-2</v>
      </c>
      <c r="U910">
        <f>D910/C910</f>
        <v>0.33501564704602632</v>
      </c>
      <c r="V910">
        <f>(E910-F910)/O910</f>
        <v>9.6457107727425911E-2</v>
      </c>
      <c r="W910">
        <f>H910/K910</f>
        <v>8.8826340631480409</v>
      </c>
      <c r="X910">
        <f>(H910-I910)/K910</f>
        <v>7.7161241788659813</v>
      </c>
      <c r="Y910">
        <f>(H910-K910)/G910</f>
        <v>0.38492050565519942</v>
      </c>
      <c r="Z910">
        <f>J910/N910</f>
        <v>0.26399788516496869</v>
      </c>
      <c r="AA910">
        <f>J910/G910</f>
        <v>0.20510552611687682</v>
      </c>
      <c r="AB910">
        <f>C910/G910</f>
        <v>0.35739259489614572</v>
      </c>
      <c r="AC910">
        <f>C910/(G910-K910)</f>
        <v>0.37574055354913666</v>
      </c>
      <c r="AD910">
        <f>Q910/E910</f>
        <v>1.5615896718918896</v>
      </c>
      <c r="AE910">
        <f>Q910/J910</f>
        <v>0.5837585836685979</v>
      </c>
      <c r="AF910">
        <f>Q910/G910</f>
        <v>0.11973211142859062</v>
      </c>
      <c r="AG910">
        <f>Q910/K910</f>
        <v>2.4519463269256896</v>
      </c>
      <c r="AH910" t="e">
        <f>Q910/L910</f>
        <v>#DIV/0!</v>
      </c>
      <c r="AI910" s="1">
        <f>R910</f>
        <v>36</v>
      </c>
      <c r="AJ910" s="1">
        <f>P910</f>
        <v>320702.51199999999</v>
      </c>
    </row>
    <row r="911" spans="1:36" s="8" customFormat="1" x14ac:dyDescent="0.25">
      <c r="A911" s="8" t="s">
        <v>144</v>
      </c>
      <c r="B911" s="8">
        <v>2024</v>
      </c>
      <c r="C911" s="9">
        <v>278950.90000000002</v>
      </c>
      <c r="D911" s="9">
        <v>88416.361999999994</v>
      </c>
      <c r="E911" s="9">
        <v>135980.011</v>
      </c>
      <c r="F911" s="9">
        <v>0</v>
      </c>
      <c r="G911" s="9">
        <v>979084.53500000003</v>
      </c>
      <c r="H911" s="9">
        <v>502263.56599999999</v>
      </c>
      <c r="I911" s="9">
        <v>59557.428999999996</v>
      </c>
      <c r="J911" s="9">
        <v>176063.99400000001</v>
      </c>
      <c r="K911" s="9">
        <v>47445.173000000003</v>
      </c>
      <c r="L911" s="9">
        <v>0</v>
      </c>
      <c r="M911" s="9">
        <v>0</v>
      </c>
      <c r="N911" s="9">
        <v>786701.26500000001</v>
      </c>
      <c r="O911" s="9">
        <v>803020.54099999997</v>
      </c>
      <c r="P911" s="9">
        <v>401983.27</v>
      </c>
      <c r="Q911" s="9">
        <v>88416.361999999994</v>
      </c>
      <c r="R911" s="9">
        <v>27.6</v>
      </c>
      <c r="T911" s="8">
        <f>E911/G911</f>
        <v>0.13888485226661249</v>
      </c>
      <c r="U911" s="8">
        <f>D911/C911</f>
        <v>0.31696030376672019</v>
      </c>
      <c r="V911" s="8">
        <f>(E911-F911)/O911</f>
        <v>0.169335657131092</v>
      </c>
      <c r="W911" s="8">
        <f>H911/K911</f>
        <v>10.586188946976755</v>
      </c>
      <c r="X911" s="8">
        <f>(H911-I911)/K911</f>
        <v>9.330899415204998</v>
      </c>
      <c r="Y911" s="8">
        <f>(H911-K911)/G911</f>
        <v>0.46453434483060235</v>
      </c>
      <c r="Z911" s="8">
        <f>J911/N911</f>
        <v>0.22380031891775337</v>
      </c>
      <c r="AA911" s="8">
        <f>J911/G911</f>
        <v>0.17982512000355516</v>
      </c>
      <c r="AB911" s="8">
        <f>C911/G911</f>
        <v>0.28490992353382438</v>
      </c>
      <c r="AC911" s="8">
        <f>C911/(G911-K911)</f>
        <v>0.29941940130262551</v>
      </c>
      <c r="AD911" s="8">
        <f>Q911/E911</f>
        <v>0.65021587621433563</v>
      </c>
      <c r="AE911" s="8">
        <f>Q911/J911</f>
        <v>0.50218309826596341</v>
      </c>
      <c r="AF911" s="8">
        <f>Q911/G911</f>
        <v>9.0305135909433995E-2</v>
      </c>
      <c r="AG911" s="8">
        <f>Q911/K911</f>
        <v>1.8635481000353817</v>
      </c>
      <c r="AH911" s="8" t="e">
        <f>Q911/L911</f>
        <v>#DIV/0!</v>
      </c>
      <c r="AI911" s="9">
        <f>R911</f>
        <v>27.6</v>
      </c>
      <c r="AJ911" s="9">
        <f>P911</f>
        <v>401983.27</v>
      </c>
    </row>
    <row r="912" spans="1:36" x14ac:dyDescent="0.25">
      <c r="A912" s="15" t="s">
        <v>91</v>
      </c>
      <c r="B912" s="15">
        <v>2018</v>
      </c>
      <c r="C912" s="6">
        <v>6877350</v>
      </c>
      <c r="D912" s="6">
        <f>-21014235-16240160</f>
        <v>-37254395</v>
      </c>
      <c r="E912" s="6">
        <v>-18146303</v>
      </c>
      <c r="F912" s="6"/>
      <c r="G912" s="6">
        <v>802176546</v>
      </c>
      <c r="H912" s="6">
        <v>355032383</v>
      </c>
      <c r="I912" s="6">
        <v>10435034</v>
      </c>
      <c r="J912" s="6">
        <f>741136+K912</f>
        <v>80021982</v>
      </c>
      <c r="K912" s="6">
        <v>79280846</v>
      </c>
      <c r="L912" s="6">
        <v>20843087</v>
      </c>
      <c r="M912" s="6">
        <v>0</v>
      </c>
      <c r="N912" s="6">
        <v>722154564</v>
      </c>
      <c r="O912" s="6">
        <v>722154564</v>
      </c>
      <c r="P912" s="6">
        <v>-13038307</v>
      </c>
      <c r="Q912" s="6">
        <v>-23435733</v>
      </c>
      <c r="R912" s="6">
        <v>2.1</v>
      </c>
      <c r="S912" s="15"/>
      <c r="T912" s="15">
        <f>E912/G912</f>
        <v>-2.2621333284406447E-2</v>
      </c>
      <c r="U912" s="15">
        <f>D912/C912</f>
        <v>-5.416969472253121</v>
      </c>
      <c r="V912" s="15">
        <f>(E912-F912)/O912</f>
        <v>-2.5128004314599887E-2</v>
      </c>
      <c r="W912" s="15">
        <f>H912/K912</f>
        <v>4.4781608788584322</v>
      </c>
      <c r="X912" s="15">
        <f>(H912-I912)/K912</f>
        <v>4.34653975564287</v>
      </c>
      <c r="Y912" s="15">
        <f>(H912-K912)/G912</f>
        <v>0.34375417528101104</v>
      </c>
      <c r="Z912" s="15">
        <f>J912/N912</f>
        <v>0.11081004813811576</v>
      </c>
      <c r="AA912" s="15">
        <f>J912/G912</f>
        <v>9.9756072898197157E-2</v>
      </c>
      <c r="AB912" s="15">
        <f>C912/G912</f>
        <v>8.573362103758142E-3</v>
      </c>
      <c r="AC912" s="15">
        <f>C912/(G912-K912)</f>
        <v>9.5136130979891018E-3</v>
      </c>
      <c r="AD912" s="15">
        <f>Q912/E912</f>
        <v>1.291488023758889</v>
      </c>
      <c r="AE912" s="15">
        <f>Q912/J912</f>
        <v>-0.2928661901925898</v>
      </c>
      <c r="AF912" s="15">
        <f>Q912/G912</f>
        <v>-2.9215181018269264E-2</v>
      </c>
      <c r="AG912" s="15">
        <f>Q912/K912</f>
        <v>-0.29560397223813684</v>
      </c>
      <c r="AH912" s="15">
        <f>Q912/L912</f>
        <v>-1.1243887721622041</v>
      </c>
      <c r="AI912" s="6">
        <f>R912</f>
        <v>2.1</v>
      </c>
      <c r="AJ912" s="6">
        <f>P912</f>
        <v>-13038307</v>
      </c>
    </row>
    <row r="913" spans="1:36" x14ac:dyDescent="0.25">
      <c r="A913" t="s">
        <v>91</v>
      </c>
      <c r="B913">
        <v>2019</v>
      </c>
      <c r="C913" s="1">
        <v>1003373</v>
      </c>
      <c r="D913" s="1">
        <f>-159324793+2713631</f>
        <v>-156611162</v>
      </c>
      <c r="E913" s="1">
        <v>-159338970</v>
      </c>
      <c r="G913" s="1">
        <v>668343707</v>
      </c>
      <c r="H913" s="1">
        <v>296521282</v>
      </c>
      <c r="I913" s="1">
        <v>9404222</v>
      </c>
      <c r="J913" s="1">
        <f>764061+K913</f>
        <v>105528113</v>
      </c>
      <c r="K913" s="1">
        <v>104764052</v>
      </c>
      <c r="L913" s="1">
        <v>19748680</v>
      </c>
      <c r="M913" s="1">
        <v>0</v>
      </c>
      <c r="N913" s="1">
        <v>562815594</v>
      </c>
      <c r="O913" s="1">
        <v>562815594</v>
      </c>
      <c r="P913" s="1">
        <v>-172377277</v>
      </c>
      <c r="Q913" s="1">
        <v>-4120768</v>
      </c>
      <c r="R913" s="1">
        <v>1.9</v>
      </c>
      <c r="T913">
        <f>E913/G913</f>
        <v>-0.23840872343247785</v>
      </c>
      <c r="U913">
        <f>D913/C913</f>
        <v>-156.08468834620825</v>
      </c>
      <c r="V913">
        <f>(E913-F913)/O913</f>
        <v>-0.28311043918943013</v>
      </c>
      <c r="W913">
        <f>H913/K913</f>
        <v>2.8303724067488338</v>
      </c>
      <c r="X913">
        <f>(H913-I913)/K913</f>
        <v>2.7406066729835916</v>
      </c>
      <c r="Y913">
        <f>(H913-K913)/G913</f>
        <v>0.28691409523513328</v>
      </c>
      <c r="Z913">
        <f>J913/N913</f>
        <v>0.18750033603368851</v>
      </c>
      <c r="AA913">
        <f>J913/G913</f>
        <v>0.15789497513739589</v>
      </c>
      <c r="AB913">
        <f>C913/G913</f>
        <v>1.5012829319570446E-3</v>
      </c>
      <c r="AC913">
        <f>C913/(G913-K913)</f>
        <v>1.7803570286794685E-3</v>
      </c>
      <c r="AD913">
        <f>Q913/E913</f>
        <v>2.5861645773158946E-2</v>
      </c>
      <c r="AE913">
        <f>Q913/J913</f>
        <v>-3.9049006779833161E-2</v>
      </c>
      <c r="AF913">
        <f>Q913/G913</f>
        <v>-6.1656419546417601E-3</v>
      </c>
      <c r="AG913">
        <f>Q913/K913</f>
        <v>-3.9333797436548176E-2</v>
      </c>
      <c r="AH913">
        <f>Q913/L913</f>
        <v>-0.20866042692473624</v>
      </c>
      <c r="AI913" s="1">
        <f>R913</f>
        <v>1.9</v>
      </c>
      <c r="AJ913" s="1">
        <f>P913</f>
        <v>-172377277</v>
      </c>
    </row>
    <row r="914" spans="1:36" x14ac:dyDescent="0.25">
      <c r="A914" t="s">
        <v>91</v>
      </c>
      <c r="B914">
        <v>2020</v>
      </c>
      <c r="C914" s="1">
        <v>1124275</v>
      </c>
      <c r="D914" s="1">
        <f>-281700465-631830</f>
        <v>-282332295</v>
      </c>
      <c r="E914" s="1">
        <v>-281178648</v>
      </c>
      <c r="G914" s="1">
        <v>311240276</v>
      </c>
      <c r="H914" s="1">
        <v>264870277</v>
      </c>
      <c r="I914" s="1">
        <v>27112969</v>
      </c>
      <c r="J914" s="1">
        <v>29603330</v>
      </c>
      <c r="K914" s="1">
        <v>29603330</v>
      </c>
      <c r="L914" s="1">
        <v>13683968</v>
      </c>
      <c r="M914" s="1">
        <v>0</v>
      </c>
      <c r="N914" s="1">
        <v>281636946</v>
      </c>
      <c r="O914" s="1">
        <v>281636946</v>
      </c>
      <c r="P914" s="1">
        <v>-273946166</v>
      </c>
      <c r="Q914" s="1">
        <v>-206871653</v>
      </c>
      <c r="R914" s="1">
        <v>1.2</v>
      </c>
      <c r="T914">
        <f>E914/G914</f>
        <v>-0.9034134386900492</v>
      </c>
      <c r="U914">
        <f>D914/C914</f>
        <v>-251.12387538636011</v>
      </c>
      <c r="V914">
        <f>(E914-F914)/O914</f>
        <v>-0.99837273480447408</v>
      </c>
      <c r="W914">
        <f>H914/K914</f>
        <v>8.9473135961393524</v>
      </c>
      <c r="X914">
        <f>(H914-I914)/K914</f>
        <v>8.0314379497171426</v>
      </c>
      <c r="Y914">
        <f>(H914-K914)/G914</f>
        <v>0.75590135705958572</v>
      </c>
      <c r="Z914">
        <f>J914/N914</f>
        <v>0.10511167096663518</v>
      </c>
      <c r="AA914">
        <f>J914/G914</f>
        <v>9.5114071933286679E-2</v>
      </c>
      <c r="AB914">
        <f>C914/G914</f>
        <v>3.6122413668596026E-3</v>
      </c>
      <c r="AC914">
        <f>C914/(G914-K914)</f>
        <v>3.9919300928650181E-3</v>
      </c>
      <c r="AD914">
        <f>Q914/E914</f>
        <v>0.73573030694706232</v>
      </c>
      <c r="AE914">
        <f>Q914/J914</f>
        <v>-6.9881210323298086</v>
      </c>
      <c r="AF914">
        <f>Q914/G914</f>
        <v>-0.66466864654753099</v>
      </c>
      <c r="AG914">
        <f>Q914/K914</f>
        <v>-6.9881210323298086</v>
      </c>
      <c r="AH914">
        <f>Q914/L914</f>
        <v>-15.117811807218491</v>
      </c>
      <c r="AI914" s="1">
        <f>R914</f>
        <v>1.2</v>
      </c>
      <c r="AJ914" s="1">
        <f>P914</f>
        <v>-273946166</v>
      </c>
    </row>
    <row r="915" spans="1:36" x14ac:dyDescent="0.25">
      <c r="A915" t="s">
        <v>91</v>
      </c>
      <c r="B915">
        <v>2021</v>
      </c>
      <c r="C915" s="1">
        <v>6336961</v>
      </c>
      <c r="D915" s="1">
        <f>1329481-316032</f>
        <v>1013449</v>
      </c>
      <c r="E915" s="1">
        <v>1329481</v>
      </c>
      <c r="G915" s="1">
        <v>307802501</v>
      </c>
      <c r="H915" s="1">
        <v>262881564</v>
      </c>
      <c r="I915" s="1">
        <v>26281593</v>
      </c>
      <c r="J915" s="1">
        <v>24836074</v>
      </c>
      <c r="K915" s="1">
        <v>24836074</v>
      </c>
      <c r="L915" s="1">
        <v>10800000</v>
      </c>
      <c r="M915" s="1">
        <v>0</v>
      </c>
      <c r="N915" s="1">
        <v>282966427</v>
      </c>
      <c r="O915" s="1">
        <v>282966427</v>
      </c>
      <c r="P915" s="1">
        <v>-272616685</v>
      </c>
      <c r="Q915" s="1">
        <v>1977334</v>
      </c>
      <c r="R915" s="1">
        <v>2.2000000000000002</v>
      </c>
      <c r="T915">
        <f>E915/G915</f>
        <v>4.3192663986833559E-3</v>
      </c>
      <c r="U915">
        <f>D915/C915</f>
        <v>0.15992665885114332</v>
      </c>
      <c r="V915">
        <f>(E915-F915)/O915</f>
        <v>4.698370100280483E-3</v>
      </c>
      <c r="W915">
        <f>H915/K915</f>
        <v>10.584666642561944</v>
      </c>
      <c r="X915">
        <f>(H915-I915)/K915</f>
        <v>9.5264642471269809</v>
      </c>
      <c r="Y915">
        <f>(H915-K915)/G915</f>
        <v>0.77337087654138326</v>
      </c>
      <c r="Z915">
        <f>J915/N915</f>
        <v>8.7770391220298366E-2</v>
      </c>
      <c r="AA915">
        <f>J915/G915</f>
        <v>8.0688343724666489E-2</v>
      </c>
      <c r="AB915">
        <f>C915/G915</f>
        <v>2.058775019505121E-2</v>
      </c>
      <c r="AC915">
        <f>C915/(G915-K915)</f>
        <v>2.2394745084016628E-2</v>
      </c>
      <c r="AD915">
        <f>Q915/E915</f>
        <v>1.487297674806936</v>
      </c>
      <c r="AE915">
        <f>Q915/J915</f>
        <v>7.9615401371408379E-2</v>
      </c>
      <c r="AF915">
        <f>Q915/G915</f>
        <v>6.4240348716334827E-3</v>
      </c>
      <c r="AG915">
        <f>Q915/K915</f>
        <v>7.9615401371408379E-2</v>
      </c>
      <c r="AH915">
        <f>Q915/L915</f>
        <v>0.18308648148148149</v>
      </c>
      <c r="AI915" s="1">
        <f>R915</f>
        <v>2.2000000000000002</v>
      </c>
      <c r="AJ915" s="1">
        <f>P915</f>
        <v>-272616685</v>
      </c>
    </row>
    <row r="916" spans="1:36" x14ac:dyDescent="0.25">
      <c r="A916" t="s">
        <v>91</v>
      </c>
      <c r="B916">
        <v>2022</v>
      </c>
      <c r="C916" s="1">
        <v>20065585</v>
      </c>
      <c r="D916" s="1">
        <f>2341477+25000</f>
        <v>2366477</v>
      </c>
      <c r="E916" s="1">
        <v>2341477</v>
      </c>
      <c r="G916" s="1">
        <v>309243477</v>
      </c>
      <c r="H916" s="1">
        <v>265771602</v>
      </c>
      <c r="I916" s="1">
        <v>25031532</v>
      </c>
      <c r="J916" s="1">
        <v>23935573</v>
      </c>
      <c r="K916" s="1">
        <v>23935573</v>
      </c>
      <c r="L916" s="1">
        <v>10050000</v>
      </c>
      <c r="M916" s="1">
        <v>0</v>
      </c>
      <c r="N916" s="1">
        <v>285307904</v>
      </c>
      <c r="O916" s="1">
        <v>285307904</v>
      </c>
      <c r="P916" s="1">
        <v>-270275208</v>
      </c>
      <c r="Q916" s="1">
        <v>365575</v>
      </c>
      <c r="R916" s="1">
        <v>1.7</v>
      </c>
      <c r="T916">
        <f>E916/G916</f>
        <v>7.5716293928489234E-3</v>
      </c>
      <c r="U916">
        <f>D916/C916</f>
        <v>0.11793710474925102</v>
      </c>
      <c r="V916">
        <f>(E916-F916)/O916</f>
        <v>8.2068423873738871E-3</v>
      </c>
      <c r="W916">
        <f>H916/K916</f>
        <v>11.10362396588542</v>
      </c>
      <c r="X916">
        <f>(H916-I916)/K916</f>
        <v>10.057836091912234</v>
      </c>
      <c r="Y916">
        <f>(H916-K916)/G916</f>
        <v>0.78202467307014534</v>
      </c>
      <c r="Z916">
        <f>J916/N916</f>
        <v>8.3893830715604717E-2</v>
      </c>
      <c r="AA916">
        <f>J916/G916</f>
        <v>7.7400413525941569E-2</v>
      </c>
      <c r="AB916">
        <f>C916/G916</f>
        <v>6.4886041234104991E-2</v>
      </c>
      <c r="AC916">
        <f>C916/(G916-K916)</f>
        <v>7.0329579793204741E-2</v>
      </c>
      <c r="AD916">
        <f>Q916/E916</f>
        <v>0.15613008370357684</v>
      </c>
      <c r="AE916">
        <f>Q916/J916</f>
        <v>1.5273292183145146E-2</v>
      </c>
      <c r="AF916">
        <f>Q916/G916</f>
        <v>1.1821591308779651E-3</v>
      </c>
      <c r="AG916">
        <f>Q916/K916</f>
        <v>1.5273292183145146E-2</v>
      </c>
      <c r="AH916">
        <f>Q916/L916</f>
        <v>3.6375621890547265E-2</v>
      </c>
      <c r="AI916" s="1">
        <f>R916</f>
        <v>1.7</v>
      </c>
      <c r="AJ916" s="1">
        <f>P916</f>
        <v>-270275208</v>
      </c>
    </row>
    <row r="917" spans="1:36" x14ac:dyDescent="0.25">
      <c r="A917" t="s">
        <v>91</v>
      </c>
      <c r="B917">
        <v>2023</v>
      </c>
      <c r="C917" s="1">
        <v>16070000</v>
      </c>
      <c r="D917" s="1">
        <f>903122+31280</f>
        <v>934402</v>
      </c>
      <c r="E917" s="1">
        <v>903122</v>
      </c>
      <c r="G917" s="1">
        <v>309296600</v>
      </c>
      <c r="H917" s="1">
        <v>267273790</v>
      </c>
      <c r="I917" s="1">
        <v>23320704</v>
      </c>
      <c r="J917" s="1">
        <v>22849090</v>
      </c>
      <c r="K917" s="1">
        <v>22849090</v>
      </c>
      <c r="L917" s="1">
        <v>8950000</v>
      </c>
      <c r="M917" s="1">
        <v>0</v>
      </c>
      <c r="N917" s="1">
        <v>286447510</v>
      </c>
      <c r="O917" s="1">
        <v>286447510</v>
      </c>
      <c r="P917" s="1">
        <v>-269135602</v>
      </c>
      <c r="Q917" s="1">
        <v>632203</v>
      </c>
      <c r="R917" s="1">
        <v>2.2000000000000002</v>
      </c>
      <c r="T917">
        <f>E917/G917</f>
        <v>2.919922171792383E-3</v>
      </c>
      <c r="U917">
        <f>D917/C917</f>
        <v>5.8145737398879897E-2</v>
      </c>
      <c r="V917">
        <f>(E917-F917)/O917</f>
        <v>3.1528359244595984E-3</v>
      </c>
      <c r="W917">
        <f>H917/K917</f>
        <v>11.697349434922792</v>
      </c>
      <c r="X917">
        <f>(H917-I917)/K917</f>
        <v>10.676709050557374</v>
      </c>
      <c r="Y917">
        <f>(H917-K917)/G917</f>
        <v>0.79025989939753627</v>
      </c>
      <c r="Z917">
        <f>J917/N917</f>
        <v>7.9767109862466601E-2</v>
      </c>
      <c r="AA917">
        <f>J917/G917</f>
        <v>7.3874365253287624E-2</v>
      </c>
      <c r="AB917">
        <f>C917/G917</f>
        <v>5.195660088083736E-2</v>
      </c>
      <c r="AC917">
        <f>C917/(G917-K917)</f>
        <v>5.6101028771379444E-2</v>
      </c>
      <c r="AD917">
        <f>Q917/E917</f>
        <v>0.70001948795400848</v>
      </c>
      <c r="AE917">
        <f>Q917/J917</f>
        <v>2.7668629253944029E-2</v>
      </c>
      <c r="AF917">
        <f>Q917/G917</f>
        <v>2.0440024235636603E-3</v>
      </c>
      <c r="AG917">
        <f>Q917/K917</f>
        <v>2.7668629253944029E-2</v>
      </c>
      <c r="AH917">
        <f>Q917/L917</f>
        <v>7.0637206703910618E-2</v>
      </c>
      <c r="AI917" s="1">
        <f>R917</f>
        <v>2.2000000000000002</v>
      </c>
      <c r="AJ917" s="1">
        <f>P917</f>
        <v>-269135602</v>
      </c>
    </row>
    <row r="918" spans="1:36" s="8" customFormat="1" x14ac:dyDescent="0.25">
      <c r="A918" s="8" t="s">
        <v>91</v>
      </c>
      <c r="B918" s="8">
        <v>2024</v>
      </c>
      <c r="C918" s="9">
        <v>20656000</v>
      </c>
      <c r="D918" s="9">
        <f>2760587+29200</f>
        <v>2789787</v>
      </c>
      <c r="E918" s="9">
        <v>2760587</v>
      </c>
      <c r="F918" s="9"/>
      <c r="G918" s="9">
        <v>301538305</v>
      </c>
      <c r="H918" s="9">
        <v>260964559</v>
      </c>
      <c r="I918" s="9">
        <v>19022780</v>
      </c>
      <c r="J918" s="9">
        <v>12655556</v>
      </c>
      <c r="K918" s="9">
        <v>12655556</v>
      </c>
      <c r="L918" s="9">
        <v>8500000</v>
      </c>
      <c r="M918" s="9">
        <v>0</v>
      </c>
      <c r="N918" s="9">
        <v>288882749</v>
      </c>
      <c r="O918" s="9">
        <v>288882749</v>
      </c>
      <c r="P918" s="9">
        <v>-266700363</v>
      </c>
      <c r="Q918" s="9">
        <v>2453598</v>
      </c>
      <c r="R918" s="9">
        <v>1.9</v>
      </c>
      <c r="T918" s="8">
        <f>E918/G918</f>
        <v>9.1550126608292773E-3</v>
      </c>
      <c r="U918" s="8">
        <f>D918/C918</f>
        <v>0.13505940162664601</v>
      </c>
      <c r="V918" s="8">
        <f>(E918-F918)/O918</f>
        <v>9.5560811767268251E-3</v>
      </c>
      <c r="W918" s="8">
        <f>H918/K918</f>
        <v>20.620552664774269</v>
      </c>
      <c r="X918" s="8">
        <f>(H918-I918)/K918</f>
        <v>19.117435772873193</v>
      </c>
      <c r="Y918" s="8">
        <f>(H918-K918)/G918</f>
        <v>0.8234741619311019</v>
      </c>
      <c r="Z918" s="8">
        <f>J918/N918</f>
        <v>4.3808624931078871E-2</v>
      </c>
      <c r="AA918" s="8">
        <f>J918/G918</f>
        <v>4.1969977910434962E-2</v>
      </c>
      <c r="AB918" s="8">
        <f>C918/G918</f>
        <v>6.8502076377991175E-2</v>
      </c>
      <c r="AC918" s="8">
        <f>C918/(G918-K918)</f>
        <v>7.1503058149034709E-2</v>
      </c>
      <c r="AD918" s="8">
        <f>Q918/E918</f>
        <v>0.88879575249756659</v>
      </c>
      <c r="AE918" s="8">
        <f>Q918/J918</f>
        <v>0.19387516439419966</v>
      </c>
      <c r="AF918" s="8">
        <f>Q918/G918</f>
        <v>8.1369363670065076E-3</v>
      </c>
      <c r="AG918" s="8">
        <f>Q918/K918</f>
        <v>0.19387516439419966</v>
      </c>
      <c r="AH918" s="8">
        <f>Q918/L918</f>
        <v>0.28865858823529411</v>
      </c>
      <c r="AI918" s="9">
        <f>R918</f>
        <v>1.9</v>
      </c>
      <c r="AJ918" s="9">
        <f>P918</f>
        <v>-266700363</v>
      </c>
    </row>
    <row r="919" spans="1:36" x14ac:dyDescent="0.25">
      <c r="A919" s="15" t="s">
        <v>149</v>
      </c>
      <c r="B919" s="15">
        <v>2018</v>
      </c>
      <c r="C919" s="6">
        <v>109956897</v>
      </c>
      <c r="D919" s="6">
        <v>8507674</v>
      </c>
      <c r="E919" s="6">
        <v>6250290</v>
      </c>
      <c r="F919" s="6"/>
      <c r="G919" s="6">
        <v>210543274</v>
      </c>
      <c r="H919" s="6">
        <v>65861567</v>
      </c>
      <c r="I919" s="6">
        <v>8906922</v>
      </c>
      <c r="J919" s="6">
        <v>92560807</v>
      </c>
      <c r="K919" s="6">
        <v>56596442</v>
      </c>
      <c r="L919" s="6">
        <v>31264532</v>
      </c>
      <c r="M919" s="6">
        <v>23355824</v>
      </c>
      <c r="N919" s="6">
        <v>75676213</v>
      </c>
      <c r="O919" s="6">
        <v>117982467</v>
      </c>
      <c r="P919" s="6">
        <v>-27884443</v>
      </c>
      <c r="Q919" s="6">
        <v>4807816</v>
      </c>
      <c r="R919" s="6">
        <v>58.1</v>
      </c>
      <c r="S919" s="15"/>
      <c r="T919" s="15">
        <f>E919/G919</f>
        <v>2.9686486209006137E-2</v>
      </c>
      <c r="U919" s="15">
        <f>D919/C919</f>
        <v>7.7372809092639272E-2</v>
      </c>
      <c r="V919" s="15">
        <f>(E919-F919)/O919</f>
        <v>5.2976430811537446E-2</v>
      </c>
      <c r="W919" s="15">
        <f>H919/K919</f>
        <v>1.1637050788457692</v>
      </c>
      <c r="X919" s="15">
        <f>(H919-I919)/K919</f>
        <v>1.006329072771041</v>
      </c>
      <c r="Y919" s="15">
        <f>(H919-K919)/G919</f>
        <v>4.4005799016880488E-2</v>
      </c>
      <c r="Z919" s="15">
        <f>J919/N919</f>
        <v>1.2231162650805478</v>
      </c>
      <c r="AA919" s="15">
        <f>J919/G919</f>
        <v>0.43962842052128437</v>
      </c>
      <c r="AB919" s="15">
        <f>C919/G919</f>
        <v>0.52225319247196655</v>
      </c>
      <c r="AC919" s="15">
        <f>C919/(G919-K919)</f>
        <v>0.71425241800363903</v>
      </c>
      <c r="AD919" s="15">
        <f>Q919/E919</f>
        <v>0.76921486843010489</v>
      </c>
      <c r="AE919" s="15">
        <f>Q919/J919</f>
        <v>5.1942243761984488E-2</v>
      </c>
      <c r="AF919" s="15">
        <f>Q919/G919</f>
        <v>2.2835286583412776E-2</v>
      </c>
      <c r="AG919" s="15">
        <f>Q919/K919</f>
        <v>8.4949085668671542E-2</v>
      </c>
      <c r="AH919" s="15">
        <f>Q919/L919</f>
        <v>0.15377860125972781</v>
      </c>
      <c r="AI919" s="6">
        <f>R919</f>
        <v>58.1</v>
      </c>
      <c r="AJ919" s="6">
        <f>P919</f>
        <v>-27884443</v>
      </c>
    </row>
    <row r="920" spans="1:36" x14ac:dyDescent="0.25">
      <c r="A920" t="s">
        <v>149</v>
      </c>
      <c r="B920">
        <v>2019</v>
      </c>
      <c r="C920" s="1">
        <v>157482829</v>
      </c>
      <c r="D920" s="1">
        <v>16640215</v>
      </c>
      <c r="E920" s="1">
        <v>8874669</v>
      </c>
      <c r="G920" s="1">
        <v>243609911</v>
      </c>
      <c r="H920" s="1">
        <v>74101011</v>
      </c>
      <c r="I920" s="1">
        <v>9504943</v>
      </c>
      <c r="J920" s="1">
        <v>119023151</v>
      </c>
      <c r="K920" s="1">
        <v>71799180</v>
      </c>
      <c r="L920" s="1">
        <v>37455817</v>
      </c>
      <c r="M920" s="1">
        <v>32673679</v>
      </c>
      <c r="N920" s="1">
        <v>80226868</v>
      </c>
      <c r="O920" s="1">
        <v>124586760</v>
      </c>
      <c r="P920" s="1">
        <v>-22452538</v>
      </c>
      <c r="Q920" s="1">
        <v>12975595</v>
      </c>
      <c r="R920" s="1">
        <v>36</v>
      </c>
      <c r="T920">
        <f>E920/G920</f>
        <v>3.6429835566090737E-2</v>
      </c>
      <c r="U920">
        <f>D920/C920</f>
        <v>0.10566367841918817</v>
      </c>
      <c r="V920">
        <f>(E920-F920)/O920</f>
        <v>7.1232842077280117E-2</v>
      </c>
      <c r="W920">
        <f>H920/K920</f>
        <v>1.0320592937133823</v>
      </c>
      <c r="X920">
        <f>(H920-I920)/K920</f>
        <v>0.89967696009898723</v>
      </c>
      <c r="Y920">
        <f>(H920-K920)/G920</f>
        <v>9.4488397066899293E-3</v>
      </c>
      <c r="Z920">
        <f>J920/N920</f>
        <v>1.4835821710003687</v>
      </c>
      <c r="AA920">
        <f>J920/G920</f>
        <v>0.48858090588933389</v>
      </c>
      <c r="AB920">
        <f>C920/G920</f>
        <v>0.64645493425758038</v>
      </c>
      <c r="AC920">
        <f>C920/(G920-K920)</f>
        <v>0.91660647785731153</v>
      </c>
      <c r="AD920">
        <f>Q920/E920</f>
        <v>1.4620934031455144</v>
      </c>
      <c r="AE920">
        <f>Q920/J920</f>
        <v>0.10901740452157917</v>
      </c>
      <c r="AF920">
        <f>Q920/G920</f>
        <v>5.3263822258857112E-2</v>
      </c>
      <c r="AG920">
        <f>Q920/K920</f>
        <v>0.18072065725541711</v>
      </c>
      <c r="AH920">
        <f>Q920/L920</f>
        <v>0.3464240280755323</v>
      </c>
      <c r="AI920" s="1">
        <f>R920</f>
        <v>36</v>
      </c>
      <c r="AJ920" s="1">
        <f>P920</f>
        <v>-22452538</v>
      </c>
    </row>
    <row r="921" spans="1:36" x14ac:dyDescent="0.25">
      <c r="A921" t="s">
        <v>149</v>
      </c>
      <c r="B921">
        <v>2020</v>
      </c>
      <c r="C921" s="1">
        <v>154475213</v>
      </c>
      <c r="D921" s="1">
        <v>13689487</v>
      </c>
      <c r="E921" s="1">
        <v>4424958</v>
      </c>
      <c r="G921" s="1">
        <v>253206563</v>
      </c>
      <c r="H921" s="1">
        <v>61633294</v>
      </c>
      <c r="I921" s="1">
        <v>9995727</v>
      </c>
      <c r="J921" s="1">
        <v>126449983</v>
      </c>
      <c r="K921" s="1">
        <v>64549503</v>
      </c>
      <c r="L921" s="1">
        <v>41894617</v>
      </c>
      <c r="M921" s="1">
        <v>37343635</v>
      </c>
      <c r="N921" s="1">
        <v>83674161</v>
      </c>
      <c r="O921" s="1">
        <v>126756580</v>
      </c>
      <c r="P921" s="1">
        <v>-22215182</v>
      </c>
      <c r="Q921" s="1">
        <v>7683733</v>
      </c>
      <c r="R921" s="1">
        <v>23.5</v>
      </c>
      <c r="T921">
        <f>E921/G921</f>
        <v>1.7475684467151826E-2</v>
      </c>
      <c r="U921">
        <f>D921/C921</f>
        <v>8.8619311371333082E-2</v>
      </c>
      <c r="V921">
        <f>(E921-F921)/O921</f>
        <v>3.4909098999042099E-2</v>
      </c>
      <c r="W921">
        <f>H921/K921</f>
        <v>0.95482213085358691</v>
      </c>
      <c r="X921">
        <f>(H921-I921)/K921</f>
        <v>0.79996846761159413</v>
      </c>
      <c r="Y921">
        <f>(H921-K921)/G921</f>
        <v>-1.1517114586006998E-2</v>
      </c>
      <c r="Z921">
        <f>J921/N921</f>
        <v>1.5112190129997241</v>
      </c>
      <c r="AA921">
        <f>J921/G921</f>
        <v>0.4993945713800475</v>
      </c>
      <c r="AB921">
        <f>C921/G921</f>
        <v>0.61007586521365165</v>
      </c>
      <c r="AC921">
        <f>C921/(G921-K921)</f>
        <v>0.81881490679437074</v>
      </c>
      <c r="AD921">
        <f>Q921/E921</f>
        <v>1.7364533177490047</v>
      </c>
      <c r="AE921">
        <f>Q921/J921</f>
        <v>6.0764998283945992E-2</v>
      </c>
      <c r="AF921">
        <f>Q921/G921</f>
        <v>3.0345710272920531E-2</v>
      </c>
      <c r="AG921">
        <f>Q921/K921</f>
        <v>0.11903628444668272</v>
      </c>
      <c r="AH921">
        <f>Q921/L921</f>
        <v>0.18340621182907579</v>
      </c>
      <c r="AI921" s="1">
        <f>R921</f>
        <v>23.5</v>
      </c>
      <c r="AJ921" s="1">
        <f>P921</f>
        <v>-22215182</v>
      </c>
    </row>
    <row r="922" spans="1:36" x14ac:dyDescent="0.25">
      <c r="A922" t="s">
        <v>149</v>
      </c>
      <c r="B922">
        <v>2021</v>
      </c>
      <c r="C922" s="1">
        <v>143900934</v>
      </c>
      <c r="D922" s="1">
        <v>11604133</v>
      </c>
      <c r="E922" s="1">
        <v>2493569</v>
      </c>
      <c r="G922" s="1">
        <v>259664420</v>
      </c>
      <c r="H922" s="1">
        <v>67507092</v>
      </c>
      <c r="I922" s="1">
        <v>9425707</v>
      </c>
      <c r="J922" s="1">
        <v>135991869</v>
      </c>
      <c r="K922" s="1">
        <v>67300269</v>
      </c>
      <c r="L922" s="1">
        <v>46511441</v>
      </c>
      <c r="M922" s="1">
        <v>41262567</v>
      </c>
      <c r="N922" s="1">
        <v>83651775</v>
      </c>
      <c r="O922" s="1">
        <v>123672551</v>
      </c>
      <c r="P922" s="1">
        <v>-21461330</v>
      </c>
      <c r="Q922" s="1">
        <v>16625773</v>
      </c>
      <c r="R922" s="1">
        <v>44</v>
      </c>
      <c r="T922">
        <f>E922/G922</f>
        <v>9.6030445757643648E-3</v>
      </c>
      <c r="U922">
        <f>D922/C922</f>
        <v>8.0639733721255769E-2</v>
      </c>
      <c r="V922">
        <f>(E922-F922)/O922</f>
        <v>2.0162671343295895E-2</v>
      </c>
      <c r="W922">
        <f>H922/K922</f>
        <v>1.0030731377908757</v>
      </c>
      <c r="X922">
        <f>(H922-I922)/K922</f>
        <v>0.8630186158691282</v>
      </c>
      <c r="Y922">
        <f>(H922-K922)/G922</f>
        <v>7.9650111478499826E-4</v>
      </c>
      <c r="Z922">
        <f>J922/N922</f>
        <v>1.6256901781223412</v>
      </c>
      <c r="AA922">
        <f>J922/G922</f>
        <v>0.52372161345786228</v>
      </c>
      <c r="AB922">
        <f>C922/G922</f>
        <v>0.55418040715782313</v>
      </c>
      <c r="AC922">
        <f>C922/(G922-K922)</f>
        <v>0.74806523591809992</v>
      </c>
      <c r="AD922">
        <f>Q922/E922</f>
        <v>6.6674605755846343</v>
      </c>
      <c r="AE922">
        <f>Q922/J922</f>
        <v>0.12225564015154465</v>
      </c>
      <c r="AF922">
        <f>Q922/G922</f>
        <v>6.4027921114490766E-2</v>
      </c>
      <c r="AG922">
        <f>Q922/K922</f>
        <v>0.2470387302612416</v>
      </c>
      <c r="AH922">
        <f>Q922/L922</f>
        <v>0.35745555593515155</v>
      </c>
      <c r="AI922" s="1">
        <f>R922</f>
        <v>44</v>
      </c>
      <c r="AJ922" s="1">
        <f>P922</f>
        <v>-21461330</v>
      </c>
    </row>
    <row r="923" spans="1:36" x14ac:dyDescent="0.25">
      <c r="A923" t="s">
        <v>149</v>
      </c>
      <c r="B923">
        <v>2022</v>
      </c>
      <c r="C923" s="1">
        <v>182989902</v>
      </c>
      <c r="D923" s="1">
        <v>22651299</v>
      </c>
      <c r="E923" s="1">
        <v>17634728</v>
      </c>
      <c r="G923" s="1">
        <v>311947243</v>
      </c>
      <c r="H923" s="1">
        <v>96290156</v>
      </c>
      <c r="I923" s="1">
        <v>9708008</v>
      </c>
      <c r="J923" s="1">
        <v>175614198</v>
      </c>
      <c r="K923" s="1">
        <v>90585010</v>
      </c>
      <c r="L923" s="1">
        <v>60967666</v>
      </c>
      <c r="M923" s="1">
        <v>51767396</v>
      </c>
      <c r="N923" s="1">
        <v>87312572</v>
      </c>
      <c r="O923" s="1">
        <v>136333046</v>
      </c>
      <c r="P923" s="1">
        <v>-21472548</v>
      </c>
      <c r="Q923" s="1">
        <v>39735217</v>
      </c>
      <c r="R923" s="1">
        <v>41.1</v>
      </c>
      <c r="T923">
        <f>E923/G923</f>
        <v>5.6531123116866269E-2</v>
      </c>
      <c r="U923">
        <f>D923/C923</f>
        <v>0.12378442062884978</v>
      </c>
      <c r="V923">
        <f>(E923-F923)/O923</f>
        <v>0.12935035574573753</v>
      </c>
      <c r="W923">
        <f>H923/K923</f>
        <v>1.0629811267890792</v>
      </c>
      <c r="X923">
        <f>(H923-I923)/K923</f>
        <v>0.95581098903670703</v>
      </c>
      <c r="Y923">
        <f>(H923-K923)/G923</f>
        <v>1.8288816868947292E-2</v>
      </c>
      <c r="Z923">
        <f>J923/N923</f>
        <v>2.0113277386903685</v>
      </c>
      <c r="AA923">
        <f>J923/G923</f>
        <v>0.56296121200212046</v>
      </c>
      <c r="AB923">
        <f>C923/G923</f>
        <v>0.58660528697155367</v>
      </c>
      <c r="AC923">
        <f>C923/(G923-K923)</f>
        <v>0.82665366860479761</v>
      </c>
      <c r="AD923">
        <f>Q923/E923</f>
        <v>2.2532367383267835</v>
      </c>
      <c r="AE923">
        <f>Q923/J923</f>
        <v>0.22626426252847734</v>
      </c>
      <c r="AF923">
        <f>Q923/G923</f>
        <v>0.12737800346579758</v>
      </c>
      <c r="AG923">
        <f>Q923/K923</f>
        <v>0.43865113002692169</v>
      </c>
      <c r="AH923">
        <f>Q923/L923</f>
        <v>0.65174246624432042</v>
      </c>
      <c r="AI923" s="1">
        <f>R923</f>
        <v>41.1</v>
      </c>
      <c r="AJ923" s="1">
        <f>P923</f>
        <v>-21472548</v>
      </c>
    </row>
    <row r="924" spans="1:36" x14ac:dyDescent="0.25">
      <c r="A924" t="s">
        <v>149</v>
      </c>
      <c r="B924">
        <v>2023</v>
      </c>
      <c r="C924" s="1">
        <v>247261233</v>
      </c>
      <c r="D924" s="1">
        <v>47885309</v>
      </c>
      <c r="E924" s="1">
        <v>22967910</v>
      </c>
      <c r="G924" s="1">
        <v>335436412</v>
      </c>
      <c r="H924" s="1">
        <v>105937661</v>
      </c>
      <c r="I924" s="1">
        <v>15122194</v>
      </c>
      <c r="J924" s="1">
        <v>184644085</v>
      </c>
      <c r="K924" s="1">
        <v>94020884</v>
      </c>
      <c r="L924" s="1">
        <v>59454052</v>
      </c>
      <c r="M924" s="1">
        <v>49366434</v>
      </c>
      <c r="N924" s="1">
        <v>98456468</v>
      </c>
      <c r="O924" s="1">
        <v>150792327</v>
      </c>
      <c r="P924" s="1">
        <v>-14517121</v>
      </c>
      <c r="Q924" s="1">
        <v>18110399</v>
      </c>
      <c r="R924" s="1">
        <v>54.8</v>
      </c>
      <c r="T924">
        <f>E924/G924</f>
        <v>6.8471725723085783E-2</v>
      </c>
      <c r="U924">
        <f>D924/C924</f>
        <v>0.19366282542156538</v>
      </c>
      <c r="V924">
        <f>(E924-F924)/O924</f>
        <v>0.15231484556903216</v>
      </c>
      <c r="W924">
        <f>H924/K924</f>
        <v>1.1267460642042038</v>
      </c>
      <c r="X924">
        <f>(H924-I924)/K924</f>
        <v>0.96590739351057364</v>
      </c>
      <c r="Y924">
        <f>(H924-K924)/G924</f>
        <v>3.5526187896381387E-2</v>
      </c>
      <c r="Z924">
        <f>J924/N924</f>
        <v>1.8753880649060048</v>
      </c>
      <c r="AA924">
        <f>J924/G924</f>
        <v>0.55045927750980117</v>
      </c>
      <c r="AB924">
        <f>C924/G924</f>
        <v>0.73713295323466554</v>
      </c>
      <c r="AC924">
        <f>C924/(G924-K924)</f>
        <v>1.0242142874918965</v>
      </c>
      <c r="AD924">
        <f>Q924/E924</f>
        <v>0.7885087933555992</v>
      </c>
      <c r="AE924">
        <f>Q924/J924</f>
        <v>9.8082746598679285E-2</v>
      </c>
      <c r="AF924">
        <f>Q924/G924</f>
        <v>5.3990557828885913E-2</v>
      </c>
      <c r="AG924">
        <f>Q924/K924</f>
        <v>0.19262102449494092</v>
      </c>
      <c r="AH924">
        <f>Q924/L924</f>
        <v>0.30461168567619246</v>
      </c>
      <c r="AI924" s="1">
        <f>R924</f>
        <v>54.8</v>
      </c>
      <c r="AJ924" s="1">
        <f>P924</f>
        <v>-14517121</v>
      </c>
    </row>
    <row r="925" spans="1:36" s="8" customFormat="1" x14ac:dyDescent="0.25">
      <c r="A925" s="8" t="s">
        <v>149</v>
      </c>
      <c r="B925" s="8">
        <v>2024</v>
      </c>
      <c r="C925" s="9">
        <v>235686109</v>
      </c>
      <c r="D925" s="9">
        <v>38812079</v>
      </c>
      <c r="E925" s="9">
        <v>12717852</v>
      </c>
      <c r="F925" s="9"/>
      <c r="G925" s="9">
        <v>360189080</v>
      </c>
      <c r="H925" s="9">
        <v>100364375</v>
      </c>
      <c r="I925" s="9">
        <v>14127914</v>
      </c>
      <c r="J925" s="9">
        <v>184875467</v>
      </c>
      <c r="K925" s="9">
        <v>98556249</v>
      </c>
      <c r="L925" s="9">
        <v>50151560</v>
      </c>
      <c r="M925" s="9">
        <v>40618111</v>
      </c>
      <c r="N925" s="9">
        <v>115343192</v>
      </c>
      <c r="O925" s="9">
        <v>175313613</v>
      </c>
      <c r="P925" s="9">
        <v>-15090850</v>
      </c>
      <c r="Q925" s="9">
        <v>20355067</v>
      </c>
      <c r="R925" s="9">
        <v>88</v>
      </c>
      <c r="T925" s="8">
        <f>E925/G925</f>
        <v>3.530882168887519E-2</v>
      </c>
      <c r="U925" s="8">
        <f>D925/C925</f>
        <v>0.16467698993664492</v>
      </c>
      <c r="V925" s="8">
        <f>(E925-F925)/O925</f>
        <v>7.2543436772362913E-2</v>
      </c>
      <c r="W925" s="8">
        <f>H925/K925</f>
        <v>1.0183461324710115</v>
      </c>
      <c r="X925" s="8">
        <f>(H925-I925)/K925</f>
        <v>0.87499739362036799</v>
      </c>
      <c r="Y925" s="8">
        <f>(H925-K925)/G925</f>
        <v>5.0199356404697221E-3</v>
      </c>
      <c r="Z925" s="8">
        <f>J925/N925</f>
        <v>1.602829467386337</v>
      </c>
      <c r="AA925" s="8">
        <f>J925/G925</f>
        <v>0.51327338130295341</v>
      </c>
      <c r="AB925" s="8">
        <f>C925/G925</f>
        <v>0.65433996222206403</v>
      </c>
      <c r="AC925" s="8">
        <f>C925/(G925-K925)</f>
        <v>0.90082772907043918</v>
      </c>
      <c r="AD925" s="8">
        <f>Q925/E925</f>
        <v>1.600511391389049</v>
      </c>
      <c r="AE925" s="8">
        <f>Q925/J925</f>
        <v>0.11010150416550402</v>
      </c>
      <c r="AF925" s="8">
        <f>Q925/G925</f>
        <v>5.6512171329569455E-2</v>
      </c>
      <c r="AG925" s="8">
        <f>Q925/K925</f>
        <v>0.2065324848148391</v>
      </c>
      <c r="AH925" s="8">
        <f>Q925/L925</f>
        <v>0.40587106363191894</v>
      </c>
      <c r="AI925" s="9">
        <f>R925</f>
        <v>88</v>
      </c>
      <c r="AJ925" s="9">
        <f>P925</f>
        <v>-15090850</v>
      </c>
    </row>
    <row r="926" spans="1:36" x14ac:dyDescent="0.25">
      <c r="A926" s="15" t="s">
        <v>96</v>
      </c>
      <c r="B926" s="15">
        <v>2018</v>
      </c>
      <c r="C926" s="6">
        <v>57686803</v>
      </c>
      <c r="D926" s="6">
        <f>-49045+974034</f>
        <v>924989</v>
      </c>
      <c r="E926" s="6">
        <v>-679516</v>
      </c>
      <c r="F926" s="6"/>
      <c r="G926" s="6">
        <v>46089125</v>
      </c>
      <c r="H926" s="6">
        <v>20921177</v>
      </c>
      <c r="I926" s="6">
        <v>11524663</v>
      </c>
      <c r="J926" s="6">
        <f>G926-O926</f>
        <v>29052155</v>
      </c>
      <c r="K926" s="6">
        <v>22372844</v>
      </c>
      <c r="L926" s="6">
        <v>16706671</v>
      </c>
      <c r="M926" s="6">
        <v>3286112</v>
      </c>
      <c r="N926" s="6">
        <v>17036970</v>
      </c>
      <c r="O926" s="6">
        <v>17036970</v>
      </c>
      <c r="P926" s="6">
        <v>-1765160</v>
      </c>
      <c r="Q926" s="6">
        <v>4235513</v>
      </c>
      <c r="R926" s="6">
        <v>12.5</v>
      </c>
      <c r="S926" s="15"/>
      <c r="T926" s="15">
        <f>E926/G926</f>
        <v>-1.4743521383840549E-2</v>
      </c>
      <c r="U926" s="15">
        <f>D926/C926</f>
        <v>1.6034672609608822E-2</v>
      </c>
      <c r="V926" s="15">
        <f>(E926-F926)/O926</f>
        <v>-3.9884791720593511E-2</v>
      </c>
      <c r="W926" s="15">
        <f>H926/K926</f>
        <v>0.93511477575224677</v>
      </c>
      <c r="X926" s="15">
        <f>(H926-I926)/K926</f>
        <v>0.4199964027818725</v>
      </c>
      <c r="Y926" s="15">
        <f>(H926-K926)/G926</f>
        <v>-3.1496952914597531E-2</v>
      </c>
      <c r="Z926" s="15">
        <f>J926/N926</f>
        <v>1.7052418945387589</v>
      </c>
      <c r="AA926" s="15">
        <f>J926/G926</f>
        <v>0.63034728908392168</v>
      </c>
      <c r="AB926" s="15">
        <f>C926/G926</f>
        <v>1.2516358902452585</v>
      </c>
      <c r="AC926" s="15">
        <f>C926/(G926-K926)</f>
        <v>2.4323713739097625</v>
      </c>
      <c r="AD926" s="15">
        <f>Q926/E926</f>
        <v>-6.2331321116794891</v>
      </c>
      <c r="AE926" s="15">
        <f>Q926/J926</f>
        <v>0.14578997668159213</v>
      </c>
      <c r="AF926" s="15">
        <f>Q926/G926</f>
        <v>9.1898316576849742E-2</v>
      </c>
      <c r="AG926" s="15">
        <f>Q926/K926</f>
        <v>0.18931491231065661</v>
      </c>
      <c r="AH926" s="15">
        <f>Q926/L926</f>
        <v>0.25352226065863154</v>
      </c>
      <c r="AI926" s="6">
        <f>R926</f>
        <v>12.5</v>
      </c>
      <c r="AJ926" s="6">
        <f>P926</f>
        <v>-1765160</v>
      </c>
    </row>
    <row r="927" spans="1:36" x14ac:dyDescent="0.25">
      <c r="A927" t="s">
        <v>96</v>
      </c>
      <c r="B927">
        <v>2019</v>
      </c>
      <c r="C927" s="1">
        <v>69940639</v>
      </c>
      <c r="D927" s="1">
        <f>1848868+892404</f>
        <v>2741272</v>
      </c>
      <c r="E927" s="1">
        <v>1058335</v>
      </c>
      <c r="G927" s="1">
        <v>47609541</v>
      </c>
      <c r="H927" s="1">
        <v>22725793</v>
      </c>
      <c r="I927" s="1">
        <v>13299520</v>
      </c>
      <c r="J927" s="1">
        <f>G927-O927</f>
        <v>29750316</v>
      </c>
      <c r="K927" s="1">
        <v>24393092</v>
      </c>
      <c r="L927" s="1">
        <v>15184841</v>
      </c>
      <c r="M927" s="1">
        <v>1054778</v>
      </c>
      <c r="N927" s="1">
        <v>17859225</v>
      </c>
      <c r="O927" s="1">
        <v>17859225</v>
      </c>
      <c r="P927" s="1">
        <v>-1117816</v>
      </c>
      <c r="Q927" s="1">
        <v>2927550</v>
      </c>
      <c r="R927" s="1">
        <v>8.5</v>
      </c>
      <c r="T927">
        <f>E927/G927</f>
        <v>2.222947286973424E-2</v>
      </c>
      <c r="U927">
        <f>D927/C927</f>
        <v>3.9194265868803403E-2</v>
      </c>
      <c r="V927">
        <f>(E927-F927)/O927</f>
        <v>5.925985030145485E-2</v>
      </c>
      <c r="W927">
        <f>H927/K927</f>
        <v>0.93164872251537445</v>
      </c>
      <c r="X927">
        <f>(H927-I927)/K927</f>
        <v>0.38643206855449075</v>
      </c>
      <c r="Y927">
        <f>(H927-K927)/G927</f>
        <v>-3.5020270411764733E-2</v>
      </c>
      <c r="Z927">
        <f>J927/N927</f>
        <v>1.6658234609844491</v>
      </c>
      <c r="AA927">
        <f>J927/G927</f>
        <v>0.62488138669515847</v>
      </c>
      <c r="AB927">
        <f>C927/G927</f>
        <v>1.4690466980137447</v>
      </c>
      <c r="AC927">
        <f>C927/(G927-K927)</f>
        <v>3.0125467938701567</v>
      </c>
      <c r="AD927">
        <f>Q927/E927</f>
        <v>2.7661846201817006</v>
      </c>
      <c r="AE927">
        <f>Q927/J927</f>
        <v>9.8403996784437522E-2</v>
      </c>
      <c r="AF927">
        <f>Q927/G927</f>
        <v>6.1490825967005225E-2</v>
      </c>
      <c r="AG927">
        <f>Q927/K927</f>
        <v>0.12001553554588323</v>
      </c>
      <c r="AH927">
        <f>Q927/L927</f>
        <v>0.19279424789498947</v>
      </c>
      <c r="AI927" s="1">
        <f>R927</f>
        <v>8.5</v>
      </c>
      <c r="AJ927" s="1">
        <f>P927</f>
        <v>-1117816</v>
      </c>
    </row>
    <row r="928" spans="1:36" x14ac:dyDescent="0.25">
      <c r="A928" t="s">
        <v>96</v>
      </c>
      <c r="B928">
        <v>2020</v>
      </c>
      <c r="C928" s="1">
        <v>67115723</v>
      </c>
      <c r="D928" s="1">
        <f>1668902+800428</f>
        <v>2469330</v>
      </c>
      <c r="E928" s="1">
        <v>1270611</v>
      </c>
      <c r="G928" s="1">
        <v>48937453</v>
      </c>
      <c r="H928" s="1">
        <v>23410426</v>
      </c>
      <c r="I928" s="1">
        <v>15263060</v>
      </c>
      <c r="J928" s="1">
        <f>G928-O928</f>
        <v>30531407</v>
      </c>
      <c r="K928" s="1">
        <v>24925772</v>
      </c>
      <c r="L928" s="1">
        <v>16771624</v>
      </c>
      <c r="M928" s="1">
        <v>700670</v>
      </c>
      <c r="N928" s="1">
        <v>18406046</v>
      </c>
      <c r="O928" s="1">
        <v>18406046</v>
      </c>
      <c r="P928" s="1">
        <v>-570995</v>
      </c>
      <c r="Q928" s="1">
        <v>2205200</v>
      </c>
      <c r="R928" s="1">
        <v>8.6999999999999993</v>
      </c>
      <c r="T928">
        <f>E928/G928</f>
        <v>2.5963978959019383E-2</v>
      </c>
      <c r="U928">
        <f>D928/C928</f>
        <v>3.6792123955812855E-2</v>
      </c>
      <c r="V928">
        <f>(E928-F928)/O928</f>
        <v>6.9032262551120424E-2</v>
      </c>
      <c r="W928">
        <f>H928/K928</f>
        <v>0.93920565429227232</v>
      </c>
      <c r="X928">
        <f>(H928-I928)/K928</f>
        <v>0.32686514182991</v>
      </c>
      <c r="Y928">
        <f>(H928-K928)/G928</f>
        <v>-3.0964954387797828E-2</v>
      </c>
      <c r="Z928">
        <f>J928/N928</f>
        <v>1.6587705474603291</v>
      </c>
      <c r="AA928">
        <f>J928/G928</f>
        <v>0.62388631055236976</v>
      </c>
      <c r="AB928">
        <f>C928/G928</f>
        <v>1.3714592584129788</v>
      </c>
      <c r="AC928">
        <f>C928/(G928-K928)</f>
        <v>2.7951280462205039</v>
      </c>
      <c r="AD928">
        <f>Q928/E928</f>
        <v>1.7355429789290349</v>
      </c>
      <c r="AE928">
        <f>Q928/J928</f>
        <v>7.2227264206985289E-2</v>
      </c>
      <c r="AF928">
        <f>Q928/G928</f>
        <v>4.5061601387387282E-2</v>
      </c>
      <c r="AG928">
        <f>Q928/K928</f>
        <v>8.8470680065596358E-2</v>
      </c>
      <c r="AH928">
        <f>Q928/L928</f>
        <v>0.13148398747789719</v>
      </c>
      <c r="AI928" s="1">
        <f>R928</f>
        <v>8.6999999999999993</v>
      </c>
      <c r="AJ928" s="1">
        <f>P928</f>
        <v>-570995</v>
      </c>
    </row>
    <row r="929" spans="1:36" x14ac:dyDescent="0.25">
      <c r="A929" t="s">
        <v>96</v>
      </c>
      <c r="B929">
        <v>2021</v>
      </c>
      <c r="C929" s="1">
        <v>77280698</v>
      </c>
      <c r="D929" s="1">
        <f>3822803+833673</f>
        <v>4656476</v>
      </c>
      <c r="E929" s="1">
        <v>3852439</v>
      </c>
      <c r="G929" s="1">
        <v>57945162</v>
      </c>
      <c r="H929" s="1">
        <v>28963558</v>
      </c>
      <c r="I929" s="1">
        <v>16569882</v>
      </c>
      <c r="J929" s="1">
        <f>G929-O929</f>
        <v>37019280</v>
      </c>
      <c r="K929" s="1">
        <v>28518996</v>
      </c>
      <c r="L929" s="1">
        <v>16568472</v>
      </c>
      <c r="M929" s="1">
        <v>3400544</v>
      </c>
      <c r="N929" s="1">
        <v>20925882</v>
      </c>
      <c r="O929" s="1">
        <v>20925882</v>
      </c>
      <c r="P929" s="1">
        <v>1948841</v>
      </c>
      <c r="Q929" s="1">
        <v>9166017</v>
      </c>
      <c r="R929" s="1">
        <v>14.1</v>
      </c>
      <c r="T929">
        <f>E929/G929</f>
        <v>6.6484221754354575E-2</v>
      </c>
      <c r="U929">
        <f>D929/C929</f>
        <v>6.0254062405078176E-2</v>
      </c>
      <c r="V929">
        <f>(E929-F929)/O929</f>
        <v>0.18409924131274372</v>
      </c>
      <c r="W929">
        <f>H929/K929</f>
        <v>1.0155882766700484</v>
      </c>
      <c r="X929">
        <f>(H929-I929)/K929</f>
        <v>0.43457616810914379</v>
      </c>
      <c r="Y929">
        <f>(H929-K929)/G929</f>
        <v>7.6721159222921838E-3</v>
      </c>
      <c r="Z929">
        <f>J929/N929</f>
        <v>1.7690666515275197</v>
      </c>
      <c r="AA929">
        <f>J929/G929</f>
        <v>0.6388674864693622</v>
      </c>
      <c r="AB929">
        <f>C929/G929</f>
        <v>1.333686805466175</v>
      </c>
      <c r="AC929">
        <f>C929/(G929-K929)</f>
        <v>2.6262578006254707</v>
      </c>
      <c r="AD929">
        <f>Q929/E929</f>
        <v>2.3792763493464788</v>
      </c>
      <c r="AE929">
        <f>Q929/J929</f>
        <v>0.24760116890441952</v>
      </c>
      <c r="AF929">
        <f>Q929/G929</f>
        <v>0.1581843364248425</v>
      </c>
      <c r="AG929">
        <f>Q929/K929</f>
        <v>0.32140040974794487</v>
      </c>
      <c r="AH929">
        <f>Q929/L929</f>
        <v>0.55322041767038022</v>
      </c>
      <c r="AI929" s="1">
        <f>R929</f>
        <v>14.1</v>
      </c>
      <c r="AJ929" s="1">
        <f>P929</f>
        <v>1948841</v>
      </c>
    </row>
    <row r="930" spans="1:36" x14ac:dyDescent="0.25">
      <c r="A930" t="s">
        <v>96</v>
      </c>
      <c r="B930">
        <v>2022</v>
      </c>
      <c r="C930" s="1">
        <v>150218687</v>
      </c>
      <c r="D930" s="1">
        <f>14976240-6643479</f>
        <v>8332761</v>
      </c>
      <c r="E930" s="1">
        <v>12777497</v>
      </c>
      <c r="G930" s="1">
        <v>122042621</v>
      </c>
      <c r="H930" s="1">
        <v>66147887</v>
      </c>
      <c r="I930" s="1">
        <v>36794317</v>
      </c>
      <c r="J930" s="1">
        <f>G930-O930</f>
        <v>91585693</v>
      </c>
      <c r="K930" s="1">
        <v>66993766</v>
      </c>
      <c r="L930" s="1">
        <v>43145665</v>
      </c>
      <c r="M930" s="1">
        <v>17445592</v>
      </c>
      <c r="N930" s="1">
        <v>30456928</v>
      </c>
      <c r="O930" s="1">
        <v>30456928</v>
      </c>
      <c r="P930" s="1">
        <v>12262705</v>
      </c>
      <c r="Q930" s="1">
        <v>7199560</v>
      </c>
      <c r="R930" s="1">
        <v>29.1</v>
      </c>
      <c r="T930">
        <f>E930/G930</f>
        <v>0.10469700581078147</v>
      </c>
      <c r="U930">
        <f>D930/C930</f>
        <v>5.5470868281520792E-2</v>
      </c>
      <c r="V930">
        <f>(E930-F930)/O930</f>
        <v>0.41952678221519912</v>
      </c>
      <c r="W930">
        <f>H930/K930</f>
        <v>0.98737376549334455</v>
      </c>
      <c r="X930">
        <f>(H930-I930)/K930</f>
        <v>0.43815375299247994</v>
      </c>
      <c r="Y930">
        <f>(H930-K930)/G930</f>
        <v>-6.9310130597736016E-3</v>
      </c>
      <c r="Z930">
        <f>J930/N930</f>
        <v>3.0070561614093188</v>
      </c>
      <c r="AA930">
        <f>J930/G930</f>
        <v>0.7504402334984267</v>
      </c>
      <c r="AB930">
        <f>C930/G930</f>
        <v>1.2308707054070889</v>
      </c>
      <c r="AC930">
        <f>C930/(G930-K930)</f>
        <v>2.7288249137970264</v>
      </c>
      <c r="AD930">
        <f>Q930/E930</f>
        <v>0.56345620742466229</v>
      </c>
      <c r="AE930">
        <f>Q930/J930</f>
        <v>7.8610094701145078E-2</v>
      </c>
      <c r="AF930">
        <f>Q930/G930</f>
        <v>5.8992177822860752E-2</v>
      </c>
      <c r="AG930">
        <f>Q930/K930</f>
        <v>0.10746611856392728</v>
      </c>
      <c r="AH930">
        <f>Q930/L930</f>
        <v>0.16686635841630904</v>
      </c>
      <c r="AI930" s="1">
        <f>R930</f>
        <v>29.1</v>
      </c>
      <c r="AJ930" s="1">
        <f>P930</f>
        <v>12262705</v>
      </c>
    </row>
    <row r="931" spans="1:36" x14ac:dyDescent="0.25">
      <c r="A931" t="s">
        <v>96</v>
      </c>
      <c r="B931">
        <v>2023</v>
      </c>
      <c r="C931" s="1">
        <v>166631461</v>
      </c>
      <c r="D931" s="1">
        <f>8382684+3096929</f>
        <v>11479613</v>
      </c>
      <c r="E931" s="1">
        <v>1133052</v>
      </c>
      <c r="G931" s="1">
        <v>118949509</v>
      </c>
      <c r="H931" s="1">
        <v>62308752</v>
      </c>
      <c r="I931" s="1">
        <v>36717196</v>
      </c>
      <c r="J931" s="1">
        <f>G931-O931</f>
        <v>90650830</v>
      </c>
      <c r="K931" s="1">
        <v>62222081</v>
      </c>
      <c r="L931" s="1">
        <v>42958647</v>
      </c>
      <c r="M931" s="1">
        <v>15870384</v>
      </c>
      <c r="N931" s="1">
        <v>28298679</v>
      </c>
      <c r="O931" s="1">
        <v>28298679</v>
      </c>
      <c r="P931" s="1">
        <v>10222123</v>
      </c>
      <c r="Q931" s="1">
        <v>1335906</v>
      </c>
      <c r="R931" s="1">
        <v>25.2</v>
      </c>
      <c r="T931">
        <f>E931/G931</f>
        <v>9.5254869862472485E-3</v>
      </c>
      <c r="U931">
        <f>D931/C931</f>
        <v>6.8892230381392389E-2</v>
      </c>
      <c r="V931">
        <f>(E931-F931)/O931</f>
        <v>4.0039042105110279E-2</v>
      </c>
      <c r="W931">
        <f>H931/K931</f>
        <v>1.0013929299471678</v>
      </c>
      <c r="X931">
        <f>(H931-I931)/K931</f>
        <v>0.4112937977757446</v>
      </c>
      <c r="Y931">
        <f>(H931-K931)/G931</f>
        <v>7.2863688743767744E-4</v>
      </c>
      <c r="Z931">
        <f>J931/N931</f>
        <v>3.2033590684568702</v>
      </c>
      <c r="AA931">
        <f>J931/G931</f>
        <v>0.76209503311190629</v>
      </c>
      <c r="AB931">
        <f>C931/G931</f>
        <v>1.4008587542803561</v>
      </c>
      <c r="AC931">
        <f>C931/(G931-K931)</f>
        <v>2.9374055351143364</v>
      </c>
      <c r="AD931">
        <f>Q931/E931</f>
        <v>1.1790332659048306</v>
      </c>
      <c r="AE931">
        <f>Q931/J931</f>
        <v>1.4736831422282619E-2</v>
      </c>
      <c r="AF931">
        <f>Q931/G931</f>
        <v>1.1230866030729056E-2</v>
      </c>
      <c r="AG931">
        <f>Q931/K931</f>
        <v>2.1469966586299162E-2</v>
      </c>
      <c r="AH931">
        <f>Q931/L931</f>
        <v>3.1097487777024261E-2</v>
      </c>
      <c r="AI931" s="1">
        <f>R931</f>
        <v>25.2</v>
      </c>
      <c r="AJ931" s="1">
        <f>P931</f>
        <v>10222123</v>
      </c>
    </row>
    <row r="932" spans="1:36" s="8" customFormat="1" x14ac:dyDescent="0.25">
      <c r="A932" s="8" t="s">
        <v>96</v>
      </c>
      <c r="B932" s="8">
        <v>2024</v>
      </c>
      <c r="C932" s="9">
        <v>155326820</v>
      </c>
      <c r="D932" s="9">
        <f>11747623+6116637</f>
        <v>17864260</v>
      </c>
      <c r="E932" s="9">
        <v>7864535</v>
      </c>
      <c r="F932" s="9"/>
      <c r="G932" s="9">
        <v>116267391</v>
      </c>
      <c r="H932" s="9">
        <v>59944726</v>
      </c>
      <c r="I932" s="9">
        <v>30414018</v>
      </c>
      <c r="J932" s="9">
        <f>G932-O932</f>
        <v>83458010</v>
      </c>
      <c r="K932" s="9">
        <v>53552683</v>
      </c>
      <c r="L932" s="9">
        <v>38384183</v>
      </c>
      <c r="M932" s="9">
        <v>17083235</v>
      </c>
      <c r="N932" s="9">
        <v>32809206</v>
      </c>
      <c r="O932" s="9">
        <v>32809381</v>
      </c>
      <c r="P932" s="9">
        <v>14732650</v>
      </c>
      <c r="Q932" s="9">
        <v>18991043</v>
      </c>
      <c r="R932" s="9">
        <v>41.1</v>
      </c>
      <c r="T932" s="8">
        <f>E932/G932</f>
        <v>6.7641794765997632E-2</v>
      </c>
      <c r="U932" s="8">
        <f>D932/C932</f>
        <v>0.11501078822060479</v>
      </c>
      <c r="V932" s="8">
        <f>(E932-F932)/O932</f>
        <v>0.23970385177336934</v>
      </c>
      <c r="W932" s="8">
        <f>H932/K932</f>
        <v>1.1193599020986493</v>
      </c>
      <c r="X932" s="8">
        <f>(H932-I932)/K932</f>
        <v>0.55143283857505332</v>
      </c>
      <c r="Y932" s="8">
        <f>(H932-K932)/G932</f>
        <v>5.4977091556135463E-2</v>
      </c>
      <c r="Z932" s="8">
        <f>J932/N932</f>
        <v>2.5437375717047219</v>
      </c>
      <c r="AA932" s="8">
        <f>J932/G932</f>
        <v>0.71781098106862995</v>
      </c>
      <c r="AB932" s="8">
        <f>C932/G932</f>
        <v>1.3359448308253516</v>
      </c>
      <c r="AC932" s="8">
        <f>C932/(G932-K932)</f>
        <v>2.4767207717845072</v>
      </c>
      <c r="AD932" s="8">
        <f>Q932/E932</f>
        <v>2.4147699768644935</v>
      </c>
      <c r="AE932" s="8">
        <f>Q932/J932</f>
        <v>0.22755207079584092</v>
      </c>
      <c r="AF932" s="8">
        <f>Q932/G932</f>
        <v>0.16333937518216093</v>
      </c>
      <c r="AG932" s="8">
        <f>Q932/K932</f>
        <v>0.35462355826317798</v>
      </c>
      <c r="AH932" s="8">
        <f>Q932/L932</f>
        <v>0.49476220452575481</v>
      </c>
      <c r="AI932" s="9">
        <f>R932</f>
        <v>41.1</v>
      </c>
      <c r="AJ932" s="9">
        <f>P932</f>
        <v>14732650</v>
      </c>
    </row>
    <row r="933" spans="1:36" x14ac:dyDescent="0.25">
      <c r="A933" s="15" t="s">
        <v>151</v>
      </c>
      <c r="B933" s="15">
        <v>2018</v>
      </c>
      <c r="C933" s="6">
        <v>972550.11300000001</v>
      </c>
      <c r="D933" s="6">
        <v>-84221.463000000003</v>
      </c>
      <c r="E933" s="6">
        <v>-102683.308</v>
      </c>
      <c r="F933" s="6">
        <v>0</v>
      </c>
      <c r="G933" s="6">
        <v>2875535.534</v>
      </c>
      <c r="H933" s="6">
        <v>2762275.2570000002</v>
      </c>
      <c r="I933" s="6">
        <v>2212321.8539999998</v>
      </c>
      <c r="J933" s="6">
        <v>2121972.9470000002</v>
      </c>
      <c r="K933" s="6">
        <v>1991849.152</v>
      </c>
      <c r="L933" s="6">
        <v>940996.10699999996</v>
      </c>
      <c r="M933" s="6">
        <v>99197.421000000002</v>
      </c>
      <c r="N933" s="6">
        <v>753562.58700000006</v>
      </c>
      <c r="O933" s="6">
        <v>753562.58700000006</v>
      </c>
      <c r="P933" s="6">
        <v>434760.38699999999</v>
      </c>
      <c r="Q933" s="6">
        <v>-142853.995</v>
      </c>
      <c r="R933" s="6">
        <v>7</v>
      </c>
      <c r="S933" s="15"/>
      <c r="T933" s="15">
        <f>E933/G933</f>
        <v>-3.5709281553256582E-2</v>
      </c>
      <c r="U933" s="15">
        <f>D933/C933</f>
        <v>-8.6598584354902031E-2</v>
      </c>
      <c r="V933" s="15">
        <f>(E933-F933)/O933</f>
        <v>-0.13626380843665742</v>
      </c>
      <c r="W933" s="15">
        <f>H933/K933</f>
        <v>1.3867893832353828</v>
      </c>
      <c r="X933" s="15">
        <f>(H933-I933)/K933</f>
        <v>0.27610193394805854</v>
      </c>
      <c r="Y933" s="15">
        <f>(H933-K933)/G933</f>
        <v>0.26792439039287497</v>
      </c>
      <c r="Z933" s="15">
        <f>J933/N933</f>
        <v>2.8159213097982532</v>
      </c>
      <c r="AA933" s="15">
        <f>J933/G933</f>
        <v>0.73794008869305805</v>
      </c>
      <c r="AB933" s="15">
        <f>C933/G933</f>
        <v>0.33821529989829019</v>
      </c>
      <c r="AC933" s="15">
        <f>C933/(G933-K933)</f>
        <v>1.1005602584922487</v>
      </c>
      <c r="AD933" s="15">
        <f>Q933/E933</f>
        <v>1.3912095138189353</v>
      </c>
      <c r="AE933" s="15">
        <f>Q933/J933</f>
        <v>-6.7321308314492845E-2</v>
      </c>
      <c r="AF933" s="15">
        <f>Q933/G933</f>
        <v>-4.9679092228529557E-2</v>
      </c>
      <c r="AG933" s="15">
        <f>Q933/K933</f>
        <v>-7.1719283991240709E-2</v>
      </c>
      <c r="AH933" s="15">
        <f>Q933/L933</f>
        <v>-0.15181146227632586</v>
      </c>
      <c r="AI933" s="6">
        <f>R933</f>
        <v>7</v>
      </c>
      <c r="AJ933" s="6">
        <f>P933</f>
        <v>434760.38699999999</v>
      </c>
    </row>
    <row r="934" spans="1:36" x14ac:dyDescent="0.25">
      <c r="A934" t="s">
        <v>151</v>
      </c>
      <c r="B934">
        <v>2019</v>
      </c>
      <c r="C934" s="1">
        <v>1004824.916</v>
      </c>
      <c r="D934" s="1">
        <v>165909.25700000001</v>
      </c>
      <c r="E934" s="1">
        <v>114924.311</v>
      </c>
      <c r="F934" s="1">
        <v>0</v>
      </c>
      <c r="G934" s="1">
        <v>2978219.4210000001</v>
      </c>
      <c r="H934" s="1">
        <v>2878416.7790000001</v>
      </c>
      <c r="I934" s="1">
        <v>2195178.0120000001</v>
      </c>
      <c r="J934" s="1">
        <v>2182901.0060000001</v>
      </c>
      <c r="K934" s="1">
        <v>1623169.86</v>
      </c>
      <c r="L934" s="1">
        <v>647184.08900000004</v>
      </c>
      <c r="M934" s="1">
        <v>539832</v>
      </c>
      <c r="N934" s="1">
        <v>795318.41500000004</v>
      </c>
      <c r="O934" s="1">
        <v>795318.41500000004</v>
      </c>
      <c r="P934" s="1">
        <v>484085.89</v>
      </c>
      <c r="Q934" s="1">
        <v>346242.71500000003</v>
      </c>
      <c r="R934" s="1">
        <v>7</v>
      </c>
      <c r="T934">
        <f>E934/G934</f>
        <v>3.8588261895562997E-2</v>
      </c>
      <c r="U934">
        <f>D934/C934</f>
        <v>0.16511260256209651</v>
      </c>
      <c r="V934">
        <f>(E934-F934)/O934</f>
        <v>0.14450100592729265</v>
      </c>
      <c r="W934">
        <f>H934/K934</f>
        <v>1.7733305983145842</v>
      </c>
      <c r="X934">
        <f>(H934-I934)/K934</f>
        <v>0.42092869257688159</v>
      </c>
      <c r="Y934">
        <f>(H934-K934)/G934</f>
        <v>0.42147563411513994</v>
      </c>
      <c r="Z934">
        <f>J934/N934</f>
        <v>2.7446881209207259</v>
      </c>
      <c r="AA934">
        <f>J934/G934</f>
        <v>0.73295506389084153</v>
      </c>
      <c r="AB934">
        <f>C934/G934</f>
        <v>0.3373911636311232</v>
      </c>
      <c r="AC934">
        <f>C934/(G934-K934)</f>
        <v>0.74154108079888892</v>
      </c>
      <c r="AD934">
        <f>Q934/E934</f>
        <v>3.0127891304042711</v>
      </c>
      <c r="AE934">
        <f>Q934/J934</f>
        <v>0.15861585754383953</v>
      </c>
      <c r="AF934">
        <f>Q934/G934</f>
        <v>0.11625829600014552</v>
      </c>
      <c r="AG934">
        <f>Q934/K934</f>
        <v>0.2133126812741582</v>
      </c>
      <c r="AH934">
        <f>Q934/L934</f>
        <v>0.5349988061897486</v>
      </c>
      <c r="AI934" s="1">
        <f>R934</f>
        <v>7</v>
      </c>
      <c r="AJ934" s="1">
        <f>P934</f>
        <v>484085.89</v>
      </c>
    </row>
    <row r="935" spans="1:36" x14ac:dyDescent="0.25">
      <c r="A935" t="s">
        <v>151</v>
      </c>
      <c r="B935">
        <v>2020</v>
      </c>
      <c r="C935" s="1">
        <v>1294462.9790000001</v>
      </c>
      <c r="D935" s="1">
        <v>188938.177</v>
      </c>
      <c r="E935" s="1">
        <v>173378.06400000001</v>
      </c>
      <c r="F935" s="1">
        <v>0</v>
      </c>
      <c r="G935" s="1">
        <v>2622389.52</v>
      </c>
      <c r="H935" s="1">
        <v>2521302.3569999998</v>
      </c>
      <c r="I935" s="1">
        <v>2055478.4950000001</v>
      </c>
      <c r="J935" s="1">
        <v>1659708.75</v>
      </c>
      <c r="K935" s="1">
        <v>1215923.3060000001</v>
      </c>
      <c r="L935" s="1">
        <v>743828.49899999995</v>
      </c>
      <c r="M935" s="1">
        <v>417839.663</v>
      </c>
      <c r="N935" s="1">
        <v>962680.77</v>
      </c>
      <c r="O935" s="1">
        <v>962680.77</v>
      </c>
      <c r="P935" s="1">
        <v>652478.06700000004</v>
      </c>
      <c r="Q935" s="1">
        <v>-85722.301000000007</v>
      </c>
      <c r="R935" s="1">
        <v>4.9000000000000004</v>
      </c>
      <c r="T935">
        <f>E935/G935</f>
        <v>6.6114535112998779E-2</v>
      </c>
      <c r="U935">
        <f>D935/C935</f>
        <v>0.14595873351739941</v>
      </c>
      <c r="V935">
        <f>(E935-F935)/O935</f>
        <v>0.1800992285324241</v>
      </c>
      <c r="W935">
        <f>H935/K935</f>
        <v>2.0735702198967472</v>
      </c>
      <c r="X935">
        <f>(H935-I935)/K935</f>
        <v>0.38310299646481133</v>
      </c>
      <c r="Y935">
        <f>(H935-K935)/G935</f>
        <v>0.49778228636301131</v>
      </c>
      <c r="Z935">
        <f>J935/N935</f>
        <v>1.7240489284937104</v>
      </c>
      <c r="AA935">
        <f>J935/G935</f>
        <v>0.63289939856074473</v>
      </c>
      <c r="AB935">
        <f>C935/G935</f>
        <v>0.49361964312609058</v>
      </c>
      <c r="AC935">
        <f>C935/(G935-K935)</f>
        <v>0.92036549908905252</v>
      </c>
      <c r="AD935">
        <f>Q935/E935</f>
        <v>-0.49442414468303209</v>
      </c>
      <c r="AE935">
        <f>Q935/J935</f>
        <v>-5.1649002272236025E-2</v>
      </c>
      <c r="AF935">
        <f>Q935/G935</f>
        <v>-3.2688622474360711E-2</v>
      </c>
      <c r="AG935">
        <f>Q935/K935</f>
        <v>-7.0499759793238137E-2</v>
      </c>
      <c r="AH935">
        <f>Q935/L935</f>
        <v>-0.11524471180553679</v>
      </c>
      <c r="AI935" s="1">
        <f>R935</f>
        <v>4.9000000000000004</v>
      </c>
      <c r="AJ935" s="1">
        <f>P935</f>
        <v>652478.06700000004</v>
      </c>
    </row>
    <row r="936" spans="1:36" x14ac:dyDescent="0.25">
      <c r="A936" t="s">
        <v>151</v>
      </c>
      <c r="B936">
        <v>2021</v>
      </c>
      <c r="C936" s="1">
        <v>1003114.13</v>
      </c>
      <c r="D936" s="1">
        <v>177845.53099999999</v>
      </c>
      <c r="E936" s="1">
        <v>142590.592</v>
      </c>
      <c r="F936" s="1">
        <v>0</v>
      </c>
      <c r="G936" s="1">
        <v>2305525.66</v>
      </c>
      <c r="H936" s="1">
        <v>2208441.713</v>
      </c>
      <c r="I936" s="1">
        <v>1742396.348</v>
      </c>
      <c r="J936" s="1">
        <v>1195657.898</v>
      </c>
      <c r="K936" s="1">
        <v>806663.14800000004</v>
      </c>
      <c r="L936" s="1">
        <v>669957.5</v>
      </c>
      <c r="M936" s="1">
        <v>360847.5</v>
      </c>
      <c r="N936" s="1">
        <v>1109867.7620000001</v>
      </c>
      <c r="O936" s="1">
        <v>1109867.7620000001</v>
      </c>
      <c r="P936" s="1">
        <v>797957.495</v>
      </c>
      <c r="Q936" s="1">
        <v>100009.9</v>
      </c>
      <c r="R936" s="1">
        <v>5.9</v>
      </c>
      <c r="T936">
        <f>E936/G936</f>
        <v>6.1847323789924767E-2</v>
      </c>
      <c r="U936">
        <f>D936/C936</f>
        <v>0.17729341625364203</v>
      </c>
      <c r="V936">
        <f>(E936-F936)/O936</f>
        <v>0.1284752984833521</v>
      </c>
      <c r="W936">
        <f>H936/K936</f>
        <v>2.7377496027623165</v>
      </c>
      <c r="X936">
        <f>(H936-I936)/K936</f>
        <v>0.57774470812939627</v>
      </c>
      <c r="Y936">
        <f>(H936-K936)/G936</f>
        <v>0.60800822533460752</v>
      </c>
      <c r="Z936">
        <f>J936/N936</f>
        <v>1.0772976195338846</v>
      </c>
      <c r="AA936">
        <f>J936/G936</f>
        <v>0.51860533098555928</v>
      </c>
      <c r="AB936">
        <f>C936/G936</f>
        <v>0.4350912884656421</v>
      </c>
      <c r="AC936">
        <f>C936/(G936-K936)</f>
        <v>0.66925026276192567</v>
      </c>
      <c r="AD936">
        <f>Q936/E936</f>
        <v>0.70137797029414106</v>
      </c>
      <c r="AE936">
        <f>Q936/J936</f>
        <v>8.3644243196392951E-2</v>
      </c>
      <c r="AF936">
        <f>Q936/G936</f>
        <v>4.3378350427901974E-2</v>
      </c>
      <c r="AG936">
        <f>Q936/K936</f>
        <v>0.12397975567367804</v>
      </c>
      <c r="AH936">
        <f>Q936/L936</f>
        <v>0.14927797658806716</v>
      </c>
      <c r="AI936" s="1">
        <f>R936</f>
        <v>5.9</v>
      </c>
      <c r="AJ936" s="1">
        <f>P936</f>
        <v>797957.495</v>
      </c>
    </row>
    <row r="937" spans="1:36" x14ac:dyDescent="0.25">
      <c r="A937" t="s">
        <v>151</v>
      </c>
      <c r="B937">
        <v>2022</v>
      </c>
      <c r="C937" s="1">
        <v>467521.51299999998</v>
      </c>
      <c r="D937" s="1">
        <v>6364.5020000000004</v>
      </c>
      <c r="E937" s="1">
        <v>-84650.813999999998</v>
      </c>
      <c r="F937" s="1">
        <v>0</v>
      </c>
      <c r="G937" s="1">
        <v>2342596.98</v>
      </c>
      <c r="H937" s="1">
        <v>2147984.1570000001</v>
      </c>
      <c r="I937" s="1">
        <v>1854210.416</v>
      </c>
      <c r="J937" s="1">
        <v>1308480.7949999999</v>
      </c>
      <c r="K937" s="1">
        <v>824967.32499999995</v>
      </c>
      <c r="L937" s="1">
        <v>669455.92799999996</v>
      </c>
      <c r="M937" s="1">
        <v>435627.54100000003</v>
      </c>
      <c r="N937" s="1">
        <v>1034116.1850000001</v>
      </c>
      <c r="O937" s="1">
        <v>1034116.1850000001</v>
      </c>
      <c r="P937" s="1">
        <v>725327.18099999998</v>
      </c>
      <c r="Q937" s="1">
        <v>-42806.591999999997</v>
      </c>
      <c r="R937" s="1">
        <v>4.0999999999999996</v>
      </c>
      <c r="T937">
        <f>E937/G937</f>
        <v>-3.6135457666303321E-2</v>
      </c>
      <c r="U937">
        <f>D937/C937</f>
        <v>1.3613281577483261E-2</v>
      </c>
      <c r="V937">
        <f>(E937-F937)/O937</f>
        <v>-8.1858126995662472E-2</v>
      </c>
      <c r="W937">
        <f>H937/K937</f>
        <v>2.6037202831033341</v>
      </c>
      <c r="X937">
        <f>(H937-I937)/K937</f>
        <v>0.35610348688658688</v>
      </c>
      <c r="Y937">
        <f>(H937-K937)/G937</f>
        <v>0.56476502074206558</v>
      </c>
      <c r="Z937">
        <f>J937/N937</f>
        <v>1.2653131379043254</v>
      </c>
      <c r="AA937">
        <f>J937/G937</f>
        <v>0.55855992565993995</v>
      </c>
      <c r="AB937">
        <f>C937/G937</f>
        <v>0.19957402702704755</v>
      </c>
      <c r="AC937">
        <f>C937/(G937-K937)</f>
        <v>0.30806034361525436</v>
      </c>
      <c r="AD937">
        <f>Q937/E937</f>
        <v>0.50568435171810633</v>
      </c>
      <c r="AE937">
        <f>Q937/J937</f>
        <v>-3.271472700522135E-2</v>
      </c>
      <c r="AF937">
        <f>Q937/G937</f>
        <v>-1.8273135484021669E-2</v>
      </c>
      <c r="AG937">
        <f>Q937/K937</f>
        <v>-5.1888833294094404E-2</v>
      </c>
      <c r="AH937">
        <f>Q937/L937</f>
        <v>-6.3942360071236826E-2</v>
      </c>
      <c r="AI937" s="1">
        <f>R937</f>
        <v>4.0999999999999996</v>
      </c>
      <c r="AJ937" s="1">
        <f>P937</f>
        <v>725327.18099999998</v>
      </c>
    </row>
    <row r="938" spans="1:36" x14ac:dyDescent="0.25">
      <c r="A938" t="s">
        <v>151</v>
      </c>
      <c r="B938">
        <v>2023</v>
      </c>
      <c r="C938" s="1">
        <v>674719.40700000001</v>
      </c>
      <c r="D938" s="1">
        <v>-25924.913</v>
      </c>
      <c r="E938" s="1">
        <v>-199184.95</v>
      </c>
      <c r="F938" s="1">
        <v>0</v>
      </c>
      <c r="G938" s="1">
        <v>2074456.0959999999</v>
      </c>
      <c r="H938" s="1">
        <v>1847366.8759999999</v>
      </c>
      <c r="I938" s="1">
        <v>1664613.77</v>
      </c>
      <c r="J938" s="1">
        <v>1240157.558</v>
      </c>
      <c r="K938" s="1">
        <v>1035377.43</v>
      </c>
      <c r="L938" s="1">
        <v>689477.23199999996</v>
      </c>
      <c r="M938" s="1">
        <v>163586.95199999999</v>
      </c>
      <c r="N938" s="1">
        <v>834298.53799999994</v>
      </c>
      <c r="O938" s="1">
        <v>834298.53799999994</v>
      </c>
      <c r="P938" s="1">
        <v>526543.35800000001</v>
      </c>
      <c r="Q938" s="1">
        <v>13001.48</v>
      </c>
      <c r="R938" s="1">
        <v>3.1</v>
      </c>
      <c r="T938">
        <f>E938/G938</f>
        <v>-9.6017915435314197E-2</v>
      </c>
      <c r="U938">
        <f>D938/C938</f>
        <v>-3.8423250807724282E-2</v>
      </c>
      <c r="V938">
        <f>(E938-F938)/O938</f>
        <v>-0.23874541417451223</v>
      </c>
      <c r="W938">
        <f>H938/K938</f>
        <v>1.7842448777350688</v>
      </c>
      <c r="X938">
        <f>(H938-I938)/K938</f>
        <v>0.1765086824424982</v>
      </c>
      <c r="Y938">
        <f>(H938-K938)/G938</f>
        <v>0.39142281563137982</v>
      </c>
      <c r="Z938">
        <f>J938/N938</f>
        <v>1.4864673753030118</v>
      </c>
      <c r="AA938">
        <f>J938/G938</f>
        <v>0.59782299581624887</v>
      </c>
      <c r="AB938">
        <f>C938/G938</f>
        <v>0.32525123491454216</v>
      </c>
      <c r="AC938">
        <f>C938/(G938-K938)</f>
        <v>0.64934391310080086</v>
      </c>
      <c r="AD938">
        <f>Q938/E938</f>
        <v>-6.5273405445541943E-2</v>
      </c>
      <c r="AE938">
        <f>Q938/J938</f>
        <v>1.0483732422650768E-2</v>
      </c>
      <c r="AF938">
        <f>Q938/G938</f>
        <v>6.2674163242450228E-3</v>
      </c>
      <c r="AG938">
        <f>Q938/K938</f>
        <v>1.2557237219281474E-2</v>
      </c>
      <c r="AH938">
        <f>Q938/L938</f>
        <v>1.8857011365387626E-2</v>
      </c>
      <c r="AI938" s="1">
        <f>R938</f>
        <v>3.1</v>
      </c>
      <c r="AJ938" s="1">
        <f>P938</f>
        <v>526543.35800000001</v>
      </c>
    </row>
    <row r="939" spans="1:36" s="8" customFormat="1" x14ac:dyDescent="0.25">
      <c r="A939" s="8" t="s">
        <v>151</v>
      </c>
      <c r="B939" s="8">
        <v>2024</v>
      </c>
      <c r="C939" s="9">
        <v>115200</v>
      </c>
      <c r="D939" s="9">
        <v>-51200.614999999998</v>
      </c>
      <c r="E939" s="9">
        <v>-186889.03899999999</v>
      </c>
      <c r="F939" s="9">
        <v>0</v>
      </c>
      <c r="G939" s="9">
        <v>1982339.058</v>
      </c>
      <c r="H939" s="9">
        <v>1762163.594</v>
      </c>
      <c r="I939" s="9">
        <v>1647016.7949999999</v>
      </c>
      <c r="J939" s="9">
        <v>1335381.92</v>
      </c>
      <c r="K939" s="9">
        <v>1242569.2150000001</v>
      </c>
      <c r="L939" s="9">
        <v>654737.10900000005</v>
      </c>
      <c r="M939" s="9">
        <v>72282.600000000006</v>
      </c>
      <c r="N939" s="9">
        <v>646957.13800000004</v>
      </c>
      <c r="O939" s="9">
        <v>646957.13800000004</v>
      </c>
      <c r="P939" s="9">
        <v>339944.25400000002</v>
      </c>
      <c r="Q939" s="9">
        <v>25092.738000000001</v>
      </c>
      <c r="R939" s="9">
        <v>3</v>
      </c>
      <c r="T939" s="8">
        <f>E939/G939</f>
        <v>-9.427703008008835E-2</v>
      </c>
      <c r="U939" s="8">
        <f>D939/C939</f>
        <v>-0.4444497829861111</v>
      </c>
      <c r="V939" s="8">
        <f>(E939-F939)/O939</f>
        <v>-0.28887391145841251</v>
      </c>
      <c r="W939" s="8">
        <f>H939/K939</f>
        <v>1.4181613166716027</v>
      </c>
      <c r="X939" s="8">
        <f>(H939-I939)/K939</f>
        <v>9.266831787716559E-2</v>
      </c>
      <c r="Y939" s="8">
        <f>(H939-K939)/G939</f>
        <v>0.26211175979361651</v>
      </c>
      <c r="Z939" s="8">
        <f>J939/N939</f>
        <v>2.0640964316866381</v>
      </c>
      <c r="AA939" s="8">
        <f>J939/G939</f>
        <v>0.67363951419454904</v>
      </c>
      <c r="AB939" s="8">
        <f>C939/G939</f>
        <v>5.811316663266794E-2</v>
      </c>
      <c r="AC939" s="8">
        <f>C939/(G939-K939)</f>
        <v>0.15572410945116077</v>
      </c>
      <c r="AD939" s="8">
        <f>Q939/E939</f>
        <v>-0.134265434368251</v>
      </c>
      <c r="AE939" s="8">
        <f>Q939/J939</f>
        <v>1.8790682743405722E-2</v>
      </c>
      <c r="AF939" s="8">
        <f>Q939/G939</f>
        <v>1.2658146394651728E-2</v>
      </c>
      <c r="AG939" s="8">
        <f>Q939/K939</f>
        <v>2.0194237630456666E-2</v>
      </c>
      <c r="AH939" s="8">
        <f>Q939/L939</f>
        <v>3.8324905760000229E-2</v>
      </c>
      <c r="AI939" s="9">
        <f>R939</f>
        <v>3</v>
      </c>
      <c r="AJ939" s="9">
        <f>P939</f>
        <v>339944.25400000002</v>
      </c>
    </row>
    <row r="940" spans="1:36" x14ac:dyDescent="0.25">
      <c r="A940" s="15" t="s">
        <v>145</v>
      </c>
      <c r="B940" s="15">
        <v>2018</v>
      </c>
      <c r="C940" s="6">
        <v>548395.402</v>
      </c>
      <c r="D940" s="6">
        <v>-13234.300999999999</v>
      </c>
      <c r="E940" s="6">
        <v>-38967.394</v>
      </c>
      <c r="F940" s="6">
        <v>0</v>
      </c>
      <c r="G940" s="6">
        <v>1530561.344</v>
      </c>
      <c r="H940" s="6">
        <v>141029.70000000001</v>
      </c>
      <c r="I940" s="6">
        <v>21702.437999999998</v>
      </c>
      <c r="J940" s="6">
        <v>440127.27100000001</v>
      </c>
      <c r="K940" s="6">
        <v>157870.32500000001</v>
      </c>
      <c r="L940" s="6">
        <v>166962.372</v>
      </c>
      <c r="M940" s="6">
        <v>96611.698999999993</v>
      </c>
      <c r="N940" s="6">
        <v>1090434.0730000001</v>
      </c>
      <c r="O940" s="6">
        <v>1090434.0730000001</v>
      </c>
      <c r="P940" s="6">
        <v>-1411.9269999999999</v>
      </c>
      <c r="Q940" s="6">
        <v>28636.839</v>
      </c>
      <c r="R940" s="6">
        <v>17.2</v>
      </c>
      <c r="S940" s="15"/>
      <c r="T940" s="15">
        <f>E940/G940</f>
        <v>-2.5459544076921362E-2</v>
      </c>
      <c r="U940" s="15">
        <f>D940/C940</f>
        <v>-2.4132771631079429E-2</v>
      </c>
      <c r="V940" s="15">
        <f>(E940-F940)/O940</f>
        <v>-3.5735671660362726E-2</v>
      </c>
      <c r="W940" s="15">
        <f>H940/K940</f>
        <v>0.89332621567732884</v>
      </c>
      <c r="X940" s="15">
        <f>(H940-I940)/K940</f>
        <v>0.75585618766541474</v>
      </c>
      <c r="Y940" s="15">
        <f>(H940-K940)/G940</f>
        <v>-1.1002907571145347E-2</v>
      </c>
      <c r="Z940" s="15">
        <f>J940/N940</f>
        <v>0.40362575042168547</v>
      </c>
      <c r="AA940" s="15">
        <f>J940/G940</f>
        <v>0.28755937991336072</v>
      </c>
      <c r="AB940" s="15">
        <f>C940/G940</f>
        <v>0.35829691122788476</v>
      </c>
      <c r="AC940" s="15">
        <f>C940/(G940-K940)</f>
        <v>0.39950389010303561</v>
      </c>
      <c r="AD940" s="15">
        <f>Q940/E940</f>
        <v>-0.73489233075221816</v>
      </c>
      <c r="AE940" s="15">
        <f>Q940/J940</f>
        <v>6.5064904828403602E-2</v>
      </c>
      <c r="AF940" s="15">
        <f>Q940/G940</f>
        <v>1.8710023686577568E-2</v>
      </c>
      <c r="AG940" s="15">
        <f>Q940/K940</f>
        <v>0.18139469213102588</v>
      </c>
      <c r="AH940" s="15">
        <f>Q940/L940</f>
        <v>0.17151672354055919</v>
      </c>
      <c r="AI940" s="6">
        <f>R940</f>
        <v>17.2</v>
      </c>
      <c r="AJ940" s="6">
        <f>P940</f>
        <v>-1411.9269999999999</v>
      </c>
    </row>
    <row r="941" spans="1:36" x14ac:dyDescent="0.25">
      <c r="A941" t="s">
        <v>145</v>
      </c>
      <c r="B941">
        <v>2019</v>
      </c>
      <c r="C941" s="1">
        <v>598408.777</v>
      </c>
      <c r="D941" s="1">
        <v>-10419.968000000001</v>
      </c>
      <c r="E941" s="1">
        <v>-41255.665000000001</v>
      </c>
      <c r="F941" s="1">
        <v>0</v>
      </c>
      <c r="G941" s="1">
        <v>1457920.3019999999</v>
      </c>
      <c r="H941" s="1">
        <v>135626.39799999999</v>
      </c>
      <c r="I941" s="1">
        <v>22350.001</v>
      </c>
      <c r="J941" s="1">
        <v>379887.56400000001</v>
      </c>
      <c r="K941" s="1">
        <v>192395.33499999999</v>
      </c>
      <c r="L941" s="1">
        <v>183542.31899999999</v>
      </c>
      <c r="M941" s="1">
        <v>69380.164000000004</v>
      </c>
      <c r="N941" s="1">
        <v>1078032.7379999999</v>
      </c>
      <c r="O941" s="1">
        <v>1078032.7379999999</v>
      </c>
      <c r="P941" s="1">
        <v>-38285.75</v>
      </c>
      <c r="Q941" s="1">
        <v>16589.645</v>
      </c>
      <c r="R941" s="1">
        <v>13.6</v>
      </c>
      <c r="T941">
        <f>E941/G941</f>
        <v>-2.8297613349237798E-2</v>
      </c>
      <c r="U941">
        <f>D941/C941</f>
        <v>-1.7412792727136087E-2</v>
      </c>
      <c r="V941">
        <f>(E941-F941)/O941</f>
        <v>-3.8269399013372084E-2</v>
      </c>
      <c r="W941">
        <f>H941/K941</f>
        <v>0.70493600065718842</v>
      </c>
      <c r="X941">
        <f>(H941-I941)/K941</f>
        <v>0.58876893766680982</v>
      </c>
      <c r="Y941">
        <f>(H941-K941)/G941</f>
        <v>-3.8938299248678691E-2</v>
      </c>
      <c r="Z941">
        <f>J941/N941</f>
        <v>0.35238963587022348</v>
      </c>
      <c r="AA941">
        <f>J941/G941</f>
        <v>0.26056812809236812</v>
      </c>
      <c r="AB941">
        <f>C941/G941</f>
        <v>0.41045369639142321</v>
      </c>
      <c r="AC941">
        <f>C941/(G941-K941)</f>
        <v>0.47285418510435445</v>
      </c>
      <c r="AD941">
        <f>Q941/E941</f>
        <v>-0.40211798791753811</v>
      </c>
      <c r="AE941">
        <f>Q941/J941</f>
        <v>4.3669881754802589E-2</v>
      </c>
      <c r="AF941">
        <f>Q941/G941</f>
        <v>1.1378979342863971E-2</v>
      </c>
      <c r="AG941">
        <f>Q941/K941</f>
        <v>8.6226856799828333E-2</v>
      </c>
      <c r="AH941">
        <f>Q941/L941</f>
        <v>9.0385939822412303E-2</v>
      </c>
      <c r="AI941" s="1">
        <f>R941</f>
        <v>13.6</v>
      </c>
      <c r="AJ941" s="1">
        <f>P941</f>
        <v>-38285.75</v>
      </c>
    </row>
    <row r="942" spans="1:36" x14ac:dyDescent="0.25">
      <c r="A942" t="s">
        <v>145</v>
      </c>
      <c r="B942">
        <v>2020</v>
      </c>
      <c r="C942" s="1">
        <v>398333.37699999998</v>
      </c>
      <c r="D942" s="1">
        <v>-141046.08600000001</v>
      </c>
      <c r="E942" s="1">
        <v>-147254.28099999999</v>
      </c>
      <c r="F942" s="1">
        <v>0</v>
      </c>
      <c r="G942" s="1">
        <v>1845353.446</v>
      </c>
      <c r="H942" s="1">
        <v>122538.871</v>
      </c>
      <c r="I942" s="1">
        <v>22828.018</v>
      </c>
      <c r="J942" s="1">
        <v>516748.00300000003</v>
      </c>
      <c r="K942" s="1">
        <v>236282.35200000001</v>
      </c>
      <c r="L942" s="1">
        <v>285119.76</v>
      </c>
      <c r="M942" s="1">
        <v>137864.728</v>
      </c>
      <c r="N942" s="1">
        <v>1328605.443</v>
      </c>
      <c r="O942" s="1">
        <v>1328605.443</v>
      </c>
      <c r="P942" s="1">
        <v>-176519.03200000001</v>
      </c>
      <c r="Q942" s="1">
        <v>-52534.29</v>
      </c>
      <c r="R942" s="1">
        <v>12</v>
      </c>
      <c r="T942">
        <f>E942/G942</f>
        <v>-7.9797331681466938E-2</v>
      </c>
      <c r="U942">
        <f>D942/C942</f>
        <v>-0.35409055365199793</v>
      </c>
      <c r="V942">
        <f>(E942-F942)/O942</f>
        <v>-0.1108337179979474</v>
      </c>
      <c r="W942">
        <f>H942/K942</f>
        <v>0.51861203328465255</v>
      </c>
      <c r="X942">
        <f>(H942-I942)/K942</f>
        <v>0.42199873226249246</v>
      </c>
      <c r="Y942">
        <f>(H942-K942)/G942</f>
        <v>-6.1637775270938541E-2</v>
      </c>
      <c r="Z942">
        <f>J942/N942</f>
        <v>0.38894015203880211</v>
      </c>
      <c r="AA942">
        <f>J942/G942</f>
        <v>0.28002657383608887</v>
      </c>
      <c r="AB942">
        <f>C942/G942</f>
        <v>0.2158574975777296</v>
      </c>
      <c r="AC942">
        <f>C942/(G942-K942)</f>
        <v>0.24755486471997984</v>
      </c>
      <c r="AD942">
        <f>Q942/E942</f>
        <v>0.35675899976042125</v>
      </c>
      <c r="AE942">
        <f>Q942/J942</f>
        <v>-0.1016632666115983</v>
      </c>
      <c r="AF942">
        <f>Q942/G942</f>
        <v>-2.8468416234230718E-2</v>
      </c>
      <c r="AG942">
        <f>Q942/K942</f>
        <v>-0.22233691833235178</v>
      </c>
      <c r="AH942">
        <f>Q942/L942</f>
        <v>-0.18425341687998054</v>
      </c>
      <c r="AI942" s="1">
        <f>R942</f>
        <v>12</v>
      </c>
      <c r="AJ942" s="1">
        <f>P942</f>
        <v>-176519.03200000001</v>
      </c>
    </row>
    <row r="943" spans="1:36" x14ac:dyDescent="0.25">
      <c r="A943" t="s">
        <v>145</v>
      </c>
      <c r="B943">
        <v>2021</v>
      </c>
      <c r="C943" s="1">
        <v>187980.82199999999</v>
      </c>
      <c r="D943" s="1">
        <v>-201993.508</v>
      </c>
      <c r="E943" s="1">
        <v>-223593.23199999999</v>
      </c>
      <c r="F943" s="1">
        <v>0</v>
      </c>
      <c r="G943" s="1">
        <v>1743702.338</v>
      </c>
      <c r="H943" s="1">
        <v>78994.125</v>
      </c>
      <c r="I943" s="1">
        <v>18392.29</v>
      </c>
      <c r="J943" s="1">
        <v>747107.13100000005</v>
      </c>
      <c r="K943" s="1">
        <v>339568.4</v>
      </c>
      <c r="L943" s="1">
        <v>330204.217</v>
      </c>
      <c r="M943" s="1">
        <v>163775.41500000001</v>
      </c>
      <c r="N943" s="1">
        <v>996595.20700000005</v>
      </c>
      <c r="O943" s="1">
        <v>996595.20700000005</v>
      </c>
      <c r="P943" s="1">
        <v>-408469.05699999997</v>
      </c>
      <c r="Q943" s="1">
        <v>-40011.334000000003</v>
      </c>
      <c r="R943" s="1">
        <v>17</v>
      </c>
      <c r="T943">
        <f>E943/G943</f>
        <v>-0.12822901428030314</v>
      </c>
      <c r="U943">
        <f>D943/C943</f>
        <v>-1.0745431680259383</v>
      </c>
      <c r="V943">
        <f>(E943-F943)/O943</f>
        <v>-0.22435712155697732</v>
      </c>
      <c r="W943">
        <f>H943/K943</f>
        <v>0.23263096625009863</v>
      </c>
      <c r="X943">
        <f>(H943-I943)/K943</f>
        <v>0.17846723959002073</v>
      </c>
      <c r="Y943">
        <f>(H943-K943)/G943</f>
        <v>-0.14943736056400242</v>
      </c>
      <c r="Z943">
        <f>J943/N943</f>
        <v>0.74965956664489564</v>
      </c>
      <c r="AA943">
        <f>J943/G943</f>
        <v>0.42846024503065161</v>
      </c>
      <c r="AB943">
        <f>C943/G943</f>
        <v>0.10780556859011334</v>
      </c>
      <c r="AC943">
        <f>C943/(G943-K943)</f>
        <v>0.13387670286479464</v>
      </c>
      <c r="AD943">
        <f>Q943/E943</f>
        <v>0.17894698172259527</v>
      </c>
      <c r="AE943">
        <f>Q943/J943</f>
        <v>-5.3555015525611413E-2</v>
      </c>
      <c r="AF943">
        <f>Q943/G943</f>
        <v>-2.2946195074723817E-2</v>
      </c>
      <c r="AG943">
        <f>Q943/K943</f>
        <v>-0.11782996886636095</v>
      </c>
      <c r="AH943">
        <f>Q943/L943</f>
        <v>-0.12117148098081376</v>
      </c>
      <c r="AI943" s="1">
        <f>R943</f>
        <v>17</v>
      </c>
      <c r="AJ943" s="1">
        <f>P943</f>
        <v>-408469.05699999997</v>
      </c>
    </row>
    <row r="944" spans="1:36" x14ac:dyDescent="0.25">
      <c r="A944" t="s">
        <v>145</v>
      </c>
      <c r="B944">
        <v>2022</v>
      </c>
      <c r="C944" s="1">
        <v>374561.20600000001</v>
      </c>
      <c r="D944" s="1">
        <v>-108129.281</v>
      </c>
      <c r="E944" s="1">
        <v>-176648.766</v>
      </c>
      <c r="F944" s="1">
        <v>0</v>
      </c>
      <c r="G944" s="1">
        <v>1724100.226</v>
      </c>
      <c r="H944" s="1">
        <v>122358.303</v>
      </c>
      <c r="I944" s="1">
        <v>21776.345000000001</v>
      </c>
      <c r="J944" s="1">
        <v>900301.35600000003</v>
      </c>
      <c r="K944" s="1">
        <v>468082.63900000002</v>
      </c>
      <c r="L944" s="1">
        <v>356794.97</v>
      </c>
      <c r="M944" s="1">
        <v>175961.75399999999</v>
      </c>
      <c r="N944" s="1">
        <v>823798.87</v>
      </c>
      <c r="O944" s="1">
        <v>823798.87</v>
      </c>
      <c r="P944" s="1">
        <v>-581265.39300000004</v>
      </c>
      <c r="Q944" s="1">
        <v>39923.326000000001</v>
      </c>
      <c r="R944" s="1">
        <v>12</v>
      </c>
      <c r="T944">
        <f>E944/G944</f>
        <v>-0.10245852493728518</v>
      </c>
      <c r="U944">
        <f>D944/C944</f>
        <v>-0.28868254177930003</v>
      </c>
      <c r="V944">
        <f>(E944-F944)/O944</f>
        <v>-0.21443191103187603</v>
      </c>
      <c r="W944">
        <f>H944/K944</f>
        <v>0.26140320705207781</v>
      </c>
      <c r="X944">
        <f>(H944-I944)/K944</f>
        <v>0.21488077023083096</v>
      </c>
      <c r="Y944">
        <f>(H944-K944)/G944</f>
        <v>-0.20052450013425147</v>
      </c>
      <c r="Z944">
        <f>J944/N944</f>
        <v>1.0928654903350377</v>
      </c>
      <c r="AA944">
        <f>J944/G944</f>
        <v>0.52218620612836697</v>
      </c>
      <c r="AB944">
        <f>C944/G944</f>
        <v>0.21725025050834834</v>
      </c>
      <c r="AC944">
        <f>C944/(G944-K944)</f>
        <v>0.29821334500151386</v>
      </c>
      <c r="AD944">
        <f>Q944/E944</f>
        <v>-0.22600399031375062</v>
      </c>
      <c r="AE944">
        <f>Q944/J944</f>
        <v>4.4344402831267088E-2</v>
      </c>
      <c r="AF944">
        <f>Q944/G944</f>
        <v>2.3156035477487374E-2</v>
      </c>
      <c r="AG944">
        <f>Q944/K944</f>
        <v>8.5291191498345659E-2</v>
      </c>
      <c r="AH944">
        <f>Q944/L944</f>
        <v>0.11189430725438759</v>
      </c>
      <c r="AI944" s="1">
        <f>R944</f>
        <v>12</v>
      </c>
      <c r="AJ944" s="1">
        <f>P944</f>
        <v>-581265.39300000004</v>
      </c>
    </row>
    <row r="945" spans="1:36" x14ac:dyDescent="0.25">
      <c r="A945" t="s">
        <v>145</v>
      </c>
      <c r="B945">
        <v>2023</v>
      </c>
      <c r="C945" s="1">
        <v>503948.22700000001</v>
      </c>
      <c r="D945" s="1">
        <v>-155453.75599999999</v>
      </c>
      <c r="E945" s="1">
        <v>-12031.86</v>
      </c>
      <c r="F945" s="1">
        <v>0</v>
      </c>
      <c r="G945" s="1">
        <v>3823933.267</v>
      </c>
      <c r="H945" s="1">
        <v>147161.90299999999</v>
      </c>
      <c r="I945" s="1">
        <v>36248.81</v>
      </c>
      <c r="J945" s="1">
        <v>1535137.86</v>
      </c>
      <c r="K945" s="1">
        <v>634105.73300000001</v>
      </c>
      <c r="L945" s="1">
        <v>400355.859</v>
      </c>
      <c r="M945" s="1">
        <v>167506.427</v>
      </c>
      <c r="N945" s="1">
        <v>2288795.4070000001</v>
      </c>
      <c r="O945" s="1">
        <v>2288795.4070000001</v>
      </c>
      <c r="P945" s="1">
        <v>-598696.51300000004</v>
      </c>
      <c r="Q945" s="1">
        <v>-63731.67</v>
      </c>
      <c r="R945" s="1">
        <v>12.9</v>
      </c>
      <c r="T945">
        <f>E945/G945</f>
        <v>-3.146461812980169E-3</v>
      </c>
      <c r="U945">
        <f>D945/C945</f>
        <v>-0.30847167957195726</v>
      </c>
      <c r="V945">
        <f>(E945-F945)/O945</f>
        <v>-5.2568525623574881E-3</v>
      </c>
      <c r="W945">
        <f>H945/K945</f>
        <v>0.23207786232079372</v>
      </c>
      <c r="X945">
        <f>(H945-I945)/K945</f>
        <v>0.1749126166629375</v>
      </c>
      <c r="Y945">
        <f>(H945-K945)/G945</f>
        <v>-0.12734108991970544</v>
      </c>
      <c r="Z945">
        <f>J945/N945</f>
        <v>0.6707186912840567</v>
      </c>
      <c r="AA945">
        <f>J945/G945</f>
        <v>0.40145519098045496</v>
      </c>
      <c r="AB945">
        <f>C945/G945</f>
        <v>0.13178792405950215</v>
      </c>
      <c r="AC945">
        <f>C945/(G945-K945)</f>
        <v>0.15798604207546477</v>
      </c>
      <c r="AD945">
        <f>Q945/E945</f>
        <v>5.2969092060579159</v>
      </c>
      <c r="AE945">
        <f>Q945/J945</f>
        <v>-4.1515274725880312E-2</v>
      </c>
      <c r="AF945">
        <f>Q945/G945</f>
        <v>-1.6666522543684337E-2</v>
      </c>
      <c r="AG945">
        <f>Q945/K945</f>
        <v>-0.10050637722273992</v>
      </c>
      <c r="AH945">
        <f>Q945/L945</f>
        <v>-0.15918755419038341</v>
      </c>
      <c r="AI945" s="1">
        <f>R945</f>
        <v>12.9</v>
      </c>
      <c r="AJ945" s="1">
        <f>P945</f>
        <v>-598696.51300000004</v>
      </c>
    </row>
    <row r="946" spans="1:36" s="8" customFormat="1" x14ac:dyDescent="0.25">
      <c r="A946" s="8" t="s">
        <v>145</v>
      </c>
      <c r="B946" s="8">
        <v>2024</v>
      </c>
      <c r="C946" s="9">
        <v>810337.94</v>
      </c>
      <c r="D946" s="9">
        <v>-275561.30300000001</v>
      </c>
      <c r="E946" s="9">
        <v>-274691.89600000001</v>
      </c>
      <c r="F946" s="9">
        <v>0</v>
      </c>
      <c r="G946" s="9">
        <v>3767620.0839999998</v>
      </c>
      <c r="H946" s="9">
        <v>253105.505</v>
      </c>
      <c r="I946" s="9">
        <v>46093.133999999998</v>
      </c>
      <c r="J946" s="9">
        <v>1753481.1580000001</v>
      </c>
      <c r="K946" s="9">
        <v>479669.00199999998</v>
      </c>
      <c r="L946" s="9">
        <v>687692.15800000005</v>
      </c>
      <c r="M946" s="9">
        <v>629438.75100000005</v>
      </c>
      <c r="N946" s="9">
        <v>2014138.926</v>
      </c>
      <c r="O946" s="9">
        <v>2014138.926</v>
      </c>
      <c r="P946" s="9">
        <v>-873352.995</v>
      </c>
      <c r="Q946" s="9">
        <v>-82413.362999999998</v>
      </c>
      <c r="R946" s="9">
        <v>13</v>
      </c>
      <c r="T946" s="8">
        <f>E946/G946</f>
        <v>-7.2908597437023326E-2</v>
      </c>
      <c r="U946" s="8">
        <f>D946/C946</f>
        <v>-0.34005726425693461</v>
      </c>
      <c r="V946" s="8">
        <f>(E946-F946)/O946</f>
        <v>-0.13638180189761151</v>
      </c>
      <c r="W946" s="8">
        <f>H946/K946</f>
        <v>0.52766700358927932</v>
      </c>
      <c r="X946" s="8">
        <f>(H946-I946)/K946</f>
        <v>0.43157337692628306</v>
      </c>
      <c r="Y946" s="8">
        <f>(H946-K946)/G946</f>
        <v>-6.0134379780527783E-2</v>
      </c>
      <c r="Z946" s="8">
        <f>J946/N946</f>
        <v>0.87058600346022019</v>
      </c>
      <c r="AA946" s="8">
        <f>J946/G946</f>
        <v>0.46540816719990713</v>
      </c>
      <c r="AB946" s="8">
        <f>C946/G946</f>
        <v>0.21507952551831655</v>
      </c>
      <c r="AC946" s="8">
        <f>C946/(G946-K946)</f>
        <v>0.24645681148853538</v>
      </c>
      <c r="AD946" s="8">
        <f>Q946/E946</f>
        <v>0.30002109345082389</v>
      </c>
      <c r="AE946" s="8">
        <f>Q946/J946</f>
        <v>-4.699985661322971E-2</v>
      </c>
      <c r="AF946" s="8">
        <f>Q946/G946</f>
        <v>-2.1874117125021676E-2</v>
      </c>
      <c r="AG946" s="8">
        <f>Q946/K946</f>
        <v>-0.17181298490495328</v>
      </c>
      <c r="AH946" s="8">
        <f>Q946/L946</f>
        <v>-0.11984048682433862</v>
      </c>
      <c r="AI946" s="9">
        <f>R946</f>
        <v>13</v>
      </c>
      <c r="AJ946" s="9">
        <f>P946</f>
        <v>-873352.995</v>
      </c>
    </row>
    <row r="947" spans="1:36" x14ac:dyDescent="0.25">
      <c r="A947" s="15" t="s">
        <v>150</v>
      </c>
      <c r="B947" s="15">
        <v>2018</v>
      </c>
      <c r="C947" s="6">
        <v>17650.41</v>
      </c>
      <c r="D947" s="6">
        <v>-1440.027</v>
      </c>
      <c r="E947" s="6">
        <v>236.73500000000001</v>
      </c>
      <c r="F947" s="6">
        <v>0</v>
      </c>
      <c r="G947" s="6">
        <v>2311536.7579999999</v>
      </c>
      <c r="H947" s="6">
        <v>96610.323000000004</v>
      </c>
      <c r="I947" s="6">
        <v>0</v>
      </c>
      <c r="J947" s="6">
        <v>4160923.4010000001</v>
      </c>
      <c r="K947" s="6">
        <v>4147750.594</v>
      </c>
      <c r="L947" s="6">
        <v>4122482.0580000002</v>
      </c>
      <c r="M947" s="6">
        <v>12100</v>
      </c>
      <c r="N947" s="6">
        <v>-1849386.6429999999</v>
      </c>
      <c r="O947" s="6">
        <v>-1849386.6429999999</v>
      </c>
      <c r="P947" s="6">
        <v>-1753484.5689999999</v>
      </c>
      <c r="Q947" s="6">
        <v>-207304.43900000001</v>
      </c>
      <c r="R947" s="6">
        <v>79</v>
      </c>
      <c r="S947" s="15"/>
      <c r="T947" s="15">
        <f>E947/G947</f>
        <v>1.0241455135017153E-4</v>
      </c>
      <c r="U947" s="15">
        <f>D947/C947</f>
        <v>-8.1586036811609475E-2</v>
      </c>
      <c r="V947" s="15">
        <f>(E947-F947)/O947</f>
        <v>-1.2800730496029651E-4</v>
      </c>
      <c r="W947" s="15">
        <f>H947/K947</f>
        <v>2.3292220882266481E-2</v>
      </c>
      <c r="X947" s="15">
        <f>(H947-I947)/K947</f>
        <v>2.3292220882266481E-2</v>
      </c>
      <c r="Y947" s="15">
        <f>(H947-K947)/G947</f>
        <v>-1.7525744537608605</v>
      </c>
      <c r="Z947" s="15">
        <f>J947/N947</f>
        <v>-2.2498937238187895</v>
      </c>
      <c r="AA947" s="15">
        <f>J947/G947</f>
        <v>1.8000680225393155</v>
      </c>
      <c r="AB947" s="15">
        <f>C947/G947</f>
        <v>7.635790319541179E-3</v>
      </c>
      <c r="AC947" s="15">
        <f>C947/(G947-K947)</f>
        <v>-9.612393531708471E-3</v>
      </c>
      <c r="AD947" s="15">
        <f>Q947/E947</f>
        <v>-875.68141170507113</v>
      </c>
      <c r="AE947" s="15">
        <f>Q947/J947</f>
        <v>-4.9821738835706099E-2</v>
      </c>
      <c r="AF947" s="15">
        <f>Q947/G947</f>
        <v>-8.9682518905459696E-2</v>
      </c>
      <c r="AG947" s="15">
        <f>Q947/K947</f>
        <v>-4.997996728633583E-2</v>
      </c>
      <c r="AH947" s="15">
        <f>Q947/L947</f>
        <v>-5.0286316855572354E-2</v>
      </c>
      <c r="AI947" s="6">
        <f>R947</f>
        <v>79</v>
      </c>
      <c r="AJ947" s="6">
        <f>P947</f>
        <v>-1753484.5689999999</v>
      </c>
    </row>
    <row r="948" spans="1:36" x14ac:dyDescent="0.25">
      <c r="A948" t="s">
        <v>150</v>
      </c>
      <c r="B948">
        <v>2019</v>
      </c>
      <c r="C948" s="1">
        <v>18106.035</v>
      </c>
      <c r="D948" s="1">
        <v>-4192.607</v>
      </c>
      <c r="E948" s="1">
        <v>-2727.665</v>
      </c>
      <c r="F948" s="1">
        <v>0</v>
      </c>
      <c r="G948" s="1">
        <v>1870126.602</v>
      </c>
      <c r="H948" s="1">
        <v>1817389.909</v>
      </c>
      <c r="I948" s="1">
        <v>0</v>
      </c>
      <c r="J948" s="1">
        <v>4779120.0480000004</v>
      </c>
      <c r="K948" s="1">
        <v>4776001.6890000002</v>
      </c>
      <c r="L948" s="1">
        <v>20315.031999999999</v>
      </c>
      <c r="M948" s="1">
        <v>3100</v>
      </c>
      <c r="N948" s="1">
        <v>-2908993.4449999998</v>
      </c>
      <c r="O948" s="1">
        <v>-2908993.4449999998</v>
      </c>
      <c r="P948" s="1">
        <v>-2546196.7030000002</v>
      </c>
      <c r="Q948" s="1">
        <v>-20201.491000000002</v>
      </c>
      <c r="R948" s="1">
        <v>69.7</v>
      </c>
      <c r="S948" s="14"/>
      <c r="T948">
        <f>E948/G948</f>
        <v>-1.4585456391470548E-3</v>
      </c>
      <c r="U948">
        <f>D948/C948</f>
        <v>-0.23155853835475299</v>
      </c>
      <c r="V948">
        <f>(E948-F948)/O948</f>
        <v>9.3766625864638207E-4</v>
      </c>
      <c r="W948">
        <f>H948/K948</f>
        <v>0.38052539076478537</v>
      </c>
      <c r="X948">
        <f>(H948-I948)/K948</f>
        <v>0.38052539076478537</v>
      </c>
      <c r="Y948">
        <f>(H948-K948)/G948</f>
        <v>-1.5820382303721705</v>
      </c>
      <c r="Z948">
        <f>J948/N948</f>
        <v>-1.6428775582888948</v>
      </c>
      <c r="AA948">
        <f>J948/G948</f>
        <v>2.5555061581868244</v>
      </c>
      <c r="AB948">
        <f>C948/G948</f>
        <v>9.6817161900357804E-3</v>
      </c>
      <c r="AC948">
        <f>C948/(G948-K948)</f>
        <v>-6.2308373408756909E-3</v>
      </c>
      <c r="AD948">
        <f>Q948/E948</f>
        <v>7.406148115696026</v>
      </c>
      <c r="AE948">
        <f>Q948/J948</f>
        <v>-4.2270315031015101E-3</v>
      </c>
      <c r="AF948">
        <f>Q948/G948</f>
        <v>-1.0802205037025617E-2</v>
      </c>
      <c r="AG948">
        <f>Q948/K948</f>
        <v>-4.2297914271110298E-3</v>
      </c>
      <c r="AH948">
        <f>Q948/L948</f>
        <v>-0.9944109859142729</v>
      </c>
      <c r="AI948" s="1">
        <f>R948</f>
        <v>69.7</v>
      </c>
      <c r="AJ948" s="1">
        <f>P948</f>
        <v>-2546196.7030000002</v>
      </c>
    </row>
    <row r="949" spans="1:36" x14ac:dyDescent="0.25">
      <c r="A949" t="s">
        <v>150</v>
      </c>
      <c r="B949">
        <v>2020</v>
      </c>
      <c r="C949" s="1">
        <v>18227.91</v>
      </c>
      <c r="D949" s="1">
        <v>-1351.383</v>
      </c>
      <c r="E949" s="1">
        <v>-1647.0160000000001</v>
      </c>
      <c r="F949" s="1">
        <v>0</v>
      </c>
      <c r="G949" s="1">
        <v>118726.93700000001</v>
      </c>
      <c r="H949" s="1">
        <v>70047.45</v>
      </c>
      <c r="I949" s="1">
        <v>0</v>
      </c>
      <c r="J949" s="1">
        <v>3471174.5469999998</v>
      </c>
      <c r="K949" s="1">
        <v>3469552.4759999998</v>
      </c>
      <c r="L949" s="1">
        <v>4108.9809999999998</v>
      </c>
      <c r="M949" s="1">
        <v>0</v>
      </c>
      <c r="N949" s="1">
        <v>-3352447.608</v>
      </c>
      <c r="O949" s="1">
        <v>-3352447.608</v>
      </c>
      <c r="P949" s="1">
        <v>-2747149.6179999998</v>
      </c>
      <c r="Q949" s="1">
        <v>-1851.528</v>
      </c>
      <c r="R949" s="1">
        <v>47.3</v>
      </c>
      <c r="S949" s="14"/>
      <c r="T949">
        <f>E949/G949</f>
        <v>-1.3872302626656662E-2</v>
      </c>
      <c r="U949">
        <f>D949/C949</f>
        <v>-7.4138121155963577E-2</v>
      </c>
      <c r="V949">
        <f>(E949-F949)/O949</f>
        <v>4.912876180584296E-4</v>
      </c>
      <c r="W949">
        <f>H949/K949</f>
        <v>2.0189188803034552E-2</v>
      </c>
      <c r="X949">
        <f>(H949-I949)/K949</f>
        <v>2.0189188803034552E-2</v>
      </c>
      <c r="Y949">
        <f>(H949-K949)/G949</f>
        <v>-28.632971690324997</v>
      </c>
      <c r="Z949">
        <f>J949/N949</f>
        <v>-1.0354150020768944</v>
      </c>
      <c r="AA949">
        <f>J949/G949</f>
        <v>29.23662173648091</v>
      </c>
      <c r="AB949">
        <f>C949/G949</f>
        <v>0.15352800687513735</v>
      </c>
      <c r="AC949">
        <f>C949/(G949-K949)</f>
        <v>-5.4398266301383825E-3</v>
      </c>
      <c r="AD949">
        <f>Q949/E949</f>
        <v>1.1241712284519396</v>
      </c>
      <c r="AE949">
        <f>Q949/J949</f>
        <v>-5.3340100733344079E-4</v>
      </c>
      <c r="AF949">
        <f>Q949/G949</f>
        <v>-1.5594843485265689E-2</v>
      </c>
      <c r="AG949">
        <f>Q949/K949</f>
        <v>-5.3365038079337588E-4</v>
      </c>
      <c r="AH949">
        <f>Q949/L949</f>
        <v>-0.45060515003598217</v>
      </c>
      <c r="AI949" s="1">
        <f>R949</f>
        <v>47.3</v>
      </c>
      <c r="AJ949" s="1">
        <f>P949</f>
        <v>-2747149.6179999998</v>
      </c>
    </row>
    <row r="950" spans="1:36" x14ac:dyDescent="0.25">
      <c r="A950" t="s">
        <v>150</v>
      </c>
      <c r="B950">
        <v>2021</v>
      </c>
      <c r="C950" s="1">
        <v>18833.428</v>
      </c>
      <c r="D950" s="1">
        <v>-2543.5500000000002</v>
      </c>
      <c r="E950" s="1">
        <v>2795916.1710000001</v>
      </c>
      <c r="F950" s="1">
        <v>0</v>
      </c>
      <c r="G950" s="1">
        <v>102724.818</v>
      </c>
      <c r="H950" s="1">
        <v>57851.97</v>
      </c>
      <c r="I950" s="1">
        <v>0</v>
      </c>
      <c r="J950" s="1">
        <v>16695.657999999999</v>
      </c>
      <c r="K950" s="1">
        <v>15729.083000000001</v>
      </c>
      <c r="L950" s="1">
        <v>485.79300000000001</v>
      </c>
      <c r="M950" s="1">
        <v>0</v>
      </c>
      <c r="N950" s="1">
        <v>86029.157999999996</v>
      </c>
      <c r="O950" s="1">
        <v>86029.157999999996</v>
      </c>
      <c r="P950" s="1">
        <v>48766.552000000003</v>
      </c>
      <c r="Q950" s="1">
        <v>-2405.933</v>
      </c>
      <c r="R950" s="1">
        <v>72.3</v>
      </c>
      <c r="T950">
        <f>E950/G950</f>
        <v>27.217533459149085</v>
      </c>
      <c r="U950">
        <f>D950/C950</f>
        <v>-0.13505507335148972</v>
      </c>
      <c r="V950">
        <f>(E950-F950)/O950</f>
        <v>32.499634263536556</v>
      </c>
      <c r="W950">
        <f>H950/K950</f>
        <v>3.6780256039083778</v>
      </c>
      <c r="X950">
        <f>(H950-I950)/K950</f>
        <v>3.6780256039083778</v>
      </c>
      <c r="Y950">
        <f>(H950-K950)/G950</f>
        <v>0.41005560116932993</v>
      </c>
      <c r="Z950">
        <f>J950/N950</f>
        <v>0.19406975946457594</v>
      </c>
      <c r="AA950">
        <f>J950/G950</f>
        <v>0.16252798812454455</v>
      </c>
      <c r="AB950">
        <f>C950/G950</f>
        <v>0.18333863584942053</v>
      </c>
      <c r="AC950">
        <f>C950/(G950-K950)</f>
        <v>0.21648679673779408</v>
      </c>
      <c r="AD950">
        <f>Q950/E950</f>
        <v>-8.6051685846485267E-4</v>
      </c>
      <c r="AE950">
        <f>Q950/J950</f>
        <v>-0.14410531169241728</v>
      </c>
      <c r="AF950">
        <f>Q950/G950</f>
        <v>-2.3421146387428985E-2</v>
      </c>
      <c r="AG950">
        <f>Q950/K950</f>
        <v>-0.15296079243780453</v>
      </c>
      <c r="AH950">
        <f>Q950/L950</f>
        <v>-4.9525888598641812</v>
      </c>
      <c r="AI950" s="1">
        <f>R950</f>
        <v>72.3</v>
      </c>
      <c r="AJ950" s="1">
        <f>P950</f>
        <v>48766.552000000003</v>
      </c>
    </row>
    <row r="951" spans="1:36" x14ac:dyDescent="0.25">
      <c r="A951" t="s">
        <v>150</v>
      </c>
      <c r="B951">
        <v>2022</v>
      </c>
      <c r="C951" s="1">
        <v>19687.989000000001</v>
      </c>
      <c r="D951" s="1">
        <v>-9334.4779999999992</v>
      </c>
      <c r="E951" s="1">
        <v>-4682.0770000000002</v>
      </c>
      <c r="F951" s="1">
        <v>0</v>
      </c>
      <c r="G951" s="1">
        <v>94914.835000000006</v>
      </c>
      <c r="H951" s="1">
        <v>49608.137999999999</v>
      </c>
      <c r="I951" s="1">
        <v>0</v>
      </c>
      <c r="J951" s="1">
        <v>13529.885</v>
      </c>
      <c r="K951" s="1">
        <v>12405.507</v>
      </c>
      <c r="L951" s="1">
        <v>318.25700000000001</v>
      </c>
      <c r="M951" s="1">
        <v>0</v>
      </c>
      <c r="N951" s="1">
        <v>81384.947</v>
      </c>
      <c r="O951" s="1">
        <v>81384.947</v>
      </c>
      <c r="P951" s="1">
        <v>44122.341</v>
      </c>
      <c r="Q951" s="1">
        <v>-367.971</v>
      </c>
      <c r="R951" s="1">
        <v>223.5</v>
      </c>
      <c r="T951">
        <f>E951/G951</f>
        <v>-4.932924342122072E-2</v>
      </c>
      <c r="U951">
        <f>D951/C951</f>
        <v>-0.47412043962438211</v>
      </c>
      <c r="V951">
        <f>(E951-F951)/O951</f>
        <v>-5.7530012276103104E-2</v>
      </c>
      <c r="W951">
        <f>H951/K951</f>
        <v>3.9988803359669221</v>
      </c>
      <c r="X951">
        <f>(H951-I951)/K951</f>
        <v>3.9988803359669221</v>
      </c>
      <c r="Y951">
        <f>(H951-K951)/G951</f>
        <v>0.39195802215744252</v>
      </c>
      <c r="Z951">
        <f>J951/N951</f>
        <v>0.16624554661195515</v>
      </c>
      <c r="AA951">
        <f>J951/G951</f>
        <v>0.14254763230637232</v>
      </c>
      <c r="AB951">
        <f>C951/G951</f>
        <v>0.20742794316610255</v>
      </c>
      <c r="AC951">
        <f>C951/(G951-K951)</f>
        <v>0.23861531147120724</v>
      </c>
      <c r="AD951">
        <f>Q951/E951</f>
        <v>7.859140291797849E-2</v>
      </c>
      <c r="AE951">
        <f>Q951/J951</f>
        <v>-2.7196905221293456E-2</v>
      </c>
      <c r="AF951">
        <f>Q951/G951</f>
        <v>-3.8768544453561971E-3</v>
      </c>
      <c r="AG951">
        <f>Q951/K951</f>
        <v>-2.9661907409346513E-2</v>
      </c>
      <c r="AH951">
        <f>Q951/L951</f>
        <v>-1.1562070904960455</v>
      </c>
      <c r="AI951" s="1">
        <f>R951</f>
        <v>223.5</v>
      </c>
      <c r="AJ951" s="1">
        <f>P951</f>
        <v>44122.341</v>
      </c>
    </row>
    <row r="952" spans="1:36" x14ac:dyDescent="0.25">
      <c r="A952" t="s">
        <v>150</v>
      </c>
      <c r="B952">
        <v>2023</v>
      </c>
      <c r="C952" s="1">
        <v>17200.884999999998</v>
      </c>
      <c r="D952" s="1">
        <v>-6178.4740000000002</v>
      </c>
      <c r="E952" s="1">
        <v>-1124.8630000000001</v>
      </c>
      <c r="F952" s="1">
        <v>0</v>
      </c>
      <c r="G952" s="1">
        <v>94181.633000000002</v>
      </c>
      <c r="H952" s="1">
        <v>54110.771999999997</v>
      </c>
      <c r="I952" s="1">
        <v>0</v>
      </c>
      <c r="J952" s="1">
        <v>13578.444</v>
      </c>
      <c r="K952" s="1">
        <v>12570.66</v>
      </c>
      <c r="L952" s="1">
        <v>1523.404</v>
      </c>
      <c r="M952" s="1">
        <v>0</v>
      </c>
      <c r="N952" s="1">
        <v>80603.19</v>
      </c>
      <c r="O952" s="1">
        <v>80603.19</v>
      </c>
      <c r="P952" s="1">
        <v>43340.584000000003</v>
      </c>
      <c r="Q952" s="1">
        <v>-3998.51</v>
      </c>
      <c r="R952" s="1">
        <v>190</v>
      </c>
      <c r="T952">
        <f>E952/G952</f>
        <v>-1.1943549545376858E-2</v>
      </c>
      <c r="U952">
        <f>D952/C952</f>
        <v>-0.35919512280908805</v>
      </c>
      <c r="V952">
        <f>(E952-F952)/O952</f>
        <v>-1.395556428970119E-2</v>
      </c>
      <c r="W952">
        <f>H952/K952</f>
        <v>4.3045291178028835</v>
      </c>
      <c r="X952">
        <f>(H952-I952)/K952</f>
        <v>4.3045291178028835</v>
      </c>
      <c r="Y952">
        <f>(H952-K952)/G952</f>
        <v>0.44106383247782499</v>
      </c>
      <c r="Z952">
        <f>J952/N952</f>
        <v>0.16846037979390144</v>
      </c>
      <c r="AA952">
        <f>J952/G952</f>
        <v>0.14417295142886299</v>
      </c>
      <c r="AB952">
        <f>C952/G952</f>
        <v>0.18263523844399682</v>
      </c>
      <c r="AC952">
        <f>C952/(G952-K952)</f>
        <v>0.2107668168592966</v>
      </c>
      <c r="AD952">
        <f>Q952/E952</f>
        <v>3.5546639901925836</v>
      </c>
      <c r="AE952">
        <f>Q952/J952</f>
        <v>-0.29447483084217901</v>
      </c>
      <c r="AF952">
        <f>Q952/G952</f>
        <v>-4.2455305484032119E-2</v>
      </c>
      <c r="AG952">
        <f>Q952/K952</f>
        <v>-0.31808274187671931</v>
      </c>
      <c r="AH952">
        <f>Q952/L952</f>
        <v>-2.6247206912939709</v>
      </c>
      <c r="AI952" s="1">
        <f>R952</f>
        <v>190</v>
      </c>
      <c r="AJ952" s="1">
        <f>P952</f>
        <v>43340.584000000003</v>
      </c>
    </row>
    <row r="953" spans="1:36" s="8" customFormat="1" x14ac:dyDescent="0.25">
      <c r="A953" s="8" t="s">
        <v>150</v>
      </c>
      <c r="B953" s="8">
        <v>2024</v>
      </c>
      <c r="C953" s="9">
        <v>18444.324000000001</v>
      </c>
      <c r="D953" s="9">
        <v>-8011.567</v>
      </c>
      <c r="E953" s="9">
        <v>-2090.0990000000002</v>
      </c>
      <c r="F953" s="9">
        <v>0</v>
      </c>
      <c r="G953" s="9">
        <v>95716.11</v>
      </c>
      <c r="H953" s="9">
        <v>57877.368999999999</v>
      </c>
      <c r="I953" s="9">
        <v>0</v>
      </c>
      <c r="J953" s="9">
        <v>17607.231</v>
      </c>
      <c r="K953" s="9">
        <v>16347.032999999999</v>
      </c>
      <c r="L953" s="9">
        <v>4120.4160000000002</v>
      </c>
      <c r="M953" s="9">
        <v>0</v>
      </c>
      <c r="N953" s="9">
        <v>78108.877999999997</v>
      </c>
      <c r="O953" s="9">
        <v>78108.877999999997</v>
      </c>
      <c r="P953" s="9">
        <v>40846.271999999997</v>
      </c>
      <c r="Q953" s="9">
        <v>-7905.5249999999996</v>
      </c>
      <c r="R953" s="9">
        <v>158.75</v>
      </c>
      <c r="T953" s="8">
        <f>E953/G953</f>
        <v>-2.1836439027871066E-2</v>
      </c>
      <c r="U953" s="8">
        <f>D953/C953</f>
        <v>-0.43436490272020811</v>
      </c>
      <c r="V953" s="8">
        <f>(E953-F953)/O953</f>
        <v>-2.6758789186550603E-2</v>
      </c>
      <c r="W953" s="8">
        <f>H953/K953</f>
        <v>3.5405427394683793</v>
      </c>
      <c r="X953" s="8">
        <f>(H953-I953)/K953</f>
        <v>3.5405427394683793</v>
      </c>
      <c r="Y953" s="8">
        <f>(H953-K953)/G953</f>
        <v>0.43389076300739754</v>
      </c>
      <c r="Z953" s="8">
        <f>J953/N953</f>
        <v>0.22541907464091343</v>
      </c>
      <c r="AA953" s="8">
        <f>J953/G953</f>
        <v>0.18395263869373712</v>
      </c>
      <c r="AB953" s="8">
        <f>C953/G953</f>
        <v>0.19269821976676654</v>
      </c>
      <c r="AC953" s="8">
        <f>C953/(G953-K953)</f>
        <v>0.23238677703156355</v>
      </c>
      <c r="AD953" s="8">
        <f>Q953/E953</f>
        <v>3.7823686820576436</v>
      </c>
      <c r="AE953" s="8">
        <f>Q953/J953</f>
        <v>-0.44899308698795398</v>
      </c>
      <c r="AF953" s="8">
        <f>Q953/G953</f>
        <v>-8.2593463106680781E-2</v>
      </c>
      <c r="AG953" s="8">
        <f>Q953/K953</f>
        <v>-0.48360610760374678</v>
      </c>
      <c r="AH953" s="8">
        <f>Q953/L953</f>
        <v>-1.9186230225297638</v>
      </c>
      <c r="AI953" s="9">
        <f>R953</f>
        <v>158.75</v>
      </c>
      <c r="AJ953" s="9">
        <f>P953</f>
        <v>40846.271999999997</v>
      </c>
    </row>
    <row r="954" spans="1:36" x14ac:dyDescent="0.25">
      <c r="A954" s="15" t="s">
        <v>152</v>
      </c>
      <c r="B954" s="15">
        <v>2018</v>
      </c>
      <c r="C954" s="6">
        <v>937388</v>
      </c>
      <c r="D954" s="6">
        <v>28080</v>
      </c>
      <c r="E954" s="6">
        <v>3119</v>
      </c>
      <c r="F954" s="6"/>
      <c r="G954" s="6">
        <v>662834</v>
      </c>
      <c r="H954" s="6">
        <v>571560</v>
      </c>
      <c r="I954" s="6">
        <v>103373</v>
      </c>
      <c r="J954" s="6">
        <v>465979</v>
      </c>
      <c r="K954" s="6">
        <v>460084</v>
      </c>
      <c r="L954" s="6">
        <v>390702</v>
      </c>
      <c r="M954" s="6">
        <v>0</v>
      </c>
      <c r="N954" s="6">
        <v>196855</v>
      </c>
      <c r="O954" s="6">
        <v>196855</v>
      </c>
      <c r="P954" s="6">
        <v>97834</v>
      </c>
      <c r="Q954" s="6">
        <v>53098</v>
      </c>
      <c r="R954" s="6">
        <v>1</v>
      </c>
      <c r="S954" s="15"/>
      <c r="T954" s="15">
        <f>E954/G954</f>
        <v>4.7055522197111191E-3</v>
      </c>
      <c r="U954" s="15">
        <f>D954/C954</f>
        <v>2.9955578693134539E-2</v>
      </c>
      <c r="V954" s="15">
        <f>(E954-F954)/O954</f>
        <v>1.5844149246907621E-2</v>
      </c>
      <c r="W954" s="15">
        <f>H954/K954</f>
        <v>1.2422948852818181</v>
      </c>
      <c r="X954" s="15">
        <f>(H954-I954)/K954</f>
        <v>1.0176120012867216</v>
      </c>
      <c r="Y954" s="15">
        <f>(H954-K954)/G954</f>
        <v>0.1681808718321631</v>
      </c>
      <c r="Z954" s="15">
        <f>J954/N954</f>
        <v>2.3671179294404512</v>
      </c>
      <c r="AA954" s="15">
        <f>J954/G954</f>
        <v>0.70301010509418649</v>
      </c>
      <c r="AB954" s="15">
        <f>C954/G954</f>
        <v>1.414212306550358</v>
      </c>
      <c r="AC954" s="15">
        <f>C954/(G954-K954)</f>
        <v>4.6233686806411836</v>
      </c>
      <c r="AD954" s="15">
        <f>Q954/E954</f>
        <v>17.024046168643796</v>
      </c>
      <c r="AE954" s="15">
        <f>Q954/J954</f>
        <v>0.1139493410647261</v>
      </c>
      <c r="AF954" s="15">
        <f>Q954/G954</f>
        <v>8.0107538237326387E-2</v>
      </c>
      <c r="AG954" s="15">
        <f>Q954/K954</f>
        <v>0.11540936002990758</v>
      </c>
      <c r="AH954" s="15">
        <f>Q954/L954</f>
        <v>0.13590409058566374</v>
      </c>
      <c r="AI954" s="6">
        <f>R954</f>
        <v>1</v>
      </c>
      <c r="AJ954" s="6">
        <f>P954</f>
        <v>97834</v>
      </c>
    </row>
    <row r="955" spans="1:36" x14ac:dyDescent="0.25">
      <c r="A955" t="s">
        <v>152</v>
      </c>
      <c r="B955">
        <v>2019</v>
      </c>
      <c r="C955" s="1">
        <v>988647</v>
      </c>
      <c r="D955" s="1">
        <v>-2153</v>
      </c>
      <c r="E955" s="1">
        <v>-60512</v>
      </c>
      <c r="G955" s="1">
        <v>699746</v>
      </c>
      <c r="H955" s="1">
        <v>614835</v>
      </c>
      <c r="I955" s="1">
        <v>76093</v>
      </c>
      <c r="J955" s="1">
        <v>578875</v>
      </c>
      <c r="K955" s="1">
        <v>569885</v>
      </c>
      <c r="L955" s="1">
        <v>383090</v>
      </c>
      <c r="M955" s="1">
        <v>0</v>
      </c>
      <c r="N955" s="1">
        <v>120871</v>
      </c>
      <c r="O955" s="1">
        <v>120871</v>
      </c>
      <c r="P955" s="1">
        <v>24878</v>
      </c>
      <c r="Q955" s="1">
        <v>-107196</v>
      </c>
      <c r="R955" s="1">
        <v>0.6</v>
      </c>
      <c r="T955">
        <f>E955/G955</f>
        <v>-8.6477093116645185E-2</v>
      </c>
      <c r="U955">
        <f>D955/C955</f>
        <v>-2.1777236971335574E-3</v>
      </c>
      <c r="V955">
        <f>(E955-F955)/O955</f>
        <v>-0.50063290615614997</v>
      </c>
      <c r="W955">
        <f>H955/K955</f>
        <v>1.0788755626135098</v>
      </c>
      <c r="X955">
        <f>(H955-I955)/K955</f>
        <v>0.9453521324477745</v>
      </c>
      <c r="Y955">
        <f>(H955-K955)/G955</f>
        <v>6.4237594784393198E-2</v>
      </c>
      <c r="Z955">
        <f>J955/N955</f>
        <v>4.7891967469450902</v>
      </c>
      <c r="AA955">
        <f>J955/G955</f>
        <v>0.82726446453427382</v>
      </c>
      <c r="AB955">
        <f>C955/G955</f>
        <v>1.4128655254906781</v>
      </c>
      <c r="AC955">
        <f>C955/(G955-K955)</f>
        <v>7.6131171021322803</v>
      </c>
      <c r="AD955">
        <f>Q955/E955</f>
        <v>1.7714833421470122</v>
      </c>
      <c r="AE955">
        <f>Q955/J955</f>
        <v>-0.1851798747570719</v>
      </c>
      <c r="AF955">
        <f>Q955/G955</f>
        <v>-0.153192729933433</v>
      </c>
      <c r="AG955">
        <f>Q955/K955</f>
        <v>-0.18810110811830458</v>
      </c>
      <c r="AH955">
        <f>Q955/L955</f>
        <v>-0.27981936359602183</v>
      </c>
      <c r="AI955" s="1">
        <f>R955</f>
        <v>0.6</v>
      </c>
      <c r="AJ955" s="1">
        <f>P955</f>
        <v>24878</v>
      </c>
    </row>
    <row r="956" spans="1:36" x14ac:dyDescent="0.25">
      <c r="A956" t="s">
        <v>152</v>
      </c>
      <c r="B956">
        <v>2020</v>
      </c>
      <c r="C956" s="1">
        <v>847098</v>
      </c>
      <c r="D956" s="1">
        <v>-25334</v>
      </c>
      <c r="E956" s="1">
        <v>-103953</v>
      </c>
      <c r="G956" s="1">
        <v>659846</v>
      </c>
      <c r="H956" s="1">
        <v>597290</v>
      </c>
      <c r="I956" s="1">
        <v>108693</v>
      </c>
      <c r="J956" s="1">
        <v>636336</v>
      </c>
      <c r="K956" s="1">
        <v>583060</v>
      </c>
      <c r="L956" s="1">
        <v>222505</v>
      </c>
      <c r="M956" s="1">
        <v>37500</v>
      </c>
      <c r="N956" s="1">
        <v>23510</v>
      </c>
      <c r="O956" s="1">
        <v>23510</v>
      </c>
      <c r="P956" s="1">
        <v>-78841</v>
      </c>
      <c r="Q956" s="1">
        <v>159786</v>
      </c>
      <c r="R956" s="1">
        <v>0.6</v>
      </c>
      <c r="T956">
        <f>E956/G956</f>
        <v>-0.15754130509240036</v>
      </c>
      <c r="U956">
        <f>D956/C956</f>
        <v>-2.9906811254423928E-2</v>
      </c>
      <c r="V956">
        <f>(E956-F956)/O956</f>
        <v>-4.4216503615482772</v>
      </c>
      <c r="W956">
        <f>H956/K956</f>
        <v>1.0244057215380922</v>
      </c>
      <c r="X956">
        <f>(H956-I956)/K956</f>
        <v>0.83798751414948713</v>
      </c>
      <c r="Y956">
        <f>(H956-K956)/G956</f>
        <v>2.1565638042816051E-2</v>
      </c>
      <c r="Z956">
        <f>J956/N956</f>
        <v>27.066609953211401</v>
      </c>
      <c r="AA956">
        <f>J956/G956</f>
        <v>0.96437047432279654</v>
      </c>
      <c r="AB956">
        <f>C956/G956</f>
        <v>1.2837813671674907</v>
      </c>
      <c r="AC956">
        <f>C956/(G956-K956)</f>
        <v>11.031932904435704</v>
      </c>
      <c r="AD956">
        <f>Q956/E956</f>
        <v>-1.5370984964358894</v>
      </c>
      <c r="AE956">
        <f>Q956/J956</f>
        <v>0.25110319076714188</v>
      </c>
      <c r="AF956">
        <f>Q956/G956</f>
        <v>0.24215650318407628</v>
      </c>
      <c r="AG956">
        <f>Q956/K956</f>
        <v>0.27404726786265565</v>
      </c>
      <c r="AH956">
        <f>Q956/L956</f>
        <v>0.71812318824296084</v>
      </c>
      <c r="AI956" s="1">
        <f>R956</f>
        <v>0.6</v>
      </c>
      <c r="AJ956" s="1">
        <f>P956</f>
        <v>-78841</v>
      </c>
    </row>
    <row r="957" spans="1:36" x14ac:dyDescent="0.25">
      <c r="A957" t="s">
        <v>152</v>
      </c>
      <c r="B957">
        <v>2021</v>
      </c>
      <c r="C957" s="1">
        <v>750876</v>
      </c>
      <c r="D957" s="1">
        <v>72657</v>
      </c>
      <c r="E957" s="1">
        <v>66827</v>
      </c>
      <c r="G957" s="1">
        <v>515298</v>
      </c>
      <c r="H957" s="1">
        <v>428047</v>
      </c>
      <c r="I957" s="1">
        <v>91326</v>
      </c>
      <c r="J957" s="1">
        <v>430897</v>
      </c>
      <c r="K957" s="1">
        <v>419302</v>
      </c>
      <c r="L957" s="1">
        <v>90886</v>
      </c>
      <c r="M957" s="1">
        <v>970</v>
      </c>
      <c r="N957" s="1">
        <v>84401</v>
      </c>
      <c r="O957" s="1">
        <v>84401</v>
      </c>
      <c r="P957" s="1">
        <v>-13350</v>
      </c>
      <c r="Q957" s="1">
        <v>84552</v>
      </c>
      <c r="R957" s="1">
        <v>1.1000000000000001</v>
      </c>
      <c r="T957">
        <f>E957/G957</f>
        <v>0.12968612336939014</v>
      </c>
      <c r="U957">
        <f>D957/C957</f>
        <v>9.6762980838380766E-2</v>
      </c>
      <c r="V957">
        <f>(E957-F957)/O957</f>
        <v>0.79177971824978377</v>
      </c>
      <c r="W957">
        <f>H957/K957</f>
        <v>1.0208560894057266</v>
      </c>
      <c r="X957">
        <f>(H957-I957)/K957</f>
        <v>0.80305126138201111</v>
      </c>
      <c r="Y957">
        <f>(H957-K957)/G957</f>
        <v>1.6970762549049289E-2</v>
      </c>
      <c r="Z957">
        <f>J957/N957</f>
        <v>5.105354201964432</v>
      </c>
      <c r="AA957">
        <f>J957/G957</f>
        <v>0.8362093390620573</v>
      </c>
      <c r="AB957">
        <f>C957/G957</f>
        <v>1.4571684733882142</v>
      </c>
      <c r="AC957">
        <f>C957/(G957-K957)</f>
        <v>7.8219509146214428</v>
      </c>
      <c r="AD957">
        <f>Q957/E957</f>
        <v>1.2652371047630449</v>
      </c>
      <c r="AE957">
        <f>Q957/J957</f>
        <v>0.19622322736059894</v>
      </c>
      <c r="AF957">
        <f>Q957/G957</f>
        <v>0.16408369525983024</v>
      </c>
      <c r="AG957">
        <f>Q957/K957</f>
        <v>0.20164940782538601</v>
      </c>
      <c r="AH957">
        <f>Q957/L957</f>
        <v>0.93030829830777018</v>
      </c>
      <c r="AI957" s="1">
        <f>R957</f>
        <v>1.1000000000000001</v>
      </c>
      <c r="AJ957" s="1">
        <f>P957</f>
        <v>-13350</v>
      </c>
    </row>
    <row r="958" spans="1:36" x14ac:dyDescent="0.25">
      <c r="A958" t="s">
        <v>152</v>
      </c>
      <c r="B958">
        <v>2022</v>
      </c>
      <c r="C958" s="1">
        <v>1064608</v>
      </c>
      <c r="D958" s="1">
        <v>118544</v>
      </c>
      <c r="E958" s="1">
        <v>-36693</v>
      </c>
      <c r="G958" s="1">
        <v>799173</v>
      </c>
      <c r="H958" s="1">
        <v>697028</v>
      </c>
      <c r="I958" s="1">
        <v>136452</v>
      </c>
      <c r="J958" s="1">
        <v>760669</v>
      </c>
      <c r="K958" s="1">
        <v>752477</v>
      </c>
      <c r="L958" s="1">
        <v>135216</v>
      </c>
      <c r="M958" s="1">
        <v>0</v>
      </c>
      <c r="N958" s="1">
        <v>38504</v>
      </c>
      <c r="O958" s="1">
        <v>38504</v>
      </c>
      <c r="P958" s="1">
        <v>-47200</v>
      </c>
      <c r="Q958" s="1">
        <v>13424</v>
      </c>
      <c r="R958" s="1">
        <v>1</v>
      </c>
      <c r="T958">
        <f>E958/G958</f>
        <v>-4.5913713301125036E-2</v>
      </c>
      <c r="U958">
        <f>D958/C958</f>
        <v>0.11134990531726231</v>
      </c>
      <c r="V958">
        <f>(E958-F958)/O958</f>
        <v>-0.95296592561811755</v>
      </c>
      <c r="W958">
        <f>H958/K958</f>
        <v>0.92631136898536437</v>
      </c>
      <c r="X958">
        <f>(H958-I958)/K958</f>
        <v>0.74497426499414598</v>
      </c>
      <c r="Y958">
        <f>(H958-K958)/G958</f>
        <v>-6.9382974650044477E-2</v>
      </c>
      <c r="Z958">
        <f>J958/N958</f>
        <v>19.75558383544567</v>
      </c>
      <c r="AA958">
        <f>J958/G958</f>
        <v>0.95182019412567742</v>
      </c>
      <c r="AB958">
        <f>C958/G958</f>
        <v>1.3321370967237383</v>
      </c>
      <c r="AC958">
        <f>C958/(G958-K958)</f>
        <v>22.79869796128148</v>
      </c>
      <c r="AD958">
        <f>Q958/E958</f>
        <v>-0.36584634671463223</v>
      </c>
      <c r="AE958">
        <f>Q958/J958</f>
        <v>1.7647623342084404E-2</v>
      </c>
      <c r="AF958">
        <f>Q958/G958</f>
        <v>1.6797364275319613E-2</v>
      </c>
      <c r="AG958">
        <f>Q958/K958</f>
        <v>1.7839747925850226E-2</v>
      </c>
      <c r="AH958">
        <f>Q958/L958</f>
        <v>9.9278191929949119E-2</v>
      </c>
      <c r="AI958" s="1">
        <f>R958</f>
        <v>1</v>
      </c>
      <c r="AJ958" s="1">
        <f>P958</f>
        <v>-47200</v>
      </c>
    </row>
    <row r="959" spans="1:36" x14ac:dyDescent="0.25">
      <c r="A959" t="s">
        <v>152</v>
      </c>
      <c r="B959">
        <v>2023</v>
      </c>
      <c r="C959" s="1">
        <v>526850</v>
      </c>
      <c r="D959" s="1">
        <v>78102</v>
      </c>
      <c r="E959" s="1">
        <v>-88304</v>
      </c>
      <c r="G959" s="1">
        <v>462213</v>
      </c>
      <c r="H959" s="1">
        <v>355598</v>
      </c>
      <c r="I959" s="1">
        <v>80583</v>
      </c>
      <c r="J959" s="1">
        <v>521950</v>
      </c>
      <c r="K959" s="1">
        <v>511572</v>
      </c>
      <c r="L959" s="1">
        <v>303794</v>
      </c>
      <c r="M959" s="1">
        <v>0</v>
      </c>
      <c r="N959" s="1">
        <v>-59737</v>
      </c>
      <c r="O959" s="1">
        <v>-59737</v>
      </c>
      <c r="P959" s="1">
        <v>-135642</v>
      </c>
      <c r="Q959" s="1">
        <v>-91892</v>
      </c>
      <c r="R959" s="1">
        <v>1.2</v>
      </c>
      <c r="S959" s="14"/>
      <c r="T959">
        <f>E959/G959</f>
        <v>-0.19104611942978669</v>
      </c>
      <c r="U959">
        <f>D959/C959</f>
        <v>0.14824333301698775</v>
      </c>
      <c r="V959">
        <f>(E959-F959)/O959</f>
        <v>1.4782128329176223</v>
      </c>
      <c r="W959">
        <f>H959/K959</f>
        <v>0.69510841093726783</v>
      </c>
      <c r="X959">
        <f>(H959-I959)/K959</f>
        <v>0.5375880618954908</v>
      </c>
      <c r="Y959">
        <f>(H959-K959)/G959</f>
        <v>-0.33745048278607481</v>
      </c>
      <c r="Z959">
        <f>J959/N959</f>
        <v>-8.7374658921606372</v>
      </c>
      <c r="AA959">
        <f>J959/G959</f>
        <v>1.1292412805351646</v>
      </c>
      <c r="AB959">
        <f>C959/G959</f>
        <v>1.1398424535874154</v>
      </c>
      <c r="AC959">
        <f>C959/(G959-K959)</f>
        <v>-10.673838610992929</v>
      </c>
      <c r="AD959">
        <f>Q959/E959</f>
        <v>1.0406323609349519</v>
      </c>
      <c r="AE959">
        <f>Q959/J959</f>
        <v>-0.17605517769901333</v>
      </c>
      <c r="AF959">
        <f>Q959/G959</f>
        <v>-0.19880877430967975</v>
      </c>
      <c r="AG959">
        <f>Q959/K959</f>
        <v>-0.17962671921059009</v>
      </c>
      <c r="AH959">
        <f>Q959/L959</f>
        <v>-0.30248128666135604</v>
      </c>
      <c r="AI959" s="1">
        <f>R959</f>
        <v>1.2</v>
      </c>
      <c r="AJ959" s="1">
        <f>P959</f>
        <v>-135642</v>
      </c>
    </row>
    <row r="960" spans="1:36" s="8" customFormat="1" x14ac:dyDescent="0.25">
      <c r="A960" s="8" t="s">
        <v>152</v>
      </c>
      <c r="B960" s="8">
        <v>2024</v>
      </c>
      <c r="C960" s="9">
        <v>763498</v>
      </c>
      <c r="D960" s="9">
        <v>86971</v>
      </c>
      <c r="E960" s="9">
        <v>75089</v>
      </c>
      <c r="F960" s="9"/>
      <c r="G960" s="9">
        <v>647034</v>
      </c>
      <c r="H960" s="9">
        <v>519323</v>
      </c>
      <c r="I960" s="9">
        <v>277315</v>
      </c>
      <c r="J960" s="9">
        <v>378248</v>
      </c>
      <c r="K960" s="9">
        <v>244377</v>
      </c>
      <c r="L960" s="9">
        <v>143378</v>
      </c>
      <c r="M960" s="9">
        <v>115460</v>
      </c>
      <c r="N960" s="9">
        <v>18786</v>
      </c>
      <c r="O960" s="9">
        <v>268786</v>
      </c>
      <c r="P960" s="9">
        <v>-61979</v>
      </c>
      <c r="Q960" s="9">
        <v>-157706</v>
      </c>
      <c r="R960" s="9">
        <v>1.1000000000000001</v>
      </c>
      <c r="T960" s="8">
        <f>E960/G960</f>
        <v>0.11605108850539539</v>
      </c>
      <c r="U960" s="8">
        <f>D960/C960</f>
        <v>0.11391123486898459</v>
      </c>
      <c r="V960" s="8">
        <f>(E960-F960)/O960</f>
        <v>0.27936350851606856</v>
      </c>
      <c r="W960" s="8">
        <f>H960/K960</f>
        <v>2.1250895133339061</v>
      </c>
      <c r="X960" s="8">
        <f>(H960-I960)/K960</f>
        <v>0.99030596169033913</v>
      </c>
      <c r="Y960" s="8">
        <f>(H960-K960)/G960</f>
        <v>0.42493284742378301</v>
      </c>
      <c r="Z960" s="8">
        <f>J960/N960</f>
        <v>20.134568295539232</v>
      </c>
      <c r="AA960" s="8">
        <f>J960/G960</f>
        <v>0.58458751781204699</v>
      </c>
      <c r="AB960" s="8">
        <f>C960/G960</f>
        <v>1.1799967235106656</v>
      </c>
      <c r="AC960" s="8">
        <f>C960/(G960-K960)</f>
        <v>1.8961498247888402</v>
      </c>
      <c r="AD960" s="8">
        <f>Q960/E960</f>
        <v>-2.1002543648204131</v>
      </c>
      <c r="AE960" s="8">
        <f>Q960/J960</f>
        <v>-0.41693809352594063</v>
      </c>
      <c r="AF960" s="8">
        <f>Q960/G960</f>
        <v>-0.24373680517561674</v>
      </c>
      <c r="AG960" s="8">
        <f>Q960/K960</f>
        <v>-0.64533896397778845</v>
      </c>
      <c r="AH960" s="8">
        <f>Q960/L960</f>
        <v>-1.0999316492069913</v>
      </c>
      <c r="AI960" s="9">
        <f>R960</f>
        <v>1.1000000000000001</v>
      </c>
      <c r="AJ960" s="9">
        <f>P960</f>
        <v>-61979</v>
      </c>
    </row>
    <row r="961" spans="1:36" x14ac:dyDescent="0.25">
      <c r="A961" s="15" t="s">
        <v>153</v>
      </c>
      <c r="B961" s="15">
        <v>2018</v>
      </c>
      <c r="C961" s="6">
        <v>2839057</v>
      </c>
      <c r="D961" s="6">
        <v>603356</v>
      </c>
      <c r="E961" s="6">
        <v>373552</v>
      </c>
      <c r="F961" s="6"/>
      <c r="G961" s="6">
        <v>4462603</v>
      </c>
      <c r="H961" s="6">
        <v>491443</v>
      </c>
      <c r="I961" s="6">
        <v>291688</v>
      </c>
      <c r="J961" s="6">
        <v>1875517</v>
      </c>
      <c r="K961" s="6">
        <v>694045</v>
      </c>
      <c r="L961" s="6">
        <v>322450</v>
      </c>
      <c r="M961" s="6">
        <v>67226</v>
      </c>
      <c r="N961" s="6">
        <v>2587086</v>
      </c>
      <c r="O961" s="6">
        <v>2587086</v>
      </c>
      <c r="P961" s="6">
        <v>2237086</v>
      </c>
      <c r="Q961" s="6">
        <v>667292</v>
      </c>
      <c r="R961" s="6">
        <v>87.7</v>
      </c>
      <c r="S961" s="15"/>
      <c r="T961" s="15">
        <f>E961/G961</f>
        <v>8.3707199587326045E-2</v>
      </c>
      <c r="U961" s="15">
        <f>D961/C961</f>
        <v>0.21251986134832798</v>
      </c>
      <c r="V961" s="15">
        <f>(E961-F961)/O961</f>
        <v>0.1443910252693571</v>
      </c>
      <c r="W961" s="15">
        <f>H961/K961</f>
        <v>0.70808521061314467</v>
      </c>
      <c r="X961" s="15">
        <f>(H961-I961)/K961</f>
        <v>0.2878127498937389</v>
      </c>
      <c r="Y961" s="15">
        <f>(H961-K961)/G961</f>
        <v>-4.5399960516317492E-2</v>
      </c>
      <c r="Z961" s="15">
        <f>J961/N961</f>
        <v>0.72495348047958208</v>
      </c>
      <c r="AA961" s="15">
        <f>J961/G961</f>
        <v>0.42027422112161894</v>
      </c>
      <c r="AB961" s="15">
        <f>C961/G961</f>
        <v>0.63618856528353518</v>
      </c>
      <c r="AC961" s="15">
        <f>C961/(G961-K961)</f>
        <v>0.75335367002444964</v>
      </c>
      <c r="AD961" s="15">
        <f>Q961/E961</f>
        <v>1.7863429991005269</v>
      </c>
      <c r="AE961" s="15">
        <f>Q961/J961</f>
        <v>0.35579096323840309</v>
      </c>
      <c r="AF961" s="15">
        <f>Q961/G961</f>
        <v>0.14952976995713041</v>
      </c>
      <c r="AG961" s="15">
        <f>Q961/K961</f>
        <v>0.96145350805783492</v>
      </c>
      <c r="AH961" s="15">
        <f>Q961/L961</f>
        <v>2.0694433245464414</v>
      </c>
      <c r="AI961" s="6">
        <f>R961</f>
        <v>87.7</v>
      </c>
      <c r="AJ961" s="6">
        <f>P961</f>
        <v>2237086</v>
      </c>
    </row>
    <row r="962" spans="1:36" x14ac:dyDescent="0.25">
      <c r="A962" t="s">
        <v>153</v>
      </c>
      <c r="B962">
        <v>2019</v>
      </c>
      <c r="C962" s="1">
        <v>2414326</v>
      </c>
      <c r="D962" s="1">
        <v>365237</v>
      </c>
      <c r="E962" s="1">
        <v>256293</v>
      </c>
      <c r="G962" s="1">
        <v>4561107</v>
      </c>
      <c r="H962" s="1">
        <v>724623</v>
      </c>
      <c r="I962" s="1">
        <v>251792</v>
      </c>
      <c r="J962" s="1">
        <v>1897183</v>
      </c>
      <c r="K962" s="1">
        <v>747241</v>
      </c>
      <c r="L962" s="1">
        <v>92821</v>
      </c>
      <c r="M962" s="1">
        <v>6939</v>
      </c>
      <c r="N962" s="1">
        <v>2663924</v>
      </c>
      <c r="O962" s="1">
        <v>2663924</v>
      </c>
      <c r="P962" s="1">
        <v>2245715</v>
      </c>
      <c r="Q962" s="1">
        <v>526312</v>
      </c>
      <c r="R962" s="1">
        <v>64</v>
      </c>
      <c r="T962">
        <f>E962/G962</f>
        <v>5.61909641672515E-2</v>
      </c>
      <c r="U962">
        <f>D962/C962</f>
        <v>0.15127907333143908</v>
      </c>
      <c r="V962">
        <f>(E962-F962)/O962</f>
        <v>9.6208825777311963E-2</v>
      </c>
      <c r="W962">
        <f>H962/K962</f>
        <v>0.96973131827616521</v>
      </c>
      <c r="X962">
        <f>(H962-I962)/K962</f>
        <v>0.63276907985509356</v>
      </c>
      <c r="Y962">
        <f>(H962-K962)/G962</f>
        <v>-4.9588838849866932E-3</v>
      </c>
      <c r="Z962">
        <f>J962/N962</f>
        <v>0.71217609811691329</v>
      </c>
      <c r="AA962">
        <f>J962/G962</f>
        <v>0.41594792667657216</v>
      </c>
      <c r="AB962">
        <f>C962/G962</f>
        <v>0.52932895457177387</v>
      </c>
      <c r="AC962">
        <f>C962/(G962-K962)</f>
        <v>0.63303902129754952</v>
      </c>
      <c r="AD962">
        <f>Q962/E962</f>
        <v>2.0535558911090042</v>
      </c>
      <c r="AE962">
        <f>Q962/J962</f>
        <v>0.2774176239192529</v>
      </c>
      <c r="AF962">
        <f>Q962/G962</f>
        <v>0.11539128549275428</v>
      </c>
      <c r="AG962">
        <f>Q962/K962</f>
        <v>0.70434036676253042</v>
      </c>
      <c r="AH962">
        <f>Q962/L962</f>
        <v>5.6701823940703076</v>
      </c>
      <c r="AI962" s="1">
        <f>R962</f>
        <v>64</v>
      </c>
      <c r="AJ962" s="1">
        <f>P962</f>
        <v>2245715</v>
      </c>
    </row>
    <row r="963" spans="1:36" x14ac:dyDescent="0.25">
      <c r="A963" t="s">
        <v>153</v>
      </c>
      <c r="B963">
        <v>2020</v>
      </c>
      <c r="C963" s="1">
        <v>2147359</v>
      </c>
      <c r="D963" s="1">
        <v>383270</v>
      </c>
      <c r="E963" s="1">
        <v>286910</v>
      </c>
      <c r="G963" s="1">
        <v>4936736</v>
      </c>
      <c r="H963" s="1">
        <v>627140</v>
      </c>
      <c r="I963" s="1">
        <v>193063</v>
      </c>
      <c r="J963" s="1">
        <v>1883072</v>
      </c>
      <c r="K963" s="1">
        <v>505357</v>
      </c>
      <c r="L963" s="1">
        <v>94599</v>
      </c>
      <c r="M963" s="1">
        <v>0</v>
      </c>
      <c r="N963" s="1">
        <v>3053664</v>
      </c>
      <c r="O963" s="1">
        <v>3053664</v>
      </c>
      <c r="P963" s="1">
        <v>2617562</v>
      </c>
      <c r="Q963" s="1">
        <v>308484</v>
      </c>
      <c r="R963" s="1">
        <v>78</v>
      </c>
      <c r="T963">
        <f>E963/G963</f>
        <v>5.8117347170276071E-2</v>
      </c>
      <c r="U963">
        <f>D963/C963</f>
        <v>0.17848436148776242</v>
      </c>
      <c r="V963">
        <f>(E963-F963)/O963</f>
        <v>9.3955982059584817E-2</v>
      </c>
      <c r="W963">
        <f>H963/K963</f>
        <v>1.2409840963912639</v>
      </c>
      <c r="X963">
        <f>(H963-I963)/K963</f>
        <v>0.85895119687666344</v>
      </c>
      <c r="Y963">
        <f>(H963-K963)/G963</f>
        <v>2.4668728487810571E-2</v>
      </c>
      <c r="Z963">
        <f>J963/N963</f>
        <v>0.61665985517725597</v>
      </c>
      <c r="AA963">
        <f>J963/G963</f>
        <v>0.38144069279783244</v>
      </c>
      <c r="AB963">
        <f>C963/G963</f>
        <v>0.43497545746825433</v>
      </c>
      <c r="AC963">
        <f>C963/(G963-K963)</f>
        <v>0.48458030784548106</v>
      </c>
      <c r="AD963">
        <f>Q963/E963</f>
        <v>1.0751943118050957</v>
      </c>
      <c r="AE963">
        <f>Q963/J963</f>
        <v>0.16381954593345341</v>
      </c>
      <c r="AF963">
        <f>Q963/G963</f>
        <v>6.2487441094682801E-2</v>
      </c>
      <c r="AG963">
        <f>Q963/K963</f>
        <v>0.61042787573932888</v>
      </c>
      <c r="AH963">
        <f>Q963/L963</f>
        <v>3.2609647036438019</v>
      </c>
      <c r="AI963" s="1">
        <f>R963</f>
        <v>78</v>
      </c>
      <c r="AJ963" s="1">
        <f>P963</f>
        <v>2617562</v>
      </c>
    </row>
    <row r="964" spans="1:36" x14ac:dyDescent="0.25">
      <c r="A964" t="s">
        <v>153</v>
      </c>
      <c r="B964">
        <v>2021</v>
      </c>
      <c r="C964" s="1">
        <v>2739070</v>
      </c>
      <c r="D964" s="1">
        <v>916110</v>
      </c>
      <c r="E964" s="1">
        <v>863243</v>
      </c>
      <c r="G964" s="1">
        <v>5784137</v>
      </c>
      <c r="H964" s="1">
        <v>1131323</v>
      </c>
      <c r="I964" s="1">
        <v>176443</v>
      </c>
      <c r="J964" s="1">
        <v>2041740</v>
      </c>
      <c r="K964" s="1">
        <v>704586</v>
      </c>
      <c r="L964" s="1">
        <v>39906</v>
      </c>
      <c r="M964" s="1">
        <v>6667</v>
      </c>
      <c r="N964" s="1">
        <v>3742397</v>
      </c>
      <c r="O964" s="1">
        <v>3742397</v>
      </c>
      <c r="P964" s="1">
        <v>3285685</v>
      </c>
      <c r="Q964" s="1">
        <v>1063647</v>
      </c>
      <c r="R964" s="1">
        <v>184.5</v>
      </c>
      <c r="T964">
        <f>E964/G964</f>
        <v>0.14924318009756685</v>
      </c>
      <c r="U964">
        <f>D964/C964</f>
        <v>0.33446023650363077</v>
      </c>
      <c r="V964">
        <f>(E964-F964)/O964</f>
        <v>0.23066580055509878</v>
      </c>
      <c r="W964">
        <f>H964/K964</f>
        <v>1.6056563712591507</v>
      </c>
      <c r="X964">
        <f>(H964-I964)/K964</f>
        <v>1.3552355567666687</v>
      </c>
      <c r="Y964">
        <f>(H964-K964)/G964</f>
        <v>7.3777125265186497E-2</v>
      </c>
      <c r="Z964">
        <f>J964/N964</f>
        <v>0.54557012524325987</v>
      </c>
      <c r="AA964">
        <f>J964/G964</f>
        <v>0.35298956438964013</v>
      </c>
      <c r="AB964">
        <f>C964/G964</f>
        <v>0.47354860370700069</v>
      </c>
      <c r="AC964">
        <f>C964/(G964-K964)</f>
        <v>0.53923466857602176</v>
      </c>
      <c r="AD964">
        <f>Q964/E964</f>
        <v>1.2321524761857321</v>
      </c>
      <c r="AE964">
        <f>Q964/J964</f>
        <v>0.52095124746539712</v>
      </c>
      <c r="AF964">
        <f>Q964/G964</f>
        <v>0.18389035391105016</v>
      </c>
      <c r="AG964">
        <f>Q964/K964</f>
        <v>1.5096056407592544</v>
      </c>
      <c r="AH964">
        <f>Q964/L964</f>
        <v>26.653811456923769</v>
      </c>
      <c r="AI964" s="1">
        <f>R964</f>
        <v>184.5</v>
      </c>
      <c r="AJ964" s="1">
        <f>P964</f>
        <v>3285685</v>
      </c>
    </row>
    <row r="965" spans="1:36" x14ac:dyDescent="0.25">
      <c r="A965" t="s">
        <v>153</v>
      </c>
      <c r="B965">
        <v>2022</v>
      </c>
      <c r="C965" s="1">
        <v>3888486</v>
      </c>
      <c r="D965" s="1">
        <v>2063121</v>
      </c>
      <c r="E965" s="1">
        <v>1937332</v>
      </c>
      <c r="G965" s="1">
        <v>7569348</v>
      </c>
      <c r="H965" s="1">
        <v>2703869</v>
      </c>
      <c r="I965" s="1">
        <v>217518</v>
      </c>
      <c r="J965" s="1">
        <v>2120211</v>
      </c>
      <c r="K965" s="1">
        <v>777659</v>
      </c>
      <c r="L965" s="1">
        <v>25137</v>
      </c>
      <c r="M965" s="1">
        <v>0</v>
      </c>
      <c r="N965" s="1">
        <v>5449137</v>
      </c>
      <c r="O965" s="1">
        <v>5449137</v>
      </c>
      <c r="P965" s="1">
        <v>4967945</v>
      </c>
      <c r="Q965" s="1">
        <v>1750210</v>
      </c>
      <c r="R965" s="1">
        <v>398.75</v>
      </c>
      <c r="T965">
        <f>E965/G965</f>
        <v>0.25594436931688169</v>
      </c>
      <c r="U965">
        <f>D965/C965</f>
        <v>0.53057179580947444</v>
      </c>
      <c r="V965">
        <f>(E965-F965)/O965</f>
        <v>0.35553005916349689</v>
      </c>
      <c r="W965">
        <f>H965/K965</f>
        <v>3.4769339774888479</v>
      </c>
      <c r="X965">
        <f>(H965-I965)/K965</f>
        <v>3.1972252619721497</v>
      </c>
      <c r="Y965">
        <f>(H965-K965)/G965</f>
        <v>0.25447502215514467</v>
      </c>
      <c r="Z965">
        <f>J965/N965</f>
        <v>0.38909115333308741</v>
      </c>
      <c r="AA965">
        <f>J965/G965</f>
        <v>0.28010483862018237</v>
      </c>
      <c r="AB965">
        <f>C965/G965</f>
        <v>0.5137147875880459</v>
      </c>
      <c r="AC965">
        <f>C965/(G965-K965)</f>
        <v>0.57253593325607222</v>
      </c>
      <c r="AD965">
        <f>Q965/E965</f>
        <v>0.90341252815728024</v>
      </c>
      <c r="AE965">
        <f>Q965/J965</f>
        <v>0.82548859523887008</v>
      </c>
      <c r="AF965">
        <f>Q965/G965</f>
        <v>0.23122334975218473</v>
      </c>
      <c r="AG965">
        <f>Q965/K965</f>
        <v>2.2506137008637461</v>
      </c>
      <c r="AH965">
        <f>Q965/L965</f>
        <v>69.626844890002786</v>
      </c>
      <c r="AI965" s="1">
        <f>R965</f>
        <v>398.75</v>
      </c>
      <c r="AJ965" s="1">
        <f>P965</f>
        <v>4967945</v>
      </c>
    </row>
    <row r="966" spans="1:36" ht="15.75" customHeight="1" x14ac:dyDescent="0.25">
      <c r="A966" t="s">
        <v>153</v>
      </c>
      <c r="B966">
        <v>2023</v>
      </c>
      <c r="C966" s="1">
        <v>5360825</v>
      </c>
      <c r="D966" s="1">
        <v>2796908</v>
      </c>
      <c r="E966" s="1">
        <v>2813817</v>
      </c>
      <c r="G966" s="1">
        <v>10423076</v>
      </c>
      <c r="H966" s="1">
        <v>5052294</v>
      </c>
      <c r="I966" s="1">
        <v>424180</v>
      </c>
      <c r="J966" s="1">
        <v>2545214</v>
      </c>
      <c r="K966" s="1">
        <v>538170</v>
      </c>
      <c r="L966" s="1">
        <v>0</v>
      </c>
      <c r="M966" s="1">
        <v>0</v>
      </c>
      <c r="N966" s="1">
        <v>7877863</v>
      </c>
      <c r="O966" s="1">
        <v>7877863</v>
      </c>
      <c r="P966" s="1">
        <v>7383969</v>
      </c>
      <c r="Q966" s="1">
        <v>2688897</v>
      </c>
      <c r="R966" s="1">
        <v>362.75</v>
      </c>
      <c r="T966">
        <f>E966/G966</f>
        <v>0.26996032649095142</v>
      </c>
      <c r="U966">
        <f>D966/C966</f>
        <v>0.52173089030139952</v>
      </c>
      <c r="V966">
        <f>(E966-F966)/O966</f>
        <v>0.35718024037737139</v>
      </c>
      <c r="W966">
        <f>H966/K966</f>
        <v>9.3879145994760016</v>
      </c>
      <c r="X966">
        <f>(H966-I966)/K966</f>
        <v>8.5997249939610168</v>
      </c>
      <c r="Y966">
        <f>(H966-K966)/G966</f>
        <v>0.43308942580865761</v>
      </c>
      <c r="Z966">
        <f>J966/N966</f>
        <v>0.32308431867880921</v>
      </c>
      <c r="AA966">
        <f>J966/G966</f>
        <v>0.24419029468843939</v>
      </c>
      <c r="AB966">
        <f>C966/G966</f>
        <v>0.51432273927581451</v>
      </c>
      <c r="AC966">
        <f>C966/(G966-K966)</f>
        <v>0.5423243276162667</v>
      </c>
      <c r="AD966">
        <f>Q966/E966</f>
        <v>0.95560478879756572</v>
      </c>
      <c r="AE966">
        <f>Q966/J966</f>
        <v>1.0564522275926505</v>
      </c>
      <c r="AF966">
        <f>Q966/G966</f>
        <v>0.25797538078010751</v>
      </c>
      <c r="AG966">
        <f>Q966/K966</f>
        <v>4.996371035174759</v>
      </c>
      <c r="AH966" t="e">
        <f>Q966/L966</f>
        <v>#DIV/0!</v>
      </c>
      <c r="AI966" s="1">
        <f>R966</f>
        <v>362.75</v>
      </c>
      <c r="AJ966" s="1">
        <f>P966</f>
        <v>7383969</v>
      </c>
    </row>
    <row r="967" spans="1:36" s="8" customFormat="1" x14ac:dyDescent="0.25">
      <c r="A967" s="8" t="s">
        <v>153</v>
      </c>
      <c r="B967" s="8">
        <v>2024</v>
      </c>
      <c r="C967" s="9">
        <v>4517433</v>
      </c>
      <c r="D967" s="9">
        <v>1575700</v>
      </c>
      <c r="E967" s="9">
        <v>1922833</v>
      </c>
      <c r="F967" s="9"/>
      <c r="G967" s="9">
        <v>12648118</v>
      </c>
      <c r="H967" s="9">
        <v>6914735</v>
      </c>
      <c r="I967" s="9">
        <v>367804</v>
      </c>
      <c r="J967" s="9">
        <v>3181773</v>
      </c>
      <c r="K967" s="9">
        <v>882788</v>
      </c>
      <c r="L967" s="9">
        <v>0</v>
      </c>
      <c r="M967" s="9">
        <v>0</v>
      </c>
      <c r="N967" s="9">
        <v>9466345</v>
      </c>
      <c r="O967" s="9">
        <v>9466345</v>
      </c>
      <c r="P967" s="9">
        <v>8966874</v>
      </c>
      <c r="Q967" s="9">
        <v>2052336</v>
      </c>
      <c r="R967" s="9">
        <v>354.5</v>
      </c>
      <c r="T967" s="8">
        <f>E967/G967</f>
        <v>0.15202522620361386</v>
      </c>
      <c r="U967" s="8">
        <f>D967/C967</f>
        <v>0.34880428774483208</v>
      </c>
      <c r="V967" s="8">
        <f>(E967-F967)/O967</f>
        <v>0.20312306386467005</v>
      </c>
      <c r="W967" s="8">
        <f>H967/K967</f>
        <v>7.8328375555626035</v>
      </c>
      <c r="X967" s="8">
        <f>(H967-I967)/K967</f>
        <v>7.4161984530827336</v>
      </c>
      <c r="Y967" s="8">
        <f>(H967-K967)/G967</f>
        <v>0.47690470629701587</v>
      </c>
      <c r="Z967" s="8">
        <f>J967/N967</f>
        <v>0.33611420247202062</v>
      </c>
      <c r="AA967" s="8">
        <f>J967/G967</f>
        <v>0.25156098322295856</v>
      </c>
      <c r="AB967" s="8">
        <f>C967/G967</f>
        <v>0.35716246480306396</v>
      </c>
      <c r="AC967" s="8">
        <f>C967/(G967-K967)</f>
        <v>0.38396143584582837</v>
      </c>
      <c r="AD967" s="8">
        <f>Q967/E967</f>
        <v>1.0673501026870249</v>
      </c>
      <c r="AE967" s="8">
        <f>Q967/J967</f>
        <v>0.64502904512672654</v>
      </c>
      <c r="AF967" s="8">
        <f>Q967/G967</f>
        <v>0.16226414079944543</v>
      </c>
      <c r="AG967" s="8">
        <f>Q967/K967</f>
        <v>2.3248345016017438</v>
      </c>
      <c r="AH967" s="8" t="e">
        <f>Q967/L967</f>
        <v>#DIV/0!</v>
      </c>
      <c r="AI967" s="9">
        <f>R967</f>
        <v>354.5</v>
      </c>
      <c r="AJ967" s="9">
        <f>P967</f>
        <v>8966874</v>
      </c>
    </row>
    <row r="968" spans="1:36" x14ac:dyDescent="0.25">
      <c r="A968" t="s">
        <v>208</v>
      </c>
      <c r="B968">
        <v>2018</v>
      </c>
      <c r="C968" s="1">
        <v>1033721</v>
      </c>
      <c r="D968" s="1">
        <v>363692</v>
      </c>
      <c r="E968" s="1">
        <v>286417</v>
      </c>
      <c r="G968" s="1">
        <v>4347036</v>
      </c>
      <c r="H968" s="1">
        <v>1207264</v>
      </c>
      <c r="I968" s="1">
        <v>34652</v>
      </c>
      <c r="J968" s="1">
        <v>493643</v>
      </c>
      <c r="K968" s="1">
        <v>174866</v>
      </c>
      <c r="L968" s="1">
        <v>0</v>
      </c>
      <c r="M968" s="1">
        <v>0</v>
      </c>
      <c r="N968" s="1">
        <v>3853393</v>
      </c>
      <c r="O968" s="1">
        <v>3853393</v>
      </c>
      <c r="P968" s="1">
        <v>1968597</v>
      </c>
      <c r="Q968" s="1">
        <v>264693</v>
      </c>
      <c r="R968" s="1">
        <v>1346.8</v>
      </c>
      <c r="T968">
        <f>E968/G968</f>
        <v>6.5887883146125314E-2</v>
      </c>
      <c r="U968">
        <f>D968/C968</f>
        <v>0.35182800775064066</v>
      </c>
      <c r="V968">
        <f>(E968-F968)/O968</f>
        <v>7.4328520345575966E-2</v>
      </c>
      <c r="W968">
        <f>H968/K968</f>
        <v>6.9039378724280303</v>
      </c>
      <c r="X968">
        <f>(H968-I968)/K968</f>
        <v>6.7057747074903071</v>
      </c>
      <c r="Y968">
        <f>(H968-K968)/G968</f>
        <v>0.23749469753643632</v>
      </c>
      <c r="Z968">
        <f>J968/N968</f>
        <v>0.12810606133347935</v>
      </c>
      <c r="AA968">
        <f>J968/G968</f>
        <v>0.11355852585531843</v>
      </c>
      <c r="AB968">
        <f>C968/G968</f>
        <v>0.23779904284206527</v>
      </c>
      <c r="AC968">
        <f>C968/(G968-K968)</f>
        <v>0.24776579094332207</v>
      </c>
      <c r="AD968">
        <f>Q968/E968</f>
        <v>0.92415254681111803</v>
      </c>
      <c r="AE968">
        <f>Q968/J968</f>
        <v>0.53620328861140543</v>
      </c>
      <c r="AF968">
        <f>Q968/G968</f>
        <v>6.0890455013485049E-2</v>
      </c>
      <c r="AG968">
        <f>Q968/K968</f>
        <v>1.5136904829984101</v>
      </c>
      <c r="AH968" t="e">
        <f>Q968/L968</f>
        <v>#DIV/0!</v>
      </c>
      <c r="AI968" s="1">
        <f>R968</f>
        <v>1346.8</v>
      </c>
      <c r="AJ968" s="1">
        <f>P968</f>
        <v>1968597</v>
      </c>
    </row>
    <row r="969" spans="1:36" x14ac:dyDescent="0.25">
      <c r="A969" t="s">
        <v>208</v>
      </c>
      <c r="B969">
        <v>2019</v>
      </c>
      <c r="C969" s="1">
        <v>1104375</v>
      </c>
      <c r="D969" s="1">
        <v>357126</v>
      </c>
      <c r="E969" s="1">
        <v>305223</v>
      </c>
      <c r="G969" s="1">
        <v>5462672</v>
      </c>
      <c r="H969" s="1">
        <v>1440563</v>
      </c>
      <c r="I969" s="1">
        <v>36573</v>
      </c>
      <c r="J969" s="1">
        <v>610337</v>
      </c>
      <c r="K969" s="1">
        <v>171515</v>
      </c>
      <c r="L969" s="1">
        <v>44687</v>
      </c>
      <c r="M969" s="1">
        <v>0</v>
      </c>
      <c r="N969" s="1">
        <v>4852335</v>
      </c>
      <c r="O969" s="1">
        <v>4852335</v>
      </c>
      <c r="P969" s="1">
        <v>2256425</v>
      </c>
      <c r="Q969" s="1">
        <v>266547</v>
      </c>
      <c r="R969" s="1">
        <v>1250</v>
      </c>
      <c r="T969">
        <f>E969/G969</f>
        <v>5.587430473585088E-2</v>
      </c>
      <c r="U969">
        <f>D969/C969</f>
        <v>0.32337385398981322</v>
      </c>
      <c r="V969">
        <f>(E969-F969)/O969</f>
        <v>6.2902293431925035E-2</v>
      </c>
      <c r="W969">
        <f>H969/K969</f>
        <v>8.3990496458035739</v>
      </c>
      <c r="X969">
        <f>(H969-I969)/K969</f>
        <v>8.1858146517797277</v>
      </c>
      <c r="Y969">
        <f>(H969-K969)/G969</f>
        <v>0.23231268507426403</v>
      </c>
      <c r="Z969">
        <f>J969/N969</f>
        <v>0.12578212345190512</v>
      </c>
      <c r="AA969">
        <f>J969/G969</f>
        <v>0.11172865586657958</v>
      </c>
      <c r="AB969">
        <f>C969/G969</f>
        <v>0.2021675473101808</v>
      </c>
      <c r="AC969">
        <f>C969/(G969-K969)</f>
        <v>0.20872089034591113</v>
      </c>
      <c r="AD969">
        <f>Q969/E969</f>
        <v>0.87328608918724993</v>
      </c>
      <c r="AE969">
        <f>Q969/J969</f>
        <v>0.43672102461427048</v>
      </c>
      <c r="AF969">
        <f>Q969/G969</f>
        <v>4.8794253068827856E-2</v>
      </c>
      <c r="AG969">
        <f>Q969/K969</f>
        <v>1.5540739876978691</v>
      </c>
      <c r="AH969">
        <f>Q969/L969</f>
        <v>5.9647548504039207</v>
      </c>
      <c r="AI969" s="1">
        <f>R969</f>
        <v>1250</v>
      </c>
      <c r="AJ969" s="1">
        <f>P969</f>
        <v>2256425</v>
      </c>
    </row>
    <row r="970" spans="1:36" x14ac:dyDescent="0.25">
      <c r="A970" t="s">
        <v>208</v>
      </c>
      <c r="B970">
        <v>2020</v>
      </c>
      <c r="C970" s="1">
        <v>732612</v>
      </c>
      <c r="D970" s="1">
        <v>99248</v>
      </c>
      <c r="E970" s="1">
        <v>75077</v>
      </c>
      <c r="G970" s="1">
        <v>5387554</v>
      </c>
      <c r="H970" s="1">
        <v>1481070</v>
      </c>
      <c r="I970" s="1">
        <v>37435</v>
      </c>
      <c r="J970" s="1">
        <v>555800</v>
      </c>
      <c r="K970" s="1">
        <v>116292</v>
      </c>
      <c r="L970" s="1">
        <v>1659</v>
      </c>
      <c r="M970" s="1">
        <v>0</v>
      </c>
      <c r="N970" s="1">
        <v>4831754</v>
      </c>
      <c r="O970" s="1">
        <v>4831754</v>
      </c>
      <c r="P970" s="1">
        <v>2319028</v>
      </c>
      <c r="Q970" s="1">
        <v>150971</v>
      </c>
      <c r="R970" s="1">
        <v>835.1</v>
      </c>
      <c r="T970">
        <f>E970/G970</f>
        <v>1.3935266356494988E-2</v>
      </c>
      <c r="U970">
        <f>D970/C970</f>
        <v>0.1354714364493074</v>
      </c>
      <c r="V970">
        <f>(E970-F970)/O970</f>
        <v>1.5538249670823474E-2</v>
      </c>
      <c r="W970">
        <f>H970/K970</f>
        <v>12.735785780621194</v>
      </c>
      <c r="X970">
        <f>(H970-I970)/K970</f>
        <v>12.413880576479896</v>
      </c>
      <c r="Y970">
        <f>(H970-K970)/G970</f>
        <v>0.25332052356226964</v>
      </c>
      <c r="Z970">
        <f>J970/N970</f>
        <v>0.11503069071811189</v>
      </c>
      <c r="AA970">
        <f>J970/G970</f>
        <v>0.10316369914807351</v>
      </c>
      <c r="AB970">
        <f>C970/G970</f>
        <v>0.13598230291520047</v>
      </c>
      <c r="AC970">
        <f>C970/(G970-K970)</f>
        <v>0.13898227786818412</v>
      </c>
      <c r="AD970">
        <f>Q970/E970</f>
        <v>2.0108821609813923</v>
      </c>
      <c r="AE970">
        <f>Q970/J970</f>
        <v>0.27162828355523572</v>
      </c>
      <c r="AF970">
        <f>Q970/G970</f>
        <v>2.8022178524799938E-2</v>
      </c>
      <c r="AG970">
        <f>Q970/K970</f>
        <v>1.2982062394661713</v>
      </c>
      <c r="AH970">
        <f>Q970/L970</f>
        <v>91.001205545509336</v>
      </c>
      <c r="AI970" s="1">
        <f>R970</f>
        <v>835.1</v>
      </c>
      <c r="AJ970" s="1">
        <f>P970</f>
        <v>2319028</v>
      </c>
    </row>
    <row r="971" spans="1:36" x14ac:dyDescent="0.25">
      <c r="A971" t="s">
        <v>208</v>
      </c>
      <c r="B971">
        <v>2021</v>
      </c>
      <c r="C971" s="1">
        <v>254955</v>
      </c>
      <c r="D971" s="1">
        <v>-143372</v>
      </c>
      <c r="E971" s="1">
        <v>-140109</v>
      </c>
      <c r="G971" s="1">
        <v>5304561</v>
      </c>
      <c r="H971" s="1">
        <v>1441512</v>
      </c>
      <c r="I971" s="1">
        <v>31538</v>
      </c>
      <c r="J971" s="1">
        <v>570449</v>
      </c>
      <c r="K971" s="1">
        <v>144634</v>
      </c>
      <c r="L971" s="1">
        <v>57340</v>
      </c>
      <c r="M971" s="1">
        <v>42342</v>
      </c>
      <c r="N971" s="1">
        <v>4734112</v>
      </c>
      <c r="O971" s="1">
        <v>4734112</v>
      </c>
      <c r="P971" s="1">
        <v>4551351</v>
      </c>
      <c r="Q971" s="1">
        <v>-123520</v>
      </c>
      <c r="R971" s="1">
        <v>1025</v>
      </c>
      <c r="T971">
        <f>E971/G971</f>
        <v>-2.6412930306579565E-2</v>
      </c>
      <c r="U971">
        <f>D971/C971</f>
        <v>-0.56234237414445687</v>
      </c>
      <c r="V971">
        <f>(E971-F971)/O971</f>
        <v>-2.9595624269134316E-2</v>
      </c>
      <c r="W971">
        <f>H971/K971</f>
        <v>9.9666191905084567</v>
      </c>
      <c r="X971">
        <f>(H971-I971)/K971</f>
        <v>9.7485653442482398</v>
      </c>
      <c r="Y971">
        <f>(H971-K971)/G971</f>
        <v>0.24448356800873813</v>
      </c>
      <c r="Z971">
        <f>J971/N971</f>
        <v>0.1204975716670835</v>
      </c>
      <c r="AA971">
        <f>J971/G971</f>
        <v>0.10753934208693236</v>
      </c>
      <c r="AB971">
        <f>C971/G971</f>
        <v>4.8063355289909945E-2</v>
      </c>
      <c r="AC971">
        <f>C971/(G971-K971)</f>
        <v>4.9410582746616374E-2</v>
      </c>
      <c r="AD971">
        <f>Q971/E971</f>
        <v>0.88159932623885684</v>
      </c>
      <c r="AE971">
        <f>Q971/J971</f>
        <v>-0.21653118859004047</v>
      </c>
      <c r="AF971">
        <f>Q971/G971</f>
        <v>-2.3285621562274428E-2</v>
      </c>
      <c r="AG971">
        <f>Q971/K971</f>
        <v>-0.85401772750528926</v>
      </c>
      <c r="AH971">
        <f>Q971/L971</f>
        <v>-2.1541681199860481</v>
      </c>
      <c r="AI971" s="1">
        <f>R971</f>
        <v>1025</v>
      </c>
      <c r="AJ971" s="1">
        <f>P971</f>
        <v>4551351</v>
      </c>
    </row>
    <row r="972" spans="1:36" x14ac:dyDescent="0.25">
      <c r="A972" t="s">
        <v>208</v>
      </c>
      <c r="B972">
        <v>2022</v>
      </c>
      <c r="C972" s="1">
        <v>645547</v>
      </c>
      <c r="D972" s="1">
        <v>27940</v>
      </c>
      <c r="E972" s="1">
        <v>9728</v>
      </c>
      <c r="G972" s="1">
        <v>5796825</v>
      </c>
      <c r="H972" s="1">
        <v>1597860</v>
      </c>
      <c r="I972" s="1">
        <v>60160</v>
      </c>
      <c r="J972" s="1">
        <v>678824</v>
      </c>
      <c r="K972" s="1">
        <v>197940</v>
      </c>
      <c r="L972" s="1">
        <v>66895</v>
      </c>
      <c r="M972" s="1">
        <v>52502</v>
      </c>
      <c r="N972" s="1">
        <v>5118001</v>
      </c>
      <c r="O972" s="1">
        <v>5118001</v>
      </c>
      <c r="P972" s="1">
        <v>4915268</v>
      </c>
      <c r="Q972" s="1">
        <v>25612</v>
      </c>
      <c r="R972" s="1">
        <v>1100</v>
      </c>
      <c r="T972">
        <f>E972/G972</f>
        <v>1.6781600272562998E-3</v>
      </c>
      <c r="U972">
        <f>D972/C972</f>
        <v>4.3281124379789544E-2</v>
      </c>
      <c r="V972">
        <f>(E972-F972)/O972</f>
        <v>1.9007421061465208E-3</v>
      </c>
      <c r="W972">
        <f>H972/K972</f>
        <v>8.072446195816914</v>
      </c>
      <c r="X972">
        <f>(H972-I972)/K972</f>
        <v>7.768515711831868</v>
      </c>
      <c r="Y972">
        <f>(H972-K972)/G972</f>
        <v>0.2414977164223519</v>
      </c>
      <c r="Z972">
        <f>J972/N972</f>
        <v>0.13263459698425226</v>
      </c>
      <c r="AA972">
        <f>J972/G972</f>
        <v>0.11710272433616678</v>
      </c>
      <c r="AB972">
        <f>C972/G972</f>
        <v>0.11136216808339047</v>
      </c>
      <c r="AC972">
        <f>C972/(G972-K972)</f>
        <v>0.11529920689565869</v>
      </c>
      <c r="AD972">
        <f>Q972/E972</f>
        <v>2.6328125</v>
      </c>
      <c r="AE972">
        <f>Q972/J972</f>
        <v>3.7729956513028413E-2</v>
      </c>
      <c r="AF972">
        <f>Q972/G972</f>
        <v>4.4182806967607265E-3</v>
      </c>
      <c r="AG972">
        <f>Q972/K972</f>
        <v>0.12939274527634637</v>
      </c>
      <c r="AH972">
        <f>Q972/L972</f>
        <v>0.38286867478884817</v>
      </c>
      <c r="AI972" s="1">
        <f>R972</f>
        <v>1100</v>
      </c>
      <c r="AJ972" s="1">
        <f>P972</f>
        <v>4915268</v>
      </c>
    </row>
    <row r="973" spans="1:36" x14ac:dyDescent="0.25">
      <c r="A973" t="s">
        <v>208</v>
      </c>
      <c r="B973">
        <v>2023</v>
      </c>
      <c r="C973" s="1">
        <v>996413</v>
      </c>
      <c r="D973" s="1">
        <v>146771</v>
      </c>
      <c r="E973" s="1">
        <v>74137</v>
      </c>
      <c r="G973" s="1">
        <v>5942679</v>
      </c>
      <c r="H973" s="1">
        <v>1783544</v>
      </c>
      <c r="I973" s="1">
        <v>65646</v>
      </c>
      <c r="J973" s="1">
        <v>1130308</v>
      </c>
      <c r="K973" s="1">
        <v>211183</v>
      </c>
      <c r="L973" s="1">
        <v>54583</v>
      </c>
      <c r="M973" s="1">
        <v>0</v>
      </c>
      <c r="N973" s="1">
        <v>4812371</v>
      </c>
      <c r="O973" s="1">
        <v>4812371</v>
      </c>
      <c r="P973" s="1">
        <v>2368502</v>
      </c>
      <c r="Q973" s="1">
        <v>-34690</v>
      </c>
      <c r="R973" s="1">
        <v>1490</v>
      </c>
      <c r="T973">
        <f>E973/G973</f>
        <v>1.2475349922147907E-2</v>
      </c>
      <c r="U973">
        <f>D973/C973</f>
        <v>0.1472993628144153</v>
      </c>
      <c r="V973">
        <f>(E973-F973)/O973</f>
        <v>1.5405503856622859E-2</v>
      </c>
      <c r="W973">
        <f>H973/K973</f>
        <v>8.4454904040571446</v>
      </c>
      <c r="X973">
        <f>(H973-I973)/K973</f>
        <v>8.1346415194404855</v>
      </c>
      <c r="Y973">
        <f>(H973-K973)/G973</f>
        <v>0.26458790723846937</v>
      </c>
      <c r="Z973">
        <f>J973/N973</f>
        <v>0.23487549068847768</v>
      </c>
      <c r="AA973">
        <f>J973/G973</f>
        <v>0.1902017591729252</v>
      </c>
      <c r="AB973">
        <f>C973/G973</f>
        <v>0.1676706751281703</v>
      </c>
      <c r="AC973">
        <f>C973/(G973-K973)</f>
        <v>0.17384867755294603</v>
      </c>
      <c r="AD973">
        <f>Q973/E973</f>
        <v>-0.46791750408028382</v>
      </c>
      <c r="AE973">
        <f>Q973/J973</f>
        <v>-3.0690749777936632E-2</v>
      </c>
      <c r="AF973">
        <f>Q973/G973</f>
        <v>-5.8374345980996114E-3</v>
      </c>
      <c r="AG973">
        <f>Q973/K973</f>
        <v>-0.16426511603680222</v>
      </c>
      <c r="AH973">
        <f>Q973/L973</f>
        <v>-0.63554586592895224</v>
      </c>
      <c r="AI973" s="1">
        <f>R973</f>
        <v>1490</v>
      </c>
      <c r="AJ973" s="1">
        <f>P973</f>
        <v>2368502</v>
      </c>
    </row>
    <row r="974" spans="1:36" s="8" customFormat="1" x14ac:dyDescent="0.25">
      <c r="A974" s="8" t="s">
        <v>208</v>
      </c>
      <c r="B974" s="8">
        <v>2024</v>
      </c>
      <c r="C974" s="9">
        <v>2132294</v>
      </c>
      <c r="D974" s="9">
        <v>877538</v>
      </c>
      <c r="E974" s="9">
        <v>581306</v>
      </c>
      <c r="F974" s="9"/>
      <c r="G974" s="9">
        <v>6913264</v>
      </c>
      <c r="H974" s="9">
        <v>2655614</v>
      </c>
      <c r="I974" s="9">
        <v>66410</v>
      </c>
      <c r="J974" s="9">
        <v>1546391</v>
      </c>
      <c r="K974" s="9">
        <v>521720</v>
      </c>
      <c r="L974" s="9">
        <v>24560</v>
      </c>
      <c r="M974" s="9">
        <v>0</v>
      </c>
      <c r="N974" s="9">
        <v>5366873</v>
      </c>
      <c r="O974" s="9">
        <v>5366873</v>
      </c>
      <c r="P974" s="9">
        <v>2908652</v>
      </c>
      <c r="Q974" s="9">
        <v>667114</v>
      </c>
      <c r="R974" s="9">
        <v>1725.75</v>
      </c>
      <c r="T974" s="8">
        <f>E974/G974</f>
        <v>8.4085607030195866E-2</v>
      </c>
      <c r="U974" s="8">
        <f>D974/C974</f>
        <v>0.41154643778015604</v>
      </c>
      <c r="V974" s="8">
        <f>(E974-F974)/O974</f>
        <v>0.10831372383881638</v>
      </c>
      <c r="W974" s="8">
        <f>H974/K974</f>
        <v>5.090113470827264</v>
      </c>
      <c r="X974" s="8">
        <f>(H974-I974)/K974</f>
        <v>4.9628229701755728</v>
      </c>
      <c r="Y974" s="8">
        <f>(H974-K974)/G974</f>
        <v>0.3086666442942147</v>
      </c>
      <c r="Z974" s="8">
        <f>J974/N974</f>
        <v>0.28813631326845257</v>
      </c>
      <c r="AA974" s="8">
        <f>J974/G974</f>
        <v>0.22368464447473727</v>
      </c>
      <c r="AB974" s="8">
        <f>C974/G974</f>
        <v>0.30843520513609779</v>
      </c>
      <c r="AC974" s="8">
        <f>C974/(G974-K974)</f>
        <v>0.33361172198767619</v>
      </c>
      <c r="AD974" s="8">
        <f>Q974/E974</f>
        <v>1.14761244508056</v>
      </c>
      <c r="AE974" s="8">
        <f>Q974/J974</f>
        <v>0.431400596614957</v>
      </c>
      <c r="AF974" s="8">
        <f>Q974/G974</f>
        <v>9.6497689080006208E-2</v>
      </c>
      <c r="AG974" s="8">
        <f>Q974/K974</f>
        <v>1.2786820516752282</v>
      </c>
      <c r="AH974" s="8">
        <f>Q974/L974</f>
        <v>27.162622149837134</v>
      </c>
      <c r="AI974" s="9">
        <f>R974</f>
        <v>1725.75</v>
      </c>
      <c r="AJ974" s="9">
        <f>P974</f>
        <v>2908652</v>
      </c>
    </row>
    <row r="975" spans="1:36" x14ac:dyDescent="0.25">
      <c r="A975" s="15" t="s">
        <v>154</v>
      </c>
      <c r="B975" s="15">
        <v>2018</v>
      </c>
      <c r="C975" s="6">
        <v>7955278.6129999999</v>
      </c>
      <c r="D975" s="6">
        <v>1174203.1240000001</v>
      </c>
      <c r="E975" s="6">
        <v>179958.53899999999</v>
      </c>
      <c r="F975" s="6">
        <v>0</v>
      </c>
      <c r="G975" s="6">
        <v>17284316.822999999</v>
      </c>
      <c r="H975" s="6">
        <v>3286682.1719999998</v>
      </c>
      <c r="I975" s="6">
        <v>556576.84699999995</v>
      </c>
      <c r="J975" s="6">
        <v>13170903.220000001</v>
      </c>
      <c r="K975" s="6">
        <v>6150638.7580000004</v>
      </c>
      <c r="L975" s="6">
        <v>7422239.2489999998</v>
      </c>
      <c r="M975" s="6">
        <v>5146678.5089999996</v>
      </c>
      <c r="N975" s="6">
        <v>4113413.6030000001</v>
      </c>
      <c r="O975" s="6">
        <v>4113413.6030000001</v>
      </c>
      <c r="P975" s="6">
        <v>1822568.7590000001</v>
      </c>
      <c r="Q975" s="6">
        <v>1373485.94</v>
      </c>
      <c r="R975" s="6">
        <v>4.7</v>
      </c>
      <c r="S975" s="15"/>
      <c r="T975" s="15">
        <f>E975/G975</f>
        <v>1.0411666300893749E-2</v>
      </c>
      <c r="U975" s="15">
        <f>D975/C975</f>
        <v>0.14760050290145635</v>
      </c>
      <c r="V975" s="15">
        <f>(E975-F975)/O975</f>
        <v>4.3749196256061489E-2</v>
      </c>
      <c r="W975" s="15">
        <f>H975/K975</f>
        <v>0.53436436463206116</v>
      </c>
      <c r="X975" s="15">
        <f>(H975-I975)/K975</f>
        <v>0.44387346297146973</v>
      </c>
      <c r="Y975" s="15">
        <f>(H975-K975)/G975</f>
        <v>-0.165696834611882</v>
      </c>
      <c r="Z975" s="15">
        <f>J975/N975</f>
        <v>3.2019399192909219</v>
      </c>
      <c r="AA975" s="15">
        <f>J975/G975</f>
        <v>0.76201468388230786</v>
      </c>
      <c r="AB975" s="15">
        <f>C975/G975</f>
        <v>0.46025993936966153</v>
      </c>
      <c r="AC975" s="15">
        <f>C975/(G975-K975)</f>
        <v>0.7145238587424525</v>
      </c>
      <c r="AD975" s="15">
        <f>Q975/E975</f>
        <v>7.6322354450766019</v>
      </c>
      <c r="AE975" s="15">
        <f>Q975/J975</f>
        <v>0.10428183375566553</v>
      </c>
      <c r="AF975" s="15">
        <f>Q975/G975</f>
        <v>7.9464288583990864E-2</v>
      </c>
      <c r="AG975" s="15">
        <f>Q975/K975</f>
        <v>0.22330785371089093</v>
      </c>
      <c r="AH975" s="15">
        <f>Q975/L975</f>
        <v>0.18505007638834198</v>
      </c>
      <c r="AI975" s="6">
        <f>R975</f>
        <v>4.7</v>
      </c>
      <c r="AJ975" s="6">
        <f>P975</f>
        <v>1822568.7590000001</v>
      </c>
    </row>
    <row r="976" spans="1:36" x14ac:dyDescent="0.25">
      <c r="A976" t="s">
        <v>154</v>
      </c>
      <c r="B976">
        <v>2019</v>
      </c>
      <c r="C976" s="1">
        <v>8534267.4489999991</v>
      </c>
      <c r="D976" s="1">
        <v>802357.90500000003</v>
      </c>
      <c r="E976" s="1">
        <v>-587153.16099999996</v>
      </c>
      <c r="F976" s="1">
        <v>0</v>
      </c>
      <c r="G976" s="1">
        <v>16341209.693</v>
      </c>
      <c r="H976" s="1">
        <v>2258261.2990000001</v>
      </c>
      <c r="I976" s="1">
        <v>489254.82799999998</v>
      </c>
      <c r="J976" s="1">
        <v>12899546.238</v>
      </c>
      <c r="K976" s="1">
        <v>5051922.8990000002</v>
      </c>
      <c r="L976" s="1">
        <v>7563233.7860000003</v>
      </c>
      <c r="M976" s="1">
        <v>6105923.1109999996</v>
      </c>
      <c r="N976" s="1">
        <v>3441663.4550000001</v>
      </c>
      <c r="O976" s="1">
        <v>3441663.4550000001</v>
      </c>
      <c r="P976" s="1">
        <v>1150818.611</v>
      </c>
      <c r="Q976" s="1">
        <v>839033.99199999997</v>
      </c>
      <c r="R976" s="1">
        <v>4.2</v>
      </c>
      <c r="T976">
        <f>E976/G976</f>
        <v>-3.593082593215334E-2</v>
      </c>
      <c r="U976">
        <f>D976/C976</f>
        <v>9.4016025370052839E-2</v>
      </c>
      <c r="V976">
        <f>(E976-F976)/O976</f>
        <v>-0.17060156191245027</v>
      </c>
      <c r="W976">
        <f>H976/K976</f>
        <v>0.44701024622664182</v>
      </c>
      <c r="X976">
        <f>(H976-I976)/K976</f>
        <v>0.35016497804235391</v>
      </c>
      <c r="Y976">
        <f>(H976-K976)/G976</f>
        <v>-0.17095806568082328</v>
      </c>
      <c r="Z976">
        <f>J976/N976</f>
        <v>3.7480556732703545</v>
      </c>
      <c r="AA976">
        <f>J976/G976</f>
        <v>0.78938747377592933</v>
      </c>
      <c r="AB976">
        <f>C976/G976</f>
        <v>0.5222543256791925</v>
      </c>
      <c r="AC976">
        <f>C976/(G976-K976)</f>
        <v>0.75596161252062166</v>
      </c>
      <c r="AD976">
        <f>Q976/E976</f>
        <v>-1.428986587709097</v>
      </c>
      <c r="AE976">
        <f>Q976/J976</f>
        <v>6.5043682662909497E-2</v>
      </c>
      <c r="AF976">
        <f>Q976/G976</f>
        <v>5.134466834235734E-2</v>
      </c>
      <c r="AG976">
        <f>Q976/K976</f>
        <v>0.16608210552185626</v>
      </c>
      <c r="AH976">
        <f>Q976/L976</f>
        <v>0.11093587951136751</v>
      </c>
      <c r="AI976" s="1">
        <f>R976</f>
        <v>4.2</v>
      </c>
      <c r="AJ976" s="1">
        <f>P976</f>
        <v>1150818.611</v>
      </c>
    </row>
    <row r="977" spans="1:36" x14ac:dyDescent="0.25">
      <c r="A977" t="s">
        <v>154</v>
      </c>
      <c r="B977">
        <v>2020</v>
      </c>
      <c r="C977" s="1">
        <v>8556440.0800000001</v>
      </c>
      <c r="D977" s="1">
        <v>1179734.344</v>
      </c>
      <c r="E977" s="1">
        <v>15980.74</v>
      </c>
      <c r="F977" s="1">
        <v>0</v>
      </c>
      <c r="G977" s="1">
        <v>17703701.839000002</v>
      </c>
      <c r="H977" s="1">
        <v>2990461.8640000001</v>
      </c>
      <c r="I977" s="1">
        <v>462391.28499999997</v>
      </c>
      <c r="J977" s="1">
        <v>14273572.354</v>
      </c>
      <c r="K977" s="1">
        <v>7422419.7659999998</v>
      </c>
      <c r="L977" s="1">
        <v>9047157.2909999993</v>
      </c>
      <c r="M977" s="1">
        <v>4937060.4409999996</v>
      </c>
      <c r="N977" s="1">
        <v>3430129.4849999999</v>
      </c>
      <c r="O977" s="1">
        <v>3430129.4849999999</v>
      </c>
      <c r="P977" s="1">
        <v>1139284.6410000001</v>
      </c>
      <c r="Q977" s="1">
        <v>818231.04599999997</v>
      </c>
      <c r="R977" s="1">
        <v>4.7</v>
      </c>
      <c r="T977">
        <f>E977/G977</f>
        <v>9.0267787750444156E-4</v>
      </c>
      <c r="U977">
        <f>D977/C977</f>
        <v>0.13787677269633847</v>
      </c>
      <c r="V977">
        <f>(E977-F977)/O977</f>
        <v>4.6589319936416341E-3</v>
      </c>
      <c r="W977">
        <f>H977/K977</f>
        <v>0.40289581541837044</v>
      </c>
      <c r="X977">
        <f>(H977-I977)/K977</f>
        <v>0.34059924643178691</v>
      </c>
      <c r="Y977">
        <f>(H977-K977)/G977</f>
        <v>-0.25034074468181056</v>
      </c>
      <c r="Z977">
        <f>J977/N977</f>
        <v>4.1612342672247546</v>
      </c>
      <c r="AA977">
        <f>J977/G977</f>
        <v>0.80624789571163757</v>
      </c>
      <c r="AB977">
        <f>C977/G977</f>
        <v>0.48331361191085859</v>
      </c>
      <c r="AC977">
        <f>C977/(G977-K977)</f>
        <v>0.83223473680100035</v>
      </c>
      <c r="AD977">
        <f>Q977/E977</f>
        <v>51.201073667427167</v>
      </c>
      <c r="AE977">
        <f>Q977/J977</f>
        <v>5.7324895667810898E-2</v>
      </c>
      <c r="AF977">
        <f>Q977/G977</f>
        <v>4.6218076504061706E-2</v>
      </c>
      <c r="AG977">
        <f>Q977/K977</f>
        <v>0.11023777579221326</v>
      </c>
      <c r="AH977">
        <f>Q977/L977</f>
        <v>9.0440678732751356E-2</v>
      </c>
      <c r="AI977" s="1">
        <f>R977</f>
        <v>4.7</v>
      </c>
      <c r="AJ977" s="1">
        <f>P977</f>
        <v>1139284.6410000001</v>
      </c>
    </row>
    <row r="978" spans="1:36" x14ac:dyDescent="0.25">
      <c r="A978" t="s">
        <v>154</v>
      </c>
      <c r="B978">
        <v>2021</v>
      </c>
      <c r="C978" s="1">
        <v>11827738.761</v>
      </c>
      <c r="D978" s="1">
        <v>1503505.3319999999</v>
      </c>
      <c r="E978" s="1">
        <v>501263.94699999999</v>
      </c>
      <c r="F978" s="1">
        <v>0</v>
      </c>
      <c r="G978" s="1">
        <v>18713183.215999998</v>
      </c>
      <c r="H978" s="1">
        <v>4373840.2719999999</v>
      </c>
      <c r="I978" s="1">
        <v>445123.96</v>
      </c>
      <c r="J978" s="1">
        <v>14614268.768999999</v>
      </c>
      <c r="K978" s="1">
        <v>7712204.3470000001</v>
      </c>
      <c r="L978" s="1">
        <v>9805733.6999999993</v>
      </c>
      <c r="M978" s="1">
        <v>5585946.9950000001</v>
      </c>
      <c r="N978" s="1">
        <v>4098914.4470000002</v>
      </c>
      <c r="O978" s="1">
        <v>4098914.4470000002</v>
      </c>
      <c r="P978" s="1">
        <v>1597397.6089999999</v>
      </c>
      <c r="Q978" s="1">
        <v>524093.712</v>
      </c>
      <c r="R978" s="1">
        <v>4.9000000000000004</v>
      </c>
      <c r="T978">
        <f>E978/G978</f>
        <v>2.6786674464417858E-2</v>
      </c>
      <c r="U978">
        <f>D978/C978</f>
        <v>0.12711688703825269</v>
      </c>
      <c r="V978">
        <f>(E978-F978)/O978</f>
        <v>0.12229187836961945</v>
      </c>
      <c r="W978">
        <f>H978/K978</f>
        <v>0.5671323107123577</v>
      </c>
      <c r="X978">
        <f>(H978-I978)/K978</f>
        <v>0.50941548424196592</v>
      </c>
      <c r="Y978">
        <f>(H978-K978)/G978</f>
        <v>-0.17839637631216362</v>
      </c>
      <c r="Z978">
        <f>J978/N978</f>
        <v>3.5653998047449362</v>
      </c>
      <c r="AA978">
        <f>J978/G978</f>
        <v>0.78096113313872884</v>
      </c>
      <c r="AB978">
        <f>C978/G978</f>
        <v>0.63205381064655741</v>
      </c>
      <c r="AC978">
        <f>C978/(G978-K978)</f>
        <v>1.0751533024329092</v>
      </c>
      <c r="AD978">
        <f>Q978/E978</f>
        <v>1.0455443985880757</v>
      </c>
      <c r="AE978">
        <f>Q978/J978</f>
        <v>3.5861781405835048E-2</v>
      </c>
      <c r="AF978">
        <f>Q978/G978</f>
        <v>2.8006657443074331E-2</v>
      </c>
      <c r="AG978">
        <f>Q978/K978</f>
        <v>6.7956408883780323E-2</v>
      </c>
      <c r="AH978">
        <f>Q978/L978</f>
        <v>5.3447679493886319E-2</v>
      </c>
      <c r="AI978" s="1">
        <f>R978</f>
        <v>4.9000000000000004</v>
      </c>
      <c r="AJ978" s="1">
        <f>P978</f>
        <v>1597397.6089999999</v>
      </c>
    </row>
    <row r="979" spans="1:36" x14ac:dyDescent="0.25">
      <c r="A979" t="s">
        <v>154</v>
      </c>
      <c r="B979">
        <v>2022</v>
      </c>
      <c r="C979" s="1">
        <v>15302268.206</v>
      </c>
      <c r="D979" s="1">
        <v>1660285.22</v>
      </c>
      <c r="E979" s="1">
        <v>-96588.316999999995</v>
      </c>
      <c r="F979" s="1">
        <v>0</v>
      </c>
      <c r="G979" s="1">
        <v>20100046.857000001</v>
      </c>
      <c r="H979" s="1">
        <v>4239067.4479999999</v>
      </c>
      <c r="I979" s="1">
        <v>544859.48800000001</v>
      </c>
      <c r="J979" s="1">
        <v>13417682.426999999</v>
      </c>
      <c r="K979" s="1">
        <v>5334188.2479999997</v>
      </c>
      <c r="L979" s="1">
        <v>7934077.4400000004</v>
      </c>
      <c r="M979" s="1">
        <v>6326328.6780000003</v>
      </c>
      <c r="N979" s="1">
        <v>6682364.4299999997</v>
      </c>
      <c r="O979" s="1">
        <v>6682364.4299999997</v>
      </c>
      <c r="P979" s="1">
        <v>1545817.0160000001</v>
      </c>
      <c r="Q979" s="1">
        <v>2375236.3909999998</v>
      </c>
      <c r="R979" s="1">
        <v>6.5</v>
      </c>
      <c r="T979">
        <f>E979/G979</f>
        <v>-4.8053777032048238E-3</v>
      </c>
      <c r="U979">
        <f>D979/C979</f>
        <v>0.10849928897135683</v>
      </c>
      <c r="V979">
        <f>(E979-F979)/O979</f>
        <v>-1.4454212728412958E-2</v>
      </c>
      <c r="W979">
        <f>H979/K979</f>
        <v>0.79469775923063746</v>
      </c>
      <c r="X979">
        <f>(H979-I979)/K979</f>
        <v>0.69255297868145282</v>
      </c>
      <c r="Y979">
        <f>(H979-K979)/G979</f>
        <v>-5.4483494878949268E-2</v>
      </c>
      <c r="Z979">
        <f>J979/N979</f>
        <v>2.0079243758036105</v>
      </c>
      <c r="AA979">
        <f>J979/G979</f>
        <v>0.66754483322645508</v>
      </c>
      <c r="AB979">
        <f>C979/G979</f>
        <v>0.76130510117049122</v>
      </c>
      <c r="AC979">
        <f>C979/(G979-K979)</f>
        <v>1.0363276942576878</v>
      </c>
      <c r="AD979">
        <f>Q979/E979</f>
        <v>-24.591342563718136</v>
      </c>
      <c r="AE979">
        <f>Q979/J979</f>
        <v>0.17702285054983735</v>
      </c>
      <c r="AF979">
        <f>Q979/G979</f>
        <v>0.11817068924756287</v>
      </c>
      <c r="AG979">
        <f>Q979/K979</f>
        <v>0.44528544561406713</v>
      </c>
      <c r="AH979">
        <f>Q979/L979</f>
        <v>0.29937146555000094</v>
      </c>
      <c r="AI979" s="1">
        <f>R979</f>
        <v>6.5</v>
      </c>
      <c r="AJ979" s="1">
        <f>P979</f>
        <v>1545817.0160000001</v>
      </c>
    </row>
    <row r="980" spans="1:36" x14ac:dyDescent="0.25">
      <c r="A980" t="s">
        <v>154</v>
      </c>
      <c r="B980">
        <v>2023</v>
      </c>
      <c r="C980" s="1">
        <v>9305061.318</v>
      </c>
      <c r="D980" s="1">
        <v>-73460.407999999996</v>
      </c>
      <c r="E980" s="1">
        <v>-2438455.4950000001</v>
      </c>
      <c r="F980" s="1">
        <v>0</v>
      </c>
      <c r="G980" s="1">
        <v>18995059.239</v>
      </c>
      <c r="H980" s="1">
        <v>1821294.1370000001</v>
      </c>
      <c r="I980" s="1">
        <v>349074.33799999999</v>
      </c>
      <c r="J980" s="1">
        <v>14071558.352</v>
      </c>
      <c r="K980" s="1">
        <v>7686973.0760000004</v>
      </c>
      <c r="L980" s="1">
        <v>7285168.0470000003</v>
      </c>
      <c r="M980" s="1">
        <v>2779697.7820000001</v>
      </c>
      <c r="N980" s="1">
        <v>4923500.8870000001</v>
      </c>
      <c r="O980" s="1">
        <v>4923500.8870000001</v>
      </c>
      <c r="P980" s="1">
        <v>-823208.18400000001</v>
      </c>
      <c r="Q980" s="1">
        <v>2885154.3229999999</v>
      </c>
      <c r="R980" s="1">
        <v>5.7</v>
      </c>
      <c r="T980">
        <f>E980/G980</f>
        <v>-0.12837314505413319</v>
      </c>
      <c r="U980">
        <f>D980/C980</f>
        <v>-7.8946721025788293E-3</v>
      </c>
      <c r="V980">
        <f>(E980-F980)/O980</f>
        <v>-0.49526862104127822</v>
      </c>
      <c r="W980">
        <f>H980/K980</f>
        <v>0.23693255056224682</v>
      </c>
      <c r="X980">
        <f>(H980-I980)/K980</f>
        <v>0.19152139397970749</v>
      </c>
      <c r="Y980">
        <f>(H980-K980)/G980</f>
        <v>-0.30880024458975053</v>
      </c>
      <c r="Z980">
        <f>J980/N980</f>
        <v>2.8580391625711918</v>
      </c>
      <c r="AA980">
        <f>J980/G980</f>
        <v>0.74080097223960018</v>
      </c>
      <c r="AB980">
        <f>C980/G980</f>
        <v>0.48986745452707875</v>
      </c>
      <c r="AC980">
        <f>C980/(G980-K980)</f>
        <v>0.82286791804311799</v>
      </c>
      <c r="AD980">
        <f>Q980/E980</f>
        <v>-1.1831892478316484</v>
      </c>
      <c r="AE980">
        <f>Q980/J980</f>
        <v>0.20503445679773846</v>
      </c>
      <c r="AF980">
        <f>Q980/G980</f>
        <v>0.15188972493838296</v>
      </c>
      <c r="AG980">
        <f>Q980/K980</f>
        <v>0.37533035363528566</v>
      </c>
      <c r="AH980">
        <f>Q980/L980</f>
        <v>0.39603126576992187</v>
      </c>
      <c r="AI980" s="1">
        <f>R980</f>
        <v>5.7</v>
      </c>
      <c r="AJ980" s="1">
        <f>P980</f>
        <v>-823208.18400000001</v>
      </c>
    </row>
    <row r="981" spans="1:36" s="8" customFormat="1" x14ac:dyDescent="0.25">
      <c r="A981" s="8" t="s">
        <v>154</v>
      </c>
      <c r="B981" s="8">
        <v>2024</v>
      </c>
      <c r="C981" s="9">
        <v>10379164.804</v>
      </c>
      <c r="D981" s="9">
        <v>1024615.844</v>
      </c>
      <c r="E981" s="9">
        <v>-304747.26299999998</v>
      </c>
      <c r="F981" s="9">
        <v>0</v>
      </c>
      <c r="G981" s="9">
        <v>18695046.546999998</v>
      </c>
      <c r="H981" s="9">
        <v>2130643.3289999999</v>
      </c>
      <c r="I981" s="9">
        <v>350556.23100000003</v>
      </c>
      <c r="J981" s="9">
        <v>14109648.119000001</v>
      </c>
      <c r="K981" s="9">
        <v>8369940.8250000002</v>
      </c>
      <c r="L981" s="9">
        <v>6680602.5789999999</v>
      </c>
      <c r="M981" s="9">
        <v>1989413.0319999999</v>
      </c>
      <c r="N981" s="9">
        <v>4585398.4280000003</v>
      </c>
      <c r="O981" s="9">
        <v>4585398.4280000003</v>
      </c>
      <c r="P981" s="9">
        <v>-1161310.6429999999</v>
      </c>
      <c r="Q981" s="9">
        <v>2124127.4479999999</v>
      </c>
      <c r="R981" s="9">
        <v>3.9</v>
      </c>
      <c r="T981" s="8">
        <f>E981/G981</f>
        <v>-1.6300963051033585E-2</v>
      </c>
      <c r="U981" s="8">
        <f>D981/C981</f>
        <v>9.8718525367775839E-2</v>
      </c>
      <c r="V981" s="8">
        <f>(E981-F981)/O981</f>
        <v>-6.6460367138242493E-2</v>
      </c>
      <c r="W981" s="8">
        <f>H981/K981</f>
        <v>0.25455894773306237</v>
      </c>
      <c r="X981" s="8">
        <f>(H981-I981)/K981</f>
        <v>0.21267618675189376</v>
      </c>
      <c r="Y981" s="8">
        <f>(H981-K981)/G981</f>
        <v>-0.33374067725983936</v>
      </c>
      <c r="Z981" s="8">
        <f>J981/N981</f>
        <v>3.0770822515316656</v>
      </c>
      <c r="AA981" s="8">
        <f>J981/G981</f>
        <v>0.75472655730103977</v>
      </c>
      <c r="AB981" s="8">
        <f>C981/G981</f>
        <v>0.55518261363545784</v>
      </c>
      <c r="AC981" s="8">
        <f>C981/(G981-K981)</f>
        <v>1.005235692830226</v>
      </c>
      <c r="AD981" s="8">
        <f>Q981/E981</f>
        <v>-6.9701280565725705</v>
      </c>
      <c r="AE981" s="8">
        <f>Q981/J981</f>
        <v>0.15054432471208531</v>
      </c>
      <c r="AF981" s="8">
        <f>Q981/G981</f>
        <v>0.113619799911162</v>
      </c>
      <c r="AG981" s="8">
        <f>Q981/K981</f>
        <v>0.25378046182303804</v>
      </c>
      <c r="AH981" s="8">
        <f>Q981/L981</f>
        <v>0.31795446935835453</v>
      </c>
      <c r="AI981" s="9">
        <f>R981</f>
        <v>3.9</v>
      </c>
      <c r="AJ981" s="9">
        <f>P981</f>
        <v>-1161310.6429999999</v>
      </c>
    </row>
    <row r="982" spans="1:36" x14ac:dyDescent="0.25">
      <c r="A982" s="15" t="s">
        <v>155</v>
      </c>
      <c r="B982" s="15">
        <v>2018</v>
      </c>
      <c r="C982" s="6">
        <v>7412571.0889999997</v>
      </c>
      <c r="D982" s="6">
        <v>643162.647</v>
      </c>
      <c r="E982" s="6">
        <v>199341.908</v>
      </c>
      <c r="F982" s="6">
        <v>0</v>
      </c>
      <c r="G982" s="6">
        <v>13873886.469000001</v>
      </c>
      <c r="H982" s="6">
        <v>4361824.9110000003</v>
      </c>
      <c r="I982" s="6">
        <v>3014292.87</v>
      </c>
      <c r="J982" s="6">
        <v>6617686.0159999998</v>
      </c>
      <c r="K982" s="6">
        <v>5128343.3250000002</v>
      </c>
      <c r="L982" s="6">
        <v>4257736.9129999997</v>
      </c>
      <c r="M982" s="6">
        <v>366485.61800000002</v>
      </c>
      <c r="N982" s="6">
        <v>7256200.4539999999</v>
      </c>
      <c r="O982" s="6">
        <v>7256200.4539999999</v>
      </c>
      <c r="P982" s="6">
        <v>1931200.1869999999</v>
      </c>
      <c r="Q982" s="6">
        <v>-852325.15500000003</v>
      </c>
      <c r="R982" s="6">
        <v>25.9</v>
      </c>
      <c r="S982" s="15"/>
      <c r="T982" s="15">
        <f>E982/G982</f>
        <v>1.4368137467854609E-2</v>
      </c>
      <c r="U982" s="15">
        <f>D982/C982</f>
        <v>8.6766472695881627E-2</v>
      </c>
      <c r="V982" s="15">
        <f>(E982-F982)/O982</f>
        <v>2.7471940620123338E-2</v>
      </c>
      <c r="W982" s="15">
        <f>H982/K982</f>
        <v>0.85053293716445943</v>
      </c>
      <c r="X982" s="15">
        <f>(H982-I982)/K982</f>
        <v>0.2627616669950622</v>
      </c>
      <c r="Y982" s="15">
        <f>(H982-K982)/G982</f>
        <v>-5.5249004358852077E-2</v>
      </c>
      <c r="Z982" s="15">
        <f>J982/N982</f>
        <v>0.91200430003997235</v>
      </c>
      <c r="AA982" s="15">
        <f>J982/G982</f>
        <v>0.4769886239725723</v>
      </c>
      <c r="AB982" s="15">
        <f>C982/G982</f>
        <v>0.53428223631227978</v>
      </c>
      <c r="AC982" s="15">
        <f>C982/(G982-K982)</f>
        <v>0.84758270206299247</v>
      </c>
      <c r="AD982" s="15">
        <f>Q982/E982</f>
        <v>-4.2756947776380274</v>
      </c>
      <c r="AE982" s="15">
        <f>Q982/J982</f>
        <v>-0.12879504300132696</v>
      </c>
      <c r="AF982" s="15">
        <f>Q982/G982</f>
        <v>-6.1433770335691217E-2</v>
      </c>
      <c r="AG982" s="15">
        <f>Q982/K982</f>
        <v>-0.16619892643400586</v>
      </c>
      <c r="AH982" s="15">
        <f>Q982/L982</f>
        <v>-0.20018267272400636</v>
      </c>
      <c r="AI982" s="6">
        <f>R982</f>
        <v>25.9</v>
      </c>
      <c r="AJ982" s="6">
        <f>P982</f>
        <v>1931200.1869999999</v>
      </c>
    </row>
    <row r="983" spans="1:36" x14ac:dyDescent="0.25">
      <c r="A983" t="s">
        <v>155</v>
      </c>
      <c r="B983">
        <v>2019</v>
      </c>
      <c r="C983" s="1">
        <v>8159711.1109999996</v>
      </c>
      <c r="D983" s="1">
        <v>924359.603</v>
      </c>
      <c r="E983" s="1">
        <v>244652.39300000001</v>
      </c>
      <c r="F983" s="1">
        <v>0</v>
      </c>
      <c r="G983" s="1">
        <v>19098073.886999998</v>
      </c>
      <c r="H983" s="1">
        <v>5756191.7230000002</v>
      </c>
      <c r="I983" s="1">
        <v>3798958.7949999999</v>
      </c>
      <c r="J983" s="1">
        <v>11230641.442</v>
      </c>
      <c r="K983" s="1">
        <v>6660679.216</v>
      </c>
      <c r="L983" s="1">
        <v>8244541.5379999997</v>
      </c>
      <c r="M983" s="1">
        <v>3045059.4070000001</v>
      </c>
      <c r="N983" s="1">
        <v>7867432.4440000001</v>
      </c>
      <c r="O983" s="1">
        <v>7867432.4440000001</v>
      </c>
      <c r="P983" s="1">
        <v>2100507.4679999999</v>
      </c>
      <c r="Q983" s="1">
        <v>-314245.24800000002</v>
      </c>
      <c r="R983" s="1">
        <v>26.1</v>
      </c>
      <c r="T983">
        <f>E983/G983</f>
        <v>1.2810317650228286E-2</v>
      </c>
      <c r="U983">
        <f>D983/C983</f>
        <v>0.11328337369124293</v>
      </c>
      <c r="V983">
        <f>(E983-F983)/O983</f>
        <v>3.1096853356088382E-2</v>
      </c>
      <c r="W983">
        <f>H983/K983</f>
        <v>0.8642049160951516</v>
      </c>
      <c r="X983">
        <f>(H983-I983)/K983</f>
        <v>0.29384885002394628</v>
      </c>
      <c r="Y983">
        <f>(H983-K983)/G983</f>
        <v>-4.7360142093474764E-2</v>
      </c>
      <c r="Z983">
        <f>J983/N983</f>
        <v>1.4274849542006438</v>
      </c>
      <c r="AA983">
        <f>J983/G983</f>
        <v>0.58805099972121611</v>
      </c>
      <c r="AB983">
        <f>C983/G983</f>
        <v>0.42725309155675067</v>
      </c>
      <c r="AC983">
        <f>C983/(G983-K983)</f>
        <v>0.65606273072815002</v>
      </c>
      <c r="AD983">
        <f>Q983/E983</f>
        <v>-1.2844560568021912</v>
      </c>
      <c r="AE983">
        <f>Q983/J983</f>
        <v>-2.7981059641419549E-2</v>
      </c>
      <c r="AF983">
        <f>Q983/G983</f>
        <v>-1.6454290095395736E-2</v>
      </c>
      <c r="AG983">
        <f>Q983/K983</f>
        <v>-4.7179159633620169E-2</v>
      </c>
      <c r="AH983">
        <f>Q983/L983</f>
        <v>-3.811555155027227E-2</v>
      </c>
      <c r="AI983" s="1">
        <f>R983</f>
        <v>26.1</v>
      </c>
      <c r="AJ983" s="1">
        <f>P983</f>
        <v>2100507.4679999999</v>
      </c>
    </row>
    <row r="984" spans="1:36" x14ac:dyDescent="0.25">
      <c r="A984" t="s">
        <v>155</v>
      </c>
      <c r="B984">
        <v>2020</v>
      </c>
      <c r="C984" s="1">
        <v>7414336.5310000004</v>
      </c>
      <c r="D984" s="1">
        <v>-174066.56</v>
      </c>
      <c r="E984" s="1">
        <v>-835552.28899999999</v>
      </c>
      <c r="F984" s="1">
        <v>0</v>
      </c>
      <c r="G984" s="1">
        <v>23677842.524</v>
      </c>
      <c r="H984" s="1">
        <v>4750107.5290000001</v>
      </c>
      <c r="I984" s="1">
        <v>3337826.3280000002</v>
      </c>
      <c r="J984" s="1">
        <v>16349183.257999999</v>
      </c>
      <c r="K984" s="1">
        <v>8265138.4550000001</v>
      </c>
      <c r="L984" s="1">
        <v>11511418.302999999</v>
      </c>
      <c r="M984" s="1">
        <v>5198116.3619999997</v>
      </c>
      <c r="N984" s="1">
        <v>7328659.2649999997</v>
      </c>
      <c r="O984" s="1">
        <v>7328659.2649999997</v>
      </c>
      <c r="P984" s="1">
        <v>1243424.726</v>
      </c>
      <c r="Q984" s="1">
        <v>1112948.0519999999</v>
      </c>
      <c r="R984" s="1">
        <v>19</v>
      </c>
      <c r="T984">
        <f>E984/G984</f>
        <v>-3.5288362449115845E-2</v>
      </c>
      <c r="U984">
        <f>D984/C984</f>
        <v>-2.3477024447462323E-2</v>
      </c>
      <c r="V984">
        <f>(E984-F984)/O984</f>
        <v>-0.11401161642081063</v>
      </c>
      <c r="W984">
        <f>H984/K984</f>
        <v>0.57471602621809925</v>
      </c>
      <c r="X984">
        <f>(H984-I984)/K984</f>
        <v>0.17087205600840716</v>
      </c>
      <c r="Y984">
        <f>(H984-K984)/G984</f>
        <v>-0.14845233143337042</v>
      </c>
      <c r="Z984">
        <f>J984/N984</f>
        <v>2.2308559678957867</v>
      </c>
      <c r="AA984">
        <f>J984/G984</f>
        <v>0.69048450007336482</v>
      </c>
      <c r="AB984">
        <f>C984/G984</f>
        <v>0.31313395734787852</v>
      </c>
      <c r="AC984">
        <f>C984/(G984-K984)</f>
        <v>0.48105358396601289</v>
      </c>
      <c r="AD984">
        <f>Q984/E984</f>
        <v>-1.3319909078724335</v>
      </c>
      <c r="AE984">
        <f>Q984/J984</f>
        <v>6.8073617772643841E-2</v>
      </c>
      <c r="AF984">
        <f>Q984/G984</f>
        <v>4.700377793592931E-2</v>
      </c>
      <c r="AG984">
        <f>Q984/K984</f>
        <v>0.13465570577667957</v>
      </c>
      <c r="AH984">
        <f>Q984/L984</f>
        <v>9.6682096220059494E-2</v>
      </c>
      <c r="AI984" s="1">
        <f>R984</f>
        <v>19</v>
      </c>
      <c r="AJ984" s="1">
        <f>P984</f>
        <v>1243424.726</v>
      </c>
    </row>
    <row r="985" spans="1:36" x14ac:dyDescent="0.25">
      <c r="A985" t="s">
        <v>155</v>
      </c>
      <c r="B985">
        <v>2021</v>
      </c>
      <c r="C985" s="1">
        <v>5349571.9790000003</v>
      </c>
      <c r="D985" s="1">
        <v>-926961.51800000004</v>
      </c>
      <c r="E985" s="1">
        <v>-1685445.557</v>
      </c>
      <c r="F985" s="1">
        <v>0</v>
      </c>
      <c r="G985" s="1">
        <v>24333877.537</v>
      </c>
      <c r="H985" s="1">
        <v>4868218.7340000002</v>
      </c>
      <c r="I985" s="1">
        <v>3536769.4029999999</v>
      </c>
      <c r="J985" s="1">
        <v>18164369.333999999</v>
      </c>
      <c r="K985" s="1">
        <v>9679867.7860000003</v>
      </c>
      <c r="L985" s="1">
        <v>13123421.569</v>
      </c>
      <c r="M985" s="1">
        <v>6149410.608</v>
      </c>
      <c r="N985" s="1">
        <v>6169508.2019999996</v>
      </c>
      <c r="O985" s="1">
        <v>6169508.2019999996</v>
      </c>
      <c r="P985" s="1">
        <v>-451373.51699999999</v>
      </c>
      <c r="Q985" s="1">
        <v>684625.24899999995</v>
      </c>
      <c r="R985" s="1">
        <v>18.7</v>
      </c>
      <c r="T985">
        <f>E985/G985</f>
        <v>-6.9263336861840316E-2</v>
      </c>
      <c r="U985">
        <f>D985/C985</f>
        <v>-0.17327769803618526</v>
      </c>
      <c r="V985">
        <f>(E985-F985)/O985</f>
        <v>-0.27318961282094106</v>
      </c>
      <c r="W985">
        <f>H985/K985</f>
        <v>0.5029220276170413</v>
      </c>
      <c r="X985">
        <f>(H985-I985)/K985</f>
        <v>0.13754829719117406</v>
      </c>
      <c r="Y985">
        <f>(H985-K985)/G985</f>
        <v>-0.19773457989520252</v>
      </c>
      <c r="Z985">
        <f>J985/N985</f>
        <v>2.9442167413136051</v>
      </c>
      <c r="AA985">
        <f>J985/G985</f>
        <v>0.74646423720924959</v>
      </c>
      <c r="AB985">
        <f>C985/G985</f>
        <v>0.2198405071639693</v>
      </c>
      <c r="AC985">
        <f>C985/(G985-K985)</f>
        <v>0.36505857918068751</v>
      </c>
      <c r="AD985">
        <f>Q985/E985</f>
        <v>-0.40619837654002605</v>
      </c>
      <c r="AE985">
        <f>Q985/J985</f>
        <v>3.7690559821337753E-2</v>
      </c>
      <c r="AF985">
        <f>Q985/G985</f>
        <v>2.8134654987024478E-2</v>
      </c>
      <c r="AG985">
        <f>Q985/K985</f>
        <v>7.0726714882425767E-2</v>
      </c>
      <c r="AH985">
        <f>Q985/L985</f>
        <v>5.2168197554303526E-2</v>
      </c>
      <c r="AI985" s="1">
        <f>R985</f>
        <v>18.7</v>
      </c>
      <c r="AJ985" s="1">
        <f>P985</f>
        <v>-451373.51699999999</v>
      </c>
    </row>
    <row r="986" spans="1:36" x14ac:dyDescent="0.25">
      <c r="A986" t="s">
        <v>155</v>
      </c>
      <c r="B986">
        <v>2022</v>
      </c>
      <c r="C986" s="1">
        <v>7361065.1270000003</v>
      </c>
      <c r="D986" s="1">
        <v>117305.639</v>
      </c>
      <c r="E986" s="1">
        <v>-1371443.1189999999</v>
      </c>
      <c r="F986" s="1">
        <v>0</v>
      </c>
      <c r="G986" s="1">
        <v>28363397.506999999</v>
      </c>
      <c r="H986" s="1">
        <v>5918748.7309999997</v>
      </c>
      <c r="I986" s="1">
        <v>4290170.55</v>
      </c>
      <c r="J986" s="1">
        <v>22950110.767999999</v>
      </c>
      <c r="K986" s="1">
        <v>12618842.880000001</v>
      </c>
      <c r="L986" s="1">
        <v>15787083.083000001</v>
      </c>
      <c r="M986" s="1">
        <v>6874337.0039999997</v>
      </c>
      <c r="N986" s="1">
        <v>5413286.7379999999</v>
      </c>
      <c r="O986" s="1">
        <v>5413286.7379999999</v>
      </c>
      <c r="P986" s="1">
        <v>-1808890.08</v>
      </c>
      <c r="Q986" s="1">
        <v>741628.09499999997</v>
      </c>
      <c r="R986" s="1">
        <v>19.100000000000001</v>
      </c>
      <c r="T986">
        <f>E986/G986</f>
        <v>-4.835256843477697E-2</v>
      </c>
      <c r="U986">
        <f>D986/C986</f>
        <v>1.5935959942770927E-2</v>
      </c>
      <c r="V986">
        <f>(E986-F986)/O986</f>
        <v>-0.25334758444861083</v>
      </c>
      <c r="W986">
        <f>H986/K986</f>
        <v>0.4690405283023858</v>
      </c>
      <c r="X986">
        <f>(H986-I986)/K986</f>
        <v>0.12905923280661372</v>
      </c>
      <c r="Y986">
        <f>(H986-K986)/G986</f>
        <v>-0.23622325736352418</v>
      </c>
      <c r="Z986">
        <f>J986/N986</f>
        <v>4.2395889740877051</v>
      </c>
      <c r="AA986">
        <f>J986/G986</f>
        <v>0.80914533466366234</v>
      </c>
      <c r="AB986">
        <f>C986/G986</f>
        <v>0.25952691757689861</v>
      </c>
      <c r="AC986">
        <f>C986/(G986-K986)</f>
        <v>0.46753085758149476</v>
      </c>
      <c r="AD986">
        <f>Q986/E986</f>
        <v>-0.54076474971908772</v>
      </c>
      <c r="AE986">
        <f>Q986/J986</f>
        <v>3.2314793706097203E-2</v>
      </c>
      <c r="AF986">
        <f>Q986/G986</f>
        <v>2.6147364567907228E-2</v>
      </c>
      <c r="AG986">
        <f>Q986/K986</f>
        <v>5.8771481827024692E-2</v>
      </c>
      <c r="AH986">
        <f>Q986/L986</f>
        <v>4.697689187425682E-2</v>
      </c>
      <c r="AI986" s="1">
        <f>R986</f>
        <v>19.100000000000001</v>
      </c>
      <c r="AJ986" s="1">
        <f>P986</f>
        <v>-1808890.08</v>
      </c>
    </row>
    <row r="987" spans="1:36" x14ac:dyDescent="0.25">
      <c r="A987" t="s">
        <v>155</v>
      </c>
      <c r="B987">
        <v>2023</v>
      </c>
      <c r="C987" s="1">
        <v>8253285.2199999997</v>
      </c>
      <c r="D987" s="1">
        <v>718505.17</v>
      </c>
      <c r="E987" s="1">
        <v>-2211747.7080000001</v>
      </c>
      <c r="F987" s="1">
        <v>0</v>
      </c>
      <c r="G987" s="1">
        <v>30880345.335999999</v>
      </c>
      <c r="H987" s="1">
        <v>5668616.2429999998</v>
      </c>
      <c r="I987" s="1">
        <v>2121464.1170000001</v>
      </c>
      <c r="J987" s="1">
        <v>27971162.313000001</v>
      </c>
      <c r="K987" s="1">
        <v>17491334.539000001</v>
      </c>
      <c r="L987" s="1">
        <v>18869566.043000001</v>
      </c>
      <c r="M987" s="1">
        <v>7104819.4390000002</v>
      </c>
      <c r="N987" s="1">
        <v>2909183.0219999999</v>
      </c>
      <c r="O987" s="1">
        <v>2909183.0219999999</v>
      </c>
      <c r="P987" s="1">
        <v>-4019575.202</v>
      </c>
      <c r="Q987" s="1">
        <v>1938729.737</v>
      </c>
      <c r="R987" s="1">
        <v>16.8</v>
      </c>
      <c r="T987">
        <f>E987/G987</f>
        <v>-7.1623153301383802E-2</v>
      </c>
      <c r="U987">
        <f>D987/C987</f>
        <v>8.70568689736861E-2</v>
      </c>
      <c r="V987">
        <f>(E987-F987)/O987</f>
        <v>-0.76026420176186504</v>
      </c>
      <c r="W987">
        <f>H987/K987</f>
        <v>0.32408140330063578</v>
      </c>
      <c r="X987">
        <f>(H987-I987)/K987</f>
        <v>0.20279482495123521</v>
      </c>
      <c r="Y987">
        <f>(H987-K987)/G987</f>
        <v>-0.38285576690805956</v>
      </c>
      <c r="Z987">
        <f>J987/N987</f>
        <v>9.614782604420137</v>
      </c>
      <c r="AA987">
        <f>J987/G987</f>
        <v>0.90579175875962437</v>
      </c>
      <c r="AB987">
        <f>C987/G987</f>
        <v>0.26726661020783343</v>
      </c>
      <c r="AC987">
        <f>C987/(G987-K987)</f>
        <v>0.61642232911256356</v>
      </c>
      <c r="AD987">
        <f>Q987/E987</f>
        <v>-0.87656007508791323</v>
      </c>
      <c r="AE987">
        <f>Q987/J987</f>
        <v>6.9311733109458498E-2</v>
      </c>
      <c r="AF987">
        <f>Q987/G987</f>
        <v>6.2781996635894094E-2</v>
      </c>
      <c r="AG987">
        <f>Q987/K987</f>
        <v>0.11083944067716855</v>
      </c>
      <c r="AH987">
        <f>Q987/L987</f>
        <v>0.10274373732718703</v>
      </c>
      <c r="AI987" s="1">
        <f>R987</f>
        <v>16.8</v>
      </c>
      <c r="AJ987" s="1">
        <f>P987</f>
        <v>-4019575.202</v>
      </c>
    </row>
    <row r="988" spans="1:36" s="8" customFormat="1" x14ac:dyDescent="0.25">
      <c r="A988" s="8" t="s">
        <v>155</v>
      </c>
      <c r="B988" s="8">
        <v>2024</v>
      </c>
      <c r="C988" s="9">
        <v>7302893.017</v>
      </c>
      <c r="D988" s="9">
        <v>-1474930.0049999999</v>
      </c>
      <c r="E988" s="9">
        <v>-4207745.1859999998</v>
      </c>
      <c r="F988" s="9">
        <v>0</v>
      </c>
      <c r="G988" s="9">
        <v>30671032.651999999</v>
      </c>
      <c r="H988" s="9">
        <v>5594476.9910000004</v>
      </c>
      <c r="I988" s="9">
        <v>1713829.183</v>
      </c>
      <c r="J988" s="9">
        <v>31956682.436999999</v>
      </c>
      <c r="K988" s="9">
        <v>19759237.043000001</v>
      </c>
      <c r="L988" s="9">
        <v>22645832.453000002</v>
      </c>
      <c r="M988" s="9">
        <v>8867165.7679999992</v>
      </c>
      <c r="N988" s="9">
        <v>-1285649.7849999999</v>
      </c>
      <c r="O988" s="9">
        <v>-1285649.7849999999</v>
      </c>
      <c r="P988" s="9">
        <v>-8237606.358</v>
      </c>
      <c r="Q988" s="9">
        <v>-1226723.9069999999</v>
      </c>
      <c r="R988" s="9">
        <v>13</v>
      </c>
      <c r="T988" s="8">
        <f>E988/G988</f>
        <v>-0.13718955060111485</v>
      </c>
      <c r="U988" s="8">
        <f>D988/C988</f>
        <v>-0.20196516662185685</v>
      </c>
      <c r="V988" s="8">
        <f>(E988-F988)/O988</f>
        <v>3.272854890260803</v>
      </c>
      <c r="W988" s="8">
        <f>H988/K988</f>
        <v>0.28313223728352027</v>
      </c>
      <c r="X988" s="8">
        <f>(H988-I988)/K988</f>
        <v>0.19639664221624267</v>
      </c>
      <c r="Y988" s="8">
        <f>(H988-K988)/G988</f>
        <v>-0.46182859940571136</v>
      </c>
      <c r="Z988" s="8">
        <f>J988/N988</f>
        <v>-24.856444429771365</v>
      </c>
      <c r="AA988" s="8">
        <f>J988/G988</f>
        <v>1.0419173948131206</v>
      </c>
      <c r="AB988" s="8">
        <f>C988/G988</f>
        <v>0.23810391713445594</v>
      </c>
      <c r="AC988" s="8">
        <f>C988/(G988-K988)</f>
        <v>0.6692659282379344</v>
      </c>
      <c r="AD988" s="8">
        <f>Q988/E988</f>
        <v>0.29153949509146915</v>
      </c>
      <c r="AE988" s="8">
        <f>Q988/J988</f>
        <v>-3.8387085687583068E-2</v>
      </c>
      <c r="AF988" s="8">
        <f>Q988/G988</f>
        <v>-3.9996172314074582E-2</v>
      </c>
      <c r="AG988" s="8">
        <f>Q988/K988</f>
        <v>-6.2083566502613763E-2</v>
      </c>
      <c r="AH988" s="8">
        <f>Q988/L988</f>
        <v>-5.4169963040483854E-2</v>
      </c>
      <c r="AI988" s="9">
        <f>R988</f>
        <v>13</v>
      </c>
      <c r="AJ988" s="9">
        <f>P988</f>
        <v>-8237606.358</v>
      </c>
    </row>
    <row r="989" spans="1:36" x14ac:dyDescent="0.25">
      <c r="A989" s="15" t="s">
        <v>156</v>
      </c>
      <c r="B989" s="15">
        <v>2018</v>
      </c>
      <c r="C989" s="6">
        <v>78304.775999999998</v>
      </c>
      <c r="D989" s="6">
        <v>5618.8370000000004</v>
      </c>
      <c r="E989" s="6">
        <v>6364.4380000000001</v>
      </c>
      <c r="F989" s="6">
        <v>0</v>
      </c>
      <c r="G989" s="6">
        <v>77284.089000000007</v>
      </c>
      <c r="H989" s="6">
        <v>69539.278000000006</v>
      </c>
      <c r="I989" s="6">
        <v>23521.652999999998</v>
      </c>
      <c r="J989" s="6">
        <v>23099.634999999998</v>
      </c>
      <c r="K989" s="6">
        <v>19000.771000000001</v>
      </c>
      <c r="L989" s="6">
        <v>9764.0300000000007</v>
      </c>
      <c r="M989" s="6">
        <v>994.85</v>
      </c>
      <c r="N989" s="6">
        <v>54184.453000000001</v>
      </c>
      <c r="O989" s="6">
        <v>54184.453000000001</v>
      </c>
      <c r="P989" s="6">
        <v>52329.512000000002</v>
      </c>
      <c r="Q989" s="6">
        <v>13204.241</v>
      </c>
      <c r="R989" s="6">
        <v>55</v>
      </c>
      <c r="S989" s="15"/>
      <c r="T989" s="15">
        <f>E989/G989</f>
        <v>8.2351206857080236E-2</v>
      </c>
      <c r="U989" s="15">
        <f>D989/C989</f>
        <v>7.1755993529692239E-2</v>
      </c>
      <c r="V989" s="15">
        <f>(E989-F989)/O989</f>
        <v>0.11745874780723541</v>
      </c>
      <c r="W989" s="15">
        <f>H989/K989</f>
        <v>3.6598134886210674</v>
      </c>
      <c r="X989" s="15">
        <f>(H989-I989)/K989</f>
        <v>2.4218819857362632</v>
      </c>
      <c r="Y989" s="15">
        <f>(H989-K989)/G989</f>
        <v>0.65393158739310497</v>
      </c>
      <c r="Z989" s="15">
        <f>J989/N989</f>
        <v>0.4263148139559515</v>
      </c>
      <c r="AA989" s="15">
        <f>J989/G989</f>
        <v>0.29889250554535224</v>
      </c>
      <c r="AB989" s="15">
        <f>C989/G989</f>
        <v>1.0132069487161839</v>
      </c>
      <c r="AC989" s="15">
        <f>C989/(G989-K989)</f>
        <v>1.3435195298936136</v>
      </c>
      <c r="AD989" s="15">
        <f>Q989/E989</f>
        <v>2.0746908053782596</v>
      </c>
      <c r="AE989" s="15">
        <f>Q989/J989</f>
        <v>0.57162119661198119</v>
      </c>
      <c r="AF989" s="15">
        <f>Q989/G989</f>
        <v>0.17085329167818747</v>
      </c>
      <c r="AG989" s="15">
        <f>Q989/K989</f>
        <v>0.69493185302849025</v>
      </c>
      <c r="AH989" s="15">
        <f>Q989/L989</f>
        <v>1.3523351525958032</v>
      </c>
      <c r="AI989" s="6">
        <f>R989</f>
        <v>55</v>
      </c>
      <c r="AJ989" s="6">
        <f>P989</f>
        <v>52329.512000000002</v>
      </c>
    </row>
    <row r="990" spans="1:36" x14ac:dyDescent="0.25">
      <c r="A990" t="s">
        <v>156</v>
      </c>
      <c r="B990">
        <v>2019</v>
      </c>
      <c r="C990" s="1">
        <v>86946.596000000005</v>
      </c>
      <c r="D990" s="1">
        <v>-11528.855</v>
      </c>
      <c r="E990" s="1">
        <v>-12497.173000000001</v>
      </c>
      <c r="F990" s="1">
        <v>0</v>
      </c>
      <c r="G990" s="1">
        <v>85805.051999999996</v>
      </c>
      <c r="H990" s="1">
        <v>79546.585000000006</v>
      </c>
      <c r="I990" s="1">
        <v>21926.14</v>
      </c>
      <c r="J990" s="1">
        <v>52741.586000000003</v>
      </c>
      <c r="K990" s="1">
        <v>49160.131000000001</v>
      </c>
      <c r="L990" s="1">
        <v>33981.476999999999</v>
      </c>
      <c r="M990" s="1">
        <v>0</v>
      </c>
      <c r="N990" s="1">
        <v>33063.466</v>
      </c>
      <c r="O990" s="1">
        <v>33063.466</v>
      </c>
      <c r="P990" s="1">
        <v>30986.35</v>
      </c>
      <c r="Q990" s="1">
        <v>-25830.68</v>
      </c>
      <c r="R990" s="1">
        <v>70</v>
      </c>
      <c r="T990">
        <f>E990/G990</f>
        <v>-0.1456461211631222</v>
      </c>
      <c r="U990">
        <f>D990/C990</f>
        <v>-0.13259696791349945</v>
      </c>
      <c r="V990">
        <f>(E990-F990)/O990</f>
        <v>-0.37797528547067633</v>
      </c>
      <c r="W990">
        <f>H990/K990</f>
        <v>1.618111737741301</v>
      </c>
      <c r="X990">
        <f>(H990-I990)/K990</f>
        <v>1.1720970597088116</v>
      </c>
      <c r="Y990">
        <f>(H990-K990)/G990</f>
        <v>0.35413362374047636</v>
      </c>
      <c r="Z990">
        <f>J990/N990</f>
        <v>1.5951620438099261</v>
      </c>
      <c r="AA990">
        <f>J990/G990</f>
        <v>0.6146676072173467</v>
      </c>
      <c r="AB990">
        <f>C990/G990</f>
        <v>1.0133039252747031</v>
      </c>
      <c r="AC990">
        <f>C990/(G990-K990)</f>
        <v>2.3726779490123615</v>
      </c>
      <c r="AD990">
        <f>Q990/E990</f>
        <v>2.0669218550467372</v>
      </c>
      <c r="AE990">
        <f>Q990/J990</f>
        <v>-0.48975925752403426</v>
      </c>
      <c r="AF990">
        <f>Q990/G990</f>
        <v>-0.3010391509348424</v>
      </c>
      <c r="AG990">
        <f>Q990/K990</f>
        <v>-0.52543960877565599</v>
      </c>
      <c r="AH990">
        <f>Q990/L990</f>
        <v>-0.76014000215470334</v>
      </c>
      <c r="AI990" s="1">
        <f>R990</f>
        <v>70</v>
      </c>
      <c r="AJ990" s="1">
        <f>P990</f>
        <v>30986.35</v>
      </c>
    </row>
    <row r="991" spans="1:36" x14ac:dyDescent="0.25">
      <c r="A991" t="s">
        <v>156</v>
      </c>
      <c r="B991">
        <v>2020</v>
      </c>
      <c r="C991" s="1">
        <v>78161.482999999993</v>
      </c>
      <c r="D991" s="1">
        <v>-1744.61</v>
      </c>
      <c r="E991" s="1">
        <v>27.681999999999999</v>
      </c>
      <c r="F991" s="1">
        <v>0</v>
      </c>
      <c r="G991" s="1">
        <v>97436.453999999998</v>
      </c>
      <c r="H991" s="1">
        <v>85136.225000000006</v>
      </c>
      <c r="I991" s="1">
        <v>6241.4129999999996</v>
      </c>
      <c r="J991" s="1">
        <v>63711.6</v>
      </c>
      <c r="K991" s="1">
        <v>55277.614000000001</v>
      </c>
      <c r="L991" s="1">
        <v>26481.806</v>
      </c>
      <c r="M991" s="1">
        <v>4077.2420000000002</v>
      </c>
      <c r="N991" s="1">
        <v>33724.853999999999</v>
      </c>
      <c r="O991" s="1">
        <v>33724.853999999999</v>
      </c>
      <c r="P991" s="1">
        <v>31975.588</v>
      </c>
      <c r="Q991" s="1">
        <v>9511.1489999999994</v>
      </c>
      <c r="R991" s="1">
        <v>74</v>
      </c>
      <c r="T991">
        <f>E991/G991</f>
        <v>2.8410311401521243E-4</v>
      </c>
      <c r="U991">
        <f>D991/C991</f>
        <v>-2.2320584679796827E-2</v>
      </c>
      <c r="V991">
        <f>(E991-F991)/O991</f>
        <v>8.2081897226300813E-4</v>
      </c>
      <c r="W991">
        <f>H991/K991</f>
        <v>1.5401573772702997</v>
      </c>
      <c r="X991">
        <f>(H991-I991)/K991</f>
        <v>1.4272470588184216</v>
      </c>
      <c r="Y991">
        <f>(H991-K991)/G991</f>
        <v>0.30644188878220058</v>
      </c>
      <c r="Z991">
        <f>J991/N991</f>
        <v>1.8891586602569133</v>
      </c>
      <c r="AA991">
        <f>J991/G991</f>
        <v>0.65387847550363443</v>
      </c>
      <c r="AB991">
        <f>C991/G991</f>
        <v>0.80217905918456345</v>
      </c>
      <c r="AC991">
        <f>C991/(G991-K991)</f>
        <v>1.8539761293242414</v>
      </c>
      <c r="AD991">
        <f>Q991/E991</f>
        <v>343.58604869590346</v>
      </c>
      <c r="AE991">
        <f>Q991/J991</f>
        <v>0.14928441602471135</v>
      </c>
      <c r="AF991">
        <f>Q991/G991</f>
        <v>9.761386636668859E-2</v>
      </c>
      <c r="AG991">
        <f>Q991/K991</f>
        <v>0.17206149672089679</v>
      </c>
      <c r="AH991">
        <f>Q991/L991</f>
        <v>0.35915786861364363</v>
      </c>
      <c r="AI991" s="1">
        <f>R991</f>
        <v>74</v>
      </c>
      <c r="AJ991" s="1">
        <f>P991</f>
        <v>31975.588</v>
      </c>
    </row>
    <row r="992" spans="1:36" x14ac:dyDescent="0.25">
      <c r="A992" t="s">
        <v>156</v>
      </c>
      <c r="B992">
        <v>2021</v>
      </c>
      <c r="C992" s="1">
        <v>55409.135999999999</v>
      </c>
      <c r="D992" s="1">
        <v>3715.37</v>
      </c>
      <c r="E992" s="1">
        <v>4806.3109999999997</v>
      </c>
      <c r="F992" s="1">
        <v>0</v>
      </c>
      <c r="G992" s="1">
        <v>78234.432000000001</v>
      </c>
      <c r="H992" s="1">
        <v>63463.15</v>
      </c>
      <c r="I992" s="1">
        <v>1701.0550000000001</v>
      </c>
      <c r="J992" s="1">
        <v>38668.792000000001</v>
      </c>
      <c r="K992" s="1">
        <v>32361.436000000002</v>
      </c>
      <c r="L992" s="1">
        <v>12963.355</v>
      </c>
      <c r="M992" s="1">
        <v>2887.0129999999999</v>
      </c>
      <c r="N992" s="1">
        <v>39565.64</v>
      </c>
      <c r="O992" s="1">
        <v>39565.64</v>
      </c>
      <c r="P992" s="1">
        <v>37540.709000000003</v>
      </c>
      <c r="Q992" s="1">
        <v>13573.887000000001</v>
      </c>
      <c r="R992" s="1">
        <v>54.4</v>
      </c>
      <c r="T992">
        <f>E992/G992</f>
        <v>6.1434727358920423E-2</v>
      </c>
      <c r="U992">
        <f>D992/C992</f>
        <v>6.7053382676820664E-2</v>
      </c>
      <c r="V992">
        <f>(E992-F992)/O992</f>
        <v>0.12147689257648808</v>
      </c>
      <c r="W992">
        <f>H992/K992</f>
        <v>1.9610733590437703</v>
      </c>
      <c r="X992">
        <f>(H992-I992)/K992</f>
        <v>1.9085090970623182</v>
      </c>
      <c r="Y992">
        <f>(H992-K992)/G992</f>
        <v>0.3975450860306623</v>
      </c>
      <c r="Z992">
        <f>J992/N992</f>
        <v>0.97733265530394564</v>
      </c>
      <c r="AA992">
        <f>J992/G992</f>
        <v>0.49426820149982043</v>
      </c>
      <c r="AB992">
        <f>C992/G992</f>
        <v>0.70824488123081153</v>
      </c>
      <c r="AC992">
        <f>C992/(G992-K992)</f>
        <v>1.2078813426530937</v>
      </c>
      <c r="AD992">
        <f>Q992/E992</f>
        <v>2.8241799167802504</v>
      </c>
      <c r="AE992">
        <f>Q992/J992</f>
        <v>0.35102950720570741</v>
      </c>
      <c r="AF992">
        <f>Q992/G992</f>
        <v>0.17350272319993326</v>
      </c>
      <c r="AG992">
        <f>Q992/K992</f>
        <v>0.41944637438215043</v>
      </c>
      <c r="AH992">
        <f>Q992/L992</f>
        <v>1.0470967585166033</v>
      </c>
      <c r="AI992" s="1">
        <f>R992</f>
        <v>54.4</v>
      </c>
      <c r="AJ992" s="1">
        <f>P992</f>
        <v>37540.709000000003</v>
      </c>
    </row>
    <row r="993" spans="1:36" x14ac:dyDescent="0.25">
      <c r="A993" t="s">
        <v>156</v>
      </c>
      <c r="B993">
        <v>2022</v>
      </c>
      <c r="C993" s="1">
        <v>75055.019</v>
      </c>
      <c r="D993" s="1">
        <v>18313.813999999998</v>
      </c>
      <c r="E993" s="1">
        <v>13293.819</v>
      </c>
      <c r="F993" s="1">
        <v>0</v>
      </c>
      <c r="G993" s="1">
        <v>91704.231</v>
      </c>
      <c r="H993" s="1">
        <v>77308.498999999996</v>
      </c>
      <c r="I993" s="1">
        <v>2525.4560000000001</v>
      </c>
      <c r="J993" s="1">
        <v>38641.406000000003</v>
      </c>
      <c r="K993" s="1">
        <v>33638.156000000003</v>
      </c>
      <c r="L993" s="1">
        <v>3555.3119999999999</v>
      </c>
      <c r="M993" s="1">
        <v>1480.8989999999999</v>
      </c>
      <c r="N993" s="1">
        <v>53062.826000000001</v>
      </c>
      <c r="O993" s="1">
        <v>53062.826000000001</v>
      </c>
      <c r="P993" s="1">
        <v>50506.468999999997</v>
      </c>
      <c r="Q993" s="1">
        <v>8038.8029999999999</v>
      </c>
      <c r="R993" s="1">
        <v>54.4</v>
      </c>
      <c r="T993">
        <f>E993/G993</f>
        <v>0.1449640747764408</v>
      </c>
      <c r="U993">
        <f>D993/C993</f>
        <v>0.24400518771436189</v>
      </c>
      <c r="V993">
        <f>(E993-F993)/O993</f>
        <v>0.25052979650951873</v>
      </c>
      <c r="W993">
        <f>H993/K993</f>
        <v>2.2982383160361106</v>
      </c>
      <c r="X993">
        <f>(H993-I993)/K993</f>
        <v>2.2231611923079253</v>
      </c>
      <c r="Y993">
        <f>(H993-K993)/G993</f>
        <v>0.47620859499928625</v>
      </c>
      <c r="Z993">
        <f>J993/N993</f>
        <v>0.72821990295051386</v>
      </c>
      <c r="AA993">
        <f>J993/G993</f>
        <v>0.42136993657359173</v>
      </c>
      <c r="AB993">
        <f>C993/G993</f>
        <v>0.81844663197710044</v>
      </c>
      <c r="AC993">
        <f>C993/(G993-K993)</f>
        <v>1.2925795139416605</v>
      </c>
      <c r="AD993">
        <f>Q993/E993</f>
        <v>0.60470230563542349</v>
      </c>
      <c r="AE993">
        <f>Q993/J993</f>
        <v>0.20803598606116971</v>
      </c>
      <c r="AF993">
        <f>Q993/G993</f>
        <v>8.7660110251619683E-2</v>
      </c>
      <c r="AG993">
        <f>Q993/K993</f>
        <v>0.23897870620494177</v>
      </c>
      <c r="AH993">
        <f>Q993/L993</f>
        <v>2.2610682269235443</v>
      </c>
      <c r="AI993" s="1">
        <f>R993</f>
        <v>54.4</v>
      </c>
      <c r="AJ993" s="1">
        <f>P993</f>
        <v>50506.468999999997</v>
      </c>
    </row>
    <row r="994" spans="1:36" x14ac:dyDescent="0.25">
      <c r="A994" t="s">
        <v>156</v>
      </c>
      <c r="B994">
        <v>2023</v>
      </c>
      <c r="C994" s="1">
        <v>66795.854000000007</v>
      </c>
      <c r="D994" s="1">
        <v>-93.108000000000004</v>
      </c>
      <c r="E994" s="1">
        <v>4285.8729999999996</v>
      </c>
      <c r="F994" s="1">
        <v>0</v>
      </c>
      <c r="G994" s="1">
        <v>81420.562000000005</v>
      </c>
      <c r="H994" s="1">
        <v>65931.846999999994</v>
      </c>
      <c r="I994" s="1">
        <v>2617.895</v>
      </c>
      <c r="J994" s="1">
        <v>31453.599999999999</v>
      </c>
      <c r="K994" s="1">
        <v>29277.653999999999</v>
      </c>
      <c r="L994" s="1">
        <v>12960.884</v>
      </c>
      <c r="M994" s="1">
        <v>0</v>
      </c>
      <c r="N994" s="1">
        <v>49966.962</v>
      </c>
      <c r="O994" s="1">
        <v>49966.962</v>
      </c>
      <c r="P994" s="1">
        <v>48839.302000000003</v>
      </c>
      <c r="Q994" s="1">
        <v>-16429.987000000001</v>
      </c>
      <c r="R994" s="1">
        <v>91</v>
      </c>
      <c r="T994">
        <f>E994/G994</f>
        <v>5.2638705687145702E-2</v>
      </c>
      <c r="U994">
        <f>D994/C994</f>
        <v>-1.3939188501130623E-3</v>
      </c>
      <c r="V994">
        <f>(E994-F994)/O994</f>
        <v>8.5774136118181438E-2</v>
      </c>
      <c r="W994">
        <f>H994/K994</f>
        <v>2.251951163846666</v>
      </c>
      <c r="X994">
        <f>(H994-I994)/K994</f>
        <v>2.1625350173207183</v>
      </c>
      <c r="Y994">
        <f>(H994-K994)/G994</f>
        <v>0.45018349296090582</v>
      </c>
      <c r="Z994">
        <f>J994/N994</f>
        <v>0.62948794045153278</v>
      </c>
      <c r="AA994">
        <f>J994/G994</f>
        <v>0.38631027872295942</v>
      </c>
      <c r="AB994">
        <f>C994/G994</f>
        <v>0.82038065519616532</v>
      </c>
      <c r="AC994">
        <f>C994/(G994-K994)</f>
        <v>1.2810151286537375</v>
      </c>
      <c r="AD994">
        <f>Q994/E994</f>
        <v>-3.8335216652476642</v>
      </c>
      <c r="AE994">
        <f>Q994/J994</f>
        <v>-0.52235632805147902</v>
      </c>
      <c r="AF994">
        <f>Q994/G994</f>
        <v>-0.2017916186822685</v>
      </c>
      <c r="AG994">
        <f>Q994/K994</f>
        <v>-0.56117839906161882</v>
      </c>
      <c r="AH994">
        <f>Q994/L994</f>
        <v>-1.2676594435996804</v>
      </c>
      <c r="AI994" s="1">
        <f>R994</f>
        <v>91</v>
      </c>
      <c r="AJ994" s="1">
        <f>P994</f>
        <v>48839.302000000003</v>
      </c>
    </row>
    <row r="995" spans="1:36" s="8" customFormat="1" x14ac:dyDescent="0.25">
      <c r="A995" s="8" t="s">
        <v>156</v>
      </c>
      <c r="B995" s="8">
        <v>2024</v>
      </c>
      <c r="C995" s="9">
        <v>62096.612000000001</v>
      </c>
      <c r="D995" s="9">
        <v>-5242.384</v>
      </c>
      <c r="E995" s="9">
        <v>-4194.7389999999996</v>
      </c>
      <c r="F995" s="9">
        <v>0</v>
      </c>
      <c r="G995" s="9">
        <v>62818.343000000001</v>
      </c>
      <c r="H995" s="9">
        <v>45767.978000000003</v>
      </c>
      <c r="I995" s="9">
        <v>9860.8060000000005</v>
      </c>
      <c r="J995" s="9">
        <v>17643.268</v>
      </c>
      <c r="K995" s="9">
        <v>14610.335999999999</v>
      </c>
      <c r="L995" s="9">
        <v>1583.4839999999999</v>
      </c>
      <c r="M995" s="9">
        <v>0</v>
      </c>
      <c r="N995" s="9">
        <v>45175.074999999997</v>
      </c>
      <c r="O995" s="9">
        <v>45175.074999999997</v>
      </c>
      <c r="P995" s="9">
        <v>43920.042999999998</v>
      </c>
      <c r="Q995" s="9">
        <v>-5063.42</v>
      </c>
      <c r="R995" s="9">
        <v>91</v>
      </c>
      <c r="T995" s="8">
        <f>E995/G995</f>
        <v>-6.6775702759303918E-2</v>
      </c>
      <c r="U995" s="8">
        <f>D995/C995</f>
        <v>-8.4423027781290225E-2</v>
      </c>
      <c r="V995" s="8">
        <f>(E995-F995)/O995</f>
        <v>-9.2855164047873737E-2</v>
      </c>
      <c r="W995" s="8">
        <f>H995/K995</f>
        <v>3.1325753220186043</v>
      </c>
      <c r="X995" s="8">
        <f>(H995-I995)/K995</f>
        <v>2.4576554570682023</v>
      </c>
      <c r="Y995" s="8">
        <f>(H995-K995)/G995</f>
        <v>0.49599592271957893</v>
      </c>
      <c r="Z995" s="8">
        <f>J995/N995</f>
        <v>0.39055315348120617</v>
      </c>
      <c r="AA995" s="8">
        <f>J995/G995</f>
        <v>0.28086172218837419</v>
      </c>
      <c r="AB995" s="8">
        <f>C995/G995</f>
        <v>0.98851082398018686</v>
      </c>
      <c r="AC995" s="8">
        <f>C995/(G995-K995)</f>
        <v>1.2880974731023418</v>
      </c>
      <c r="AD995" s="8">
        <f>Q995/E995</f>
        <v>1.2070882121629023</v>
      </c>
      <c r="AE995" s="8">
        <f>Q995/J995</f>
        <v>-0.28698878235029929</v>
      </c>
      <c r="AF995" s="8">
        <f>Q995/G995</f>
        <v>-8.0604163659649536E-2</v>
      </c>
      <c r="AG995" s="8">
        <f>Q995/K995</f>
        <v>-0.3465642405486089</v>
      </c>
      <c r="AH995" s="8">
        <f>Q995/L995</f>
        <v>-3.1976451924995772</v>
      </c>
      <c r="AI995" s="9">
        <f>R995</f>
        <v>91</v>
      </c>
      <c r="AJ995" s="9">
        <f>P995</f>
        <v>43920.042999999998</v>
      </c>
    </row>
    <row r="996" spans="1:36" x14ac:dyDescent="0.25">
      <c r="A996" s="15" t="s">
        <v>157</v>
      </c>
      <c r="B996" s="15">
        <v>2018</v>
      </c>
      <c r="C996" s="6">
        <v>151315374</v>
      </c>
      <c r="D996" s="6">
        <v>105149518</v>
      </c>
      <c r="E996" s="6">
        <v>236297102</v>
      </c>
      <c r="F996" s="6"/>
      <c r="G996" s="6">
        <v>2482579854</v>
      </c>
      <c r="H996" s="6">
        <v>414163345</v>
      </c>
      <c r="I996" s="6">
        <v>0</v>
      </c>
      <c r="J996" s="6">
        <v>429356771</v>
      </c>
      <c r="K996" s="6">
        <v>74156292</v>
      </c>
      <c r="L996" s="6">
        <v>0</v>
      </c>
      <c r="M996" s="6">
        <v>0</v>
      </c>
      <c r="N996" s="6">
        <v>2053223083</v>
      </c>
      <c r="O996" s="6">
        <v>2053223083</v>
      </c>
      <c r="P996" s="6">
        <v>1846795653</v>
      </c>
      <c r="Q996" s="6">
        <v>145091828</v>
      </c>
      <c r="R996" s="6">
        <v>54</v>
      </c>
      <c r="S996" s="15"/>
      <c r="T996" s="15">
        <f>E996/G996</f>
        <v>9.5182075057634777E-2</v>
      </c>
      <c r="U996" s="15">
        <f>D996/C996</f>
        <v>0.69490307045733501</v>
      </c>
      <c r="V996" s="15">
        <f>(E996-F996)/O996</f>
        <v>0.11508593681634545</v>
      </c>
      <c r="W996" s="15">
        <f>H996/K996</f>
        <v>5.585006124632014</v>
      </c>
      <c r="X996" s="15">
        <f>(H996-I996)/K996</f>
        <v>5.585006124632014</v>
      </c>
      <c r="Y996" s="15">
        <f>(H996-K996)/G996</f>
        <v>0.13695714659577674</v>
      </c>
      <c r="Z996" s="15">
        <f>J996/N996</f>
        <v>0.20911355154485178</v>
      </c>
      <c r="AA996" s="15">
        <f>J996/G996</f>
        <v>0.1729478189022636</v>
      </c>
      <c r="AB996" s="15">
        <f>C996/G996</f>
        <v>6.0950858743253136E-2</v>
      </c>
      <c r="AC996" s="15">
        <f>C996/(G996-K996)</f>
        <v>6.2827559233121305E-2</v>
      </c>
      <c r="AD996" s="15">
        <f>Q996/E996</f>
        <v>0.61402288378466863</v>
      </c>
      <c r="AE996" s="15">
        <f>Q996/J996</f>
        <v>0.33792835655548564</v>
      </c>
      <c r="AF996" s="15">
        <f>Q996/G996</f>
        <v>5.8443972211497691E-2</v>
      </c>
      <c r="AG996" s="15">
        <f>Q996/K996</f>
        <v>1.9565680009998343</v>
      </c>
      <c r="AH996" s="15" t="e">
        <f>Q996/L996</f>
        <v>#DIV/0!</v>
      </c>
      <c r="AI996" s="6">
        <f>R996</f>
        <v>54</v>
      </c>
      <c r="AJ996" s="6">
        <f>P996</f>
        <v>1846795653</v>
      </c>
    </row>
    <row r="997" spans="1:36" x14ac:dyDescent="0.25">
      <c r="A997" t="s">
        <v>157</v>
      </c>
      <c r="B997">
        <v>2019</v>
      </c>
      <c r="C997" s="1">
        <v>190993167</v>
      </c>
      <c r="D997" s="1">
        <v>140527357</v>
      </c>
      <c r="E997" s="1">
        <v>-57936847</v>
      </c>
      <c r="G997" s="1">
        <v>2690516211</v>
      </c>
      <c r="H997" s="1">
        <v>471768273</v>
      </c>
      <c r="I997" s="1">
        <v>0</v>
      </c>
      <c r="J997" s="1">
        <v>753252354</v>
      </c>
      <c r="K997" s="1">
        <v>94162724</v>
      </c>
      <c r="L997" s="1">
        <v>0</v>
      </c>
      <c r="M997" s="1">
        <v>0</v>
      </c>
      <c r="N997" s="1">
        <v>1937263857</v>
      </c>
      <c r="O997" s="1">
        <v>1937263857</v>
      </c>
      <c r="P997" s="1">
        <v>1728351925</v>
      </c>
      <c r="Q997" s="1">
        <v>124786290</v>
      </c>
      <c r="R997" s="1">
        <v>100</v>
      </c>
      <c r="T997">
        <f>E997/G997</f>
        <v>-2.1533729015691852E-2</v>
      </c>
      <c r="U997">
        <f>D997/C997</f>
        <v>0.73577164674168682</v>
      </c>
      <c r="V997">
        <f>(E997-F997)/O997</f>
        <v>-2.9906533790249719E-2</v>
      </c>
      <c r="W997">
        <f>H997/K997</f>
        <v>5.0101383324467124</v>
      </c>
      <c r="X997">
        <f>(H997-I997)/K997</f>
        <v>5.0101383324467124</v>
      </c>
      <c r="Y997">
        <f>(H997-K997)/G997</f>
        <v>0.14034687747138797</v>
      </c>
      <c r="Z997">
        <f>J997/N997</f>
        <v>0.38882279833913197</v>
      </c>
      <c r="AA997">
        <f>J997/G997</f>
        <v>0.27996573702859578</v>
      </c>
      <c r="AB997">
        <f>C997/G997</f>
        <v>7.0987554811651712E-2</v>
      </c>
      <c r="AC997">
        <f>C997/(G997-K997)</f>
        <v>7.3562081571830279E-2</v>
      </c>
      <c r="AD997">
        <f>Q997/E997</f>
        <v>-2.1538329484861336</v>
      </c>
      <c r="AE997">
        <f>Q997/J997</f>
        <v>0.16566332562699168</v>
      </c>
      <c r="AF997">
        <f>Q997/G997</f>
        <v>4.6380055057768987E-2</v>
      </c>
      <c r="AG997">
        <f>Q997/K997</f>
        <v>1.3252196272486765</v>
      </c>
      <c r="AH997" t="e">
        <f>Q997/L997</f>
        <v>#DIV/0!</v>
      </c>
      <c r="AI997" s="1">
        <f>R997</f>
        <v>100</v>
      </c>
      <c r="AJ997" s="1">
        <f>P997</f>
        <v>1728351925</v>
      </c>
    </row>
    <row r="998" spans="1:36" x14ac:dyDescent="0.25">
      <c r="A998" t="s">
        <v>157</v>
      </c>
      <c r="B998">
        <v>2020</v>
      </c>
      <c r="C998" s="1">
        <v>201223526</v>
      </c>
      <c r="D998" s="1">
        <v>143664313</v>
      </c>
      <c r="E998" s="1">
        <v>174260549</v>
      </c>
      <c r="G998" s="1">
        <v>2921453875</v>
      </c>
      <c r="H998" s="1">
        <v>640298480</v>
      </c>
      <c r="I998" s="1">
        <v>0</v>
      </c>
      <c r="J998" s="1">
        <v>765239489</v>
      </c>
      <c r="K998" s="1">
        <v>65219001</v>
      </c>
      <c r="L998" s="1">
        <v>0</v>
      </c>
      <c r="M998" s="1">
        <v>0</v>
      </c>
      <c r="N998" s="1">
        <v>2156214386</v>
      </c>
      <c r="O998" s="1">
        <v>2156214386</v>
      </c>
      <c r="P998" s="1">
        <v>1841815306</v>
      </c>
      <c r="Q998" s="1">
        <v>141147032</v>
      </c>
      <c r="R998" s="1">
        <v>23.7</v>
      </c>
      <c r="T998">
        <f>E998/G998</f>
        <v>5.9648571038966001E-2</v>
      </c>
      <c r="U998">
        <f>D998/C998</f>
        <v>0.71395385945080792</v>
      </c>
      <c r="V998">
        <f>(E998-F998)/O998</f>
        <v>8.0817821331426731E-2</v>
      </c>
      <c r="W998">
        <f>H998/K998</f>
        <v>9.8176677069923226</v>
      </c>
      <c r="X998">
        <f>(H998-I998)/K998</f>
        <v>9.8176677069923226</v>
      </c>
      <c r="Y998">
        <f>(H998-K998)/G998</f>
        <v>0.19684701645340882</v>
      </c>
      <c r="Z998">
        <f>J998/N998</f>
        <v>0.35489953780505012</v>
      </c>
      <c r="AA998">
        <f>J998/G998</f>
        <v>0.26193789864301725</v>
      </c>
      <c r="AB998">
        <f>C998/G998</f>
        <v>6.8877871980778743E-2</v>
      </c>
      <c r="AC998">
        <f>C998/(G998-K998)</f>
        <v>7.0450622892296491E-2</v>
      </c>
      <c r="AD998">
        <f>Q998/E998</f>
        <v>0.80997697304396765</v>
      </c>
      <c r="AE998">
        <f>Q998/J998</f>
        <v>0.1844481812934774</v>
      </c>
      <c r="AF998">
        <f>Q998/G998</f>
        <v>4.8313969016539754E-2</v>
      </c>
      <c r="AG998">
        <f>Q998/K998</f>
        <v>2.1642010738557618</v>
      </c>
      <c r="AH998" t="e">
        <f>Q998/L998</f>
        <v>#DIV/0!</v>
      </c>
      <c r="AI998" s="1">
        <f>R998</f>
        <v>23.7</v>
      </c>
      <c r="AJ998" s="1">
        <f>P998</f>
        <v>1841815306</v>
      </c>
    </row>
    <row r="999" spans="1:36" x14ac:dyDescent="0.25">
      <c r="A999" t="s">
        <v>157</v>
      </c>
      <c r="B999">
        <v>2021</v>
      </c>
      <c r="C999" s="1">
        <v>181702922</v>
      </c>
      <c r="D999" s="1">
        <v>133035052</v>
      </c>
      <c r="E999" s="1">
        <v>241718447</v>
      </c>
      <c r="G999" s="1">
        <v>3046999680</v>
      </c>
      <c r="H999" s="1">
        <v>735519380</v>
      </c>
      <c r="I999" s="1">
        <v>0</v>
      </c>
      <c r="J999" s="1">
        <v>681941949</v>
      </c>
      <c r="K999" s="1">
        <v>97103123</v>
      </c>
      <c r="L999" s="1">
        <v>0</v>
      </c>
      <c r="M999" s="1">
        <v>0</v>
      </c>
      <c r="N999" s="1">
        <v>2365057731</v>
      </c>
      <c r="O999" s="1">
        <v>2365057731</v>
      </c>
      <c r="P999" s="1">
        <v>2042713151</v>
      </c>
      <c r="Q999" s="1">
        <v>147608726</v>
      </c>
      <c r="R999" s="1">
        <v>28.4</v>
      </c>
      <c r="T999">
        <f>E999/G999</f>
        <v>7.9329987655266179E-2</v>
      </c>
      <c r="U999">
        <f>D999/C999</f>
        <v>0.73215692150509282</v>
      </c>
      <c r="V999">
        <f>(E999-F999)/O999</f>
        <v>0.10220403664218207</v>
      </c>
      <c r="W999">
        <f>H999/K999</f>
        <v>7.574621261151405</v>
      </c>
      <c r="X999">
        <f>(H999-I999)/K999</f>
        <v>7.574621261151405</v>
      </c>
      <c r="Y999">
        <f>(H999-K999)/G999</f>
        <v>0.20952291567027667</v>
      </c>
      <c r="Z999">
        <f>J999/N999</f>
        <v>0.28834050858947086</v>
      </c>
      <c r="AA999">
        <f>J999/G999</f>
        <v>0.22380768645174259</v>
      </c>
      <c r="AB999">
        <f>C999/G999</f>
        <v>5.9633390575216598E-2</v>
      </c>
      <c r="AC999">
        <f>C999/(G999-K999)</f>
        <v>6.1596370750298141E-2</v>
      </c>
      <c r="AD999">
        <f>Q999/E999</f>
        <v>0.61066388532605453</v>
      </c>
      <c r="AE999">
        <f>Q999/J999</f>
        <v>0.21645350636729932</v>
      </c>
      <c r="AF999">
        <f>Q999/G999</f>
        <v>4.8443958484432795E-2</v>
      </c>
      <c r="AG999">
        <f>Q999/K999</f>
        <v>1.5201233641064253</v>
      </c>
      <c r="AH999" t="e">
        <f>Q999/L999</f>
        <v>#DIV/0!</v>
      </c>
      <c r="AI999" s="1">
        <f>R999</f>
        <v>28.4</v>
      </c>
      <c r="AJ999" s="1">
        <f>P999</f>
        <v>2042713151</v>
      </c>
    </row>
    <row r="1000" spans="1:36" x14ac:dyDescent="0.25">
      <c r="A1000" t="s">
        <v>157</v>
      </c>
      <c r="B1000">
        <v>2022</v>
      </c>
      <c r="C1000" s="1">
        <v>213037864</v>
      </c>
      <c r="D1000" s="1">
        <v>147404612</v>
      </c>
      <c r="E1000" s="1">
        <v>658894522</v>
      </c>
      <c r="G1000" s="1">
        <v>3754003146</v>
      </c>
      <c r="H1000" s="1">
        <v>701195244</v>
      </c>
      <c r="I1000" s="1">
        <v>0</v>
      </c>
      <c r="J1000" s="1">
        <v>909790796</v>
      </c>
      <c r="K1000" s="1">
        <v>97012155</v>
      </c>
      <c r="L1000" s="1">
        <v>0</v>
      </c>
      <c r="M1000" s="1">
        <v>0</v>
      </c>
      <c r="N1000" s="1">
        <v>2844212350</v>
      </c>
      <c r="O1000" s="1">
        <v>2844212350</v>
      </c>
      <c r="P1000" s="1">
        <v>2508975513</v>
      </c>
      <c r="Q1000" s="1">
        <v>112033663</v>
      </c>
      <c r="R1000" s="1">
        <v>27.5</v>
      </c>
      <c r="T1000">
        <f>E1000/G1000</f>
        <v>0.17551783959000444</v>
      </c>
      <c r="U1000">
        <f>D1000/C1000</f>
        <v>0.69191743304373343</v>
      </c>
      <c r="V1000">
        <f>(E1000-F1000)/O1000</f>
        <v>0.23166150797425517</v>
      </c>
      <c r="W1000">
        <f>H1000/K1000</f>
        <v>7.2279112241141332</v>
      </c>
      <c r="X1000">
        <f>(H1000-I1000)/K1000</f>
        <v>7.2279112241141332</v>
      </c>
      <c r="Y1000">
        <f>(H1000-K1000)/G1000</f>
        <v>0.16094368211805435</v>
      </c>
      <c r="Z1000">
        <f>J1000/N1000</f>
        <v>0.31987442709754071</v>
      </c>
      <c r="AA1000">
        <f>J1000/G1000</f>
        <v>0.24235216663827483</v>
      </c>
      <c r="AB1000">
        <f>C1000/G1000</f>
        <v>5.6749516639856327E-2</v>
      </c>
      <c r="AC1000">
        <f>C1000/(G1000-K1000)</f>
        <v>5.8254960027053562E-2</v>
      </c>
      <c r="AD1000">
        <f>Q1000/E1000</f>
        <v>0.17003277347022777</v>
      </c>
      <c r="AE1000">
        <f>Q1000/J1000</f>
        <v>0.12314222510556153</v>
      </c>
      <c r="AF1000">
        <f>Q1000/G1000</f>
        <v>2.9843785058990997E-2</v>
      </c>
      <c r="AG1000">
        <f>Q1000/K1000</f>
        <v>1.1548415041393525</v>
      </c>
      <c r="AH1000" t="e">
        <f>Q1000/L1000</f>
        <v>#DIV/0!</v>
      </c>
      <c r="AI1000" s="1">
        <f>R1000</f>
        <v>27.5</v>
      </c>
      <c r="AJ1000" s="1">
        <f>P1000</f>
        <v>2508975513</v>
      </c>
    </row>
    <row r="1001" spans="1:36" x14ac:dyDescent="0.25">
      <c r="A1001" t="s">
        <v>157</v>
      </c>
      <c r="B1001">
        <v>2023</v>
      </c>
      <c r="C1001" s="1">
        <v>279978718</v>
      </c>
      <c r="D1001" s="1">
        <v>188691717</v>
      </c>
      <c r="E1001" s="1">
        <v>344760445</v>
      </c>
      <c r="G1001" s="1">
        <v>4235745384</v>
      </c>
      <c r="H1001" s="1">
        <v>717748112</v>
      </c>
      <c r="I1001" s="1">
        <v>1254744</v>
      </c>
      <c r="J1001" s="1">
        <v>1235466577</v>
      </c>
      <c r="K1001" s="1">
        <v>167322360</v>
      </c>
      <c r="L1001" s="1">
        <v>0</v>
      </c>
      <c r="M1001" s="1">
        <v>0</v>
      </c>
      <c r="N1001" s="1">
        <v>3000278807</v>
      </c>
      <c r="O1001" s="1">
        <v>3000278807</v>
      </c>
      <c r="P1001" s="1">
        <v>2660734487</v>
      </c>
      <c r="Q1001" s="1">
        <v>100979782</v>
      </c>
      <c r="R1001" s="1">
        <v>28.1</v>
      </c>
      <c r="T1001">
        <f>E1001/G1001</f>
        <v>8.1393099382764983E-2</v>
      </c>
      <c r="U1001">
        <f>D1001/C1001</f>
        <v>0.67395021431593238</v>
      </c>
      <c r="V1001">
        <f>(E1001-F1001)/O1001</f>
        <v>0.11490946914521201</v>
      </c>
      <c r="W1001">
        <f>H1001/K1001</f>
        <v>4.2896126494988476</v>
      </c>
      <c r="X1001">
        <f>(H1001-I1001)/K1001</f>
        <v>4.2821136876147339</v>
      </c>
      <c r="Y1001">
        <f>(H1001-K1001)/G1001</f>
        <v>0.12994779008180346</v>
      </c>
      <c r="Z1001">
        <f>J1001/N1001</f>
        <v>0.41178392291993415</v>
      </c>
      <c r="AA1001">
        <f>J1001/G1001</f>
        <v>0.29167630841712555</v>
      </c>
      <c r="AB1001">
        <f>C1001/G1001</f>
        <v>6.6099043407468416E-2</v>
      </c>
      <c r="AC1001">
        <f>C1001/(G1001-K1001)</f>
        <v>6.8817504066902555E-2</v>
      </c>
      <c r="AD1001">
        <f>Q1001/E1001</f>
        <v>0.29289839790060601</v>
      </c>
      <c r="AE1001">
        <f>Q1001/J1001</f>
        <v>8.1734126911957736E-2</v>
      </c>
      <c r="AF1001">
        <f>Q1001/G1001</f>
        <v>2.3839908409376668E-2</v>
      </c>
      <c r="AG1001">
        <f>Q1001/K1001</f>
        <v>0.60350440909391911</v>
      </c>
      <c r="AH1001" t="e">
        <f>Q1001/L1001</f>
        <v>#DIV/0!</v>
      </c>
      <c r="AI1001" s="1">
        <f>R1001</f>
        <v>28.1</v>
      </c>
      <c r="AJ1001" s="1">
        <f>P1001</f>
        <v>2660734487</v>
      </c>
    </row>
    <row r="1002" spans="1:36" s="8" customFormat="1" x14ac:dyDescent="0.25">
      <c r="A1002" s="8" t="s">
        <v>157</v>
      </c>
      <c r="B1002" s="8">
        <v>2024</v>
      </c>
      <c r="C1002" s="9">
        <v>286314201</v>
      </c>
      <c r="D1002" s="9">
        <v>148500371</v>
      </c>
      <c r="E1002" s="9">
        <v>570392972</v>
      </c>
      <c r="F1002" s="9"/>
      <c r="G1002" s="9">
        <v>4775967208</v>
      </c>
      <c r="H1002" s="9">
        <v>413080073</v>
      </c>
      <c r="I1002" s="9">
        <v>3122562</v>
      </c>
      <c r="J1002" s="9">
        <v>1397752016</v>
      </c>
      <c r="K1002" s="9">
        <v>85467828</v>
      </c>
      <c r="L1002" s="9">
        <v>0</v>
      </c>
      <c r="M1002" s="9">
        <v>0</v>
      </c>
      <c r="N1002" s="9">
        <v>3378215192</v>
      </c>
      <c r="O1002" s="9">
        <v>3378215192</v>
      </c>
      <c r="P1002" s="9">
        <v>3015258580</v>
      </c>
      <c r="Q1002" s="9">
        <v>416155203</v>
      </c>
      <c r="R1002" s="9">
        <v>25</v>
      </c>
      <c r="T1002" s="8">
        <f>E1002/G1002</f>
        <v>0.11942983424269776</v>
      </c>
      <c r="U1002" s="8">
        <f>D1002/C1002</f>
        <v>0.51866226153413886</v>
      </c>
      <c r="V1002" s="8">
        <f>(E1002-F1002)/O1002</f>
        <v>0.16884447543506281</v>
      </c>
      <c r="W1002" s="8">
        <f>H1002/K1002</f>
        <v>4.833164509574293</v>
      </c>
      <c r="X1002" s="8">
        <f>(H1002-I1002)/K1002</f>
        <v>4.7966295691988332</v>
      </c>
      <c r="Y1002" s="8">
        <f>(H1002-K1002)/G1002</f>
        <v>6.8595999664996021E-2</v>
      </c>
      <c r="Z1002" s="8">
        <f>J1002/N1002</f>
        <v>0.41375458239310409</v>
      </c>
      <c r="AA1002" s="8">
        <f>J1002/G1002</f>
        <v>0.29266365431879238</v>
      </c>
      <c r="AB1002" s="8">
        <f>C1002/G1002</f>
        <v>5.9948946157002171E-2</v>
      </c>
      <c r="AC1002" s="8">
        <f>C1002/(G1002-K1002)</f>
        <v>6.1041304518837824E-2</v>
      </c>
      <c r="AD1002" s="8">
        <f>Q1002/E1002</f>
        <v>0.72959384745014</v>
      </c>
      <c r="AE1002" s="8">
        <f>Q1002/J1002</f>
        <v>0.29773178520674015</v>
      </c>
      <c r="AF1002" s="8">
        <f>Q1002/G1002</f>
        <v>8.7135272265462332E-2</v>
      </c>
      <c r="AG1002" s="8">
        <f>Q1002/K1002</f>
        <v>4.8691444808916868</v>
      </c>
      <c r="AH1002" s="8" t="e">
        <f>Q1002/L1002</f>
        <v>#DIV/0!</v>
      </c>
      <c r="AI1002" s="9">
        <f>R1002</f>
        <v>25</v>
      </c>
      <c r="AJ1002" s="9">
        <f>P1002</f>
        <v>3015258580</v>
      </c>
    </row>
    <row r="1003" spans="1:36" x14ac:dyDescent="0.25">
      <c r="A1003" s="15" t="s">
        <v>158</v>
      </c>
      <c r="B1003" s="15">
        <v>2018</v>
      </c>
      <c r="C1003" s="6">
        <v>6784718.4730000002</v>
      </c>
      <c r="D1003" s="6">
        <v>4444438.1720000003</v>
      </c>
      <c r="E1003" s="6">
        <v>4817477.76</v>
      </c>
      <c r="F1003" s="6">
        <v>0</v>
      </c>
      <c r="G1003" s="6">
        <v>50050414.941</v>
      </c>
      <c r="H1003" s="6">
        <v>16572676.077</v>
      </c>
      <c r="I1003" s="6">
        <v>6966602.5659999996</v>
      </c>
      <c r="J1003" s="6">
        <v>10014951.01</v>
      </c>
      <c r="K1003" s="6">
        <v>6956383.7379999999</v>
      </c>
      <c r="L1003" s="6">
        <v>2914340.8259999999</v>
      </c>
      <c r="M1003" s="6">
        <v>0</v>
      </c>
      <c r="N1003" s="6">
        <v>40035463.931000002</v>
      </c>
      <c r="O1003" s="6">
        <v>40035463.931000002</v>
      </c>
      <c r="P1003" s="6">
        <v>21218673.923999999</v>
      </c>
      <c r="Q1003" s="6">
        <v>-272385.42700000003</v>
      </c>
      <c r="R1003" s="6">
        <v>16.5</v>
      </c>
      <c r="S1003" s="15"/>
      <c r="T1003" s="15">
        <f>E1003/G1003</f>
        <v>9.6252503913881585E-2</v>
      </c>
      <c r="U1003" s="15">
        <f>D1003/C1003</f>
        <v>0.65506596768705749</v>
      </c>
      <c r="V1003" s="15">
        <f>(E1003-F1003)/O1003</f>
        <v>0.12033025939958601</v>
      </c>
      <c r="W1003" s="15">
        <f>H1003/K1003</f>
        <v>2.382369446709784</v>
      </c>
      <c r="X1003" s="15">
        <f>(H1003-I1003)/K1003</f>
        <v>1.3809004610435422</v>
      </c>
      <c r="Y1003" s="15">
        <f>(H1003-K1003)/G1003</f>
        <v>0.1921321201899284</v>
      </c>
      <c r="Z1003" s="15">
        <f>J1003/N1003</f>
        <v>0.25015199092635687</v>
      </c>
      <c r="AA1003" s="15">
        <f>J1003/G1003</f>
        <v>0.20009726236647066</v>
      </c>
      <c r="AB1003" s="15">
        <f>C1003/G1003</f>
        <v>0.13555768680435323</v>
      </c>
      <c r="AC1003" s="15">
        <f>C1003/(G1003-K1003)</f>
        <v>0.15743986541987004</v>
      </c>
      <c r="AD1003" s="15">
        <f>Q1003/E1003</f>
        <v>-5.6541086553973018E-2</v>
      </c>
      <c r="AE1003" s="15">
        <f>Q1003/J1003</f>
        <v>-2.7197879123724244E-2</v>
      </c>
      <c r="AF1003" s="15">
        <f>Q1003/G1003</f>
        <v>-5.4422211548314052E-3</v>
      </c>
      <c r="AG1003" s="15">
        <f>Q1003/K1003</f>
        <v>-3.9156181898371292E-2</v>
      </c>
      <c r="AH1003" s="15">
        <f>Q1003/L1003</f>
        <v>-9.3463820212770138E-2</v>
      </c>
      <c r="AI1003" s="6">
        <f>R1003</f>
        <v>16.5</v>
      </c>
      <c r="AJ1003" s="6">
        <f>P1003</f>
        <v>21218673.923999999</v>
      </c>
    </row>
    <row r="1004" spans="1:36" x14ac:dyDescent="0.25">
      <c r="A1004" t="s">
        <v>158</v>
      </c>
      <c r="B1004">
        <v>2019</v>
      </c>
      <c r="C1004" s="1">
        <v>8921805.5840000007</v>
      </c>
      <c r="D1004" s="1">
        <v>4436903.2980000004</v>
      </c>
      <c r="E1004" s="1">
        <v>4335522.4970000004</v>
      </c>
      <c r="F1004" s="1">
        <v>0</v>
      </c>
      <c r="G1004" s="1">
        <v>57232732.718000002</v>
      </c>
      <c r="H1004" s="1">
        <v>17042594.368999999</v>
      </c>
      <c r="I1004" s="1">
        <v>9070820.8509999998</v>
      </c>
      <c r="J1004" s="1">
        <v>14398560.482999999</v>
      </c>
      <c r="K1004" s="1">
        <v>9065839.9989999998</v>
      </c>
      <c r="L1004" s="1">
        <v>4692369.7240000004</v>
      </c>
      <c r="M1004" s="1">
        <v>0</v>
      </c>
      <c r="N1004" s="1">
        <v>42834172.234999999</v>
      </c>
      <c r="O1004" s="1">
        <v>42834172.234999999</v>
      </c>
      <c r="P1004" s="1">
        <v>23997534.305</v>
      </c>
      <c r="Q1004" s="1">
        <v>4093080.1949999998</v>
      </c>
      <c r="R1004" s="1">
        <v>16</v>
      </c>
      <c r="T1004">
        <f>E1004/G1004</f>
        <v>7.575249845856924E-2</v>
      </c>
      <c r="U1004">
        <f>D1004/C1004</f>
        <v>0.49731001827219373</v>
      </c>
      <c r="V1004">
        <f>(E1004-F1004)/O1004</f>
        <v>0.10121644170486443</v>
      </c>
      <c r="W1004">
        <f>H1004/K1004</f>
        <v>1.8798693084016338</v>
      </c>
      <c r="X1004">
        <f>(H1004-I1004)/K1004</f>
        <v>0.87931989963195023</v>
      </c>
      <c r="Y1004">
        <f>(H1004-K1004)/G1004</f>
        <v>0.13937399091711145</v>
      </c>
      <c r="Z1004">
        <f>J1004/N1004</f>
        <v>0.33614657951145999</v>
      </c>
      <c r="AA1004">
        <f>J1004/G1004</f>
        <v>0.2515791191370384</v>
      </c>
      <c r="AB1004">
        <f>C1004/G1004</f>
        <v>0.15588641604726389</v>
      </c>
      <c r="AC1004">
        <f>C1004/(G1004-K1004)</f>
        <v>0.18522692829800683</v>
      </c>
      <c r="AD1004">
        <f>Q1004/E1004</f>
        <v>0.94408002676315017</v>
      </c>
      <c r="AE1004">
        <f>Q1004/J1004</f>
        <v>0.28427009768320882</v>
      </c>
      <c r="AF1004">
        <f>Q1004/G1004</f>
        <v>7.1516420772141528E-2</v>
      </c>
      <c r="AG1004">
        <f>Q1004/K1004</f>
        <v>0.45148383331842207</v>
      </c>
      <c r="AH1004">
        <f>Q1004/L1004</f>
        <v>0.87228424777893732</v>
      </c>
      <c r="AI1004" s="1">
        <f>R1004</f>
        <v>16</v>
      </c>
      <c r="AJ1004" s="1">
        <f>P1004</f>
        <v>23997534.305</v>
      </c>
    </row>
    <row r="1005" spans="1:36" x14ac:dyDescent="0.25">
      <c r="A1005" t="s">
        <v>158</v>
      </c>
      <c r="B1005">
        <v>2020</v>
      </c>
      <c r="C1005" s="1">
        <v>4797215.858</v>
      </c>
      <c r="D1005" s="1">
        <v>1607179.284</v>
      </c>
      <c r="E1005" s="1">
        <v>1734199.415</v>
      </c>
      <c r="F1005" s="1">
        <v>0</v>
      </c>
      <c r="G1005" s="1">
        <v>65905906.759999998</v>
      </c>
      <c r="H1005" s="1">
        <v>17873168.916000001</v>
      </c>
      <c r="I1005" s="1">
        <v>9695207.9020000007</v>
      </c>
      <c r="J1005" s="1">
        <v>21324328.550000001</v>
      </c>
      <c r="K1005" s="1">
        <v>11256184.855</v>
      </c>
      <c r="L1005" s="1">
        <v>7470890.602</v>
      </c>
      <c r="M1005" s="1">
        <v>0</v>
      </c>
      <c r="N1005" s="1">
        <v>44581578.210000001</v>
      </c>
      <c r="O1005" s="1">
        <v>44581578.210000001</v>
      </c>
      <c r="P1005" s="1">
        <v>25726717.318</v>
      </c>
      <c r="Q1005" s="1">
        <v>5539526.0750000002</v>
      </c>
      <c r="R1005" s="1">
        <v>14.4</v>
      </c>
      <c r="T1005">
        <f>E1005/G1005</f>
        <v>2.6313262350143866E-2</v>
      </c>
      <c r="U1005">
        <f>D1005/C1005</f>
        <v>0.3350233409488575</v>
      </c>
      <c r="V1005">
        <f>(E1005-F1005)/O1005</f>
        <v>3.8899462168681266E-2</v>
      </c>
      <c r="W1005">
        <f>H1005/K1005</f>
        <v>1.5878531799396254</v>
      </c>
      <c r="X1005">
        <f>(H1005-I1005)/K1005</f>
        <v>0.72653044698065239</v>
      </c>
      <c r="Y1005">
        <f>(H1005-K1005)/G1005</f>
        <v>0.10040047070585212</v>
      </c>
      <c r="Z1005">
        <f>J1005/N1005</f>
        <v>0.47832152665283584</v>
      </c>
      <c r="AA1005">
        <f>J1005/G1005</f>
        <v>0.32355716806467322</v>
      </c>
      <c r="AB1005">
        <f>C1005/G1005</f>
        <v>7.2788860571622607E-2</v>
      </c>
      <c r="AC1005">
        <f>C1005/(G1005-K1005)</f>
        <v>8.7781157721885758E-2</v>
      </c>
      <c r="AD1005">
        <f>Q1005/E1005</f>
        <v>3.1942843637737015</v>
      </c>
      <c r="AE1005">
        <f>Q1005/J1005</f>
        <v>0.25977493556297698</v>
      </c>
      <c r="AF1005">
        <f>Q1005/G1005</f>
        <v>8.405204248493979E-2</v>
      </c>
      <c r="AG1005">
        <f>Q1005/K1005</f>
        <v>0.49213176101486472</v>
      </c>
      <c r="AH1005">
        <f>Q1005/L1005</f>
        <v>0.74148135344359578</v>
      </c>
      <c r="AI1005" s="1">
        <f>R1005</f>
        <v>14.4</v>
      </c>
      <c r="AJ1005" s="1">
        <f>P1005</f>
        <v>25726717.318</v>
      </c>
    </row>
    <row r="1006" spans="1:36" x14ac:dyDescent="0.25">
      <c r="A1006" t="s">
        <v>158</v>
      </c>
      <c r="B1006">
        <v>2021</v>
      </c>
      <c r="C1006" s="1">
        <v>7708131.0020000003</v>
      </c>
      <c r="D1006" s="1">
        <v>2679382.6409999998</v>
      </c>
      <c r="E1006" s="1">
        <v>2499345.318</v>
      </c>
      <c r="F1006" s="1">
        <v>0</v>
      </c>
      <c r="G1006" s="1">
        <v>71257982.253000006</v>
      </c>
      <c r="H1006" s="1">
        <v>16739255.336999999</v>
      </c>
      <c r="I1006" s="1">
        <v>7478099.2609999999</v>
      </c>
      <c r="J1006" s="1">
        <v>24136919.686000001</v>
      </c>
      <c r="K1006" s="1">
        <v>13190673.877</v>
      </c>
      <c r="L1006" s="1">
        <v>8102112.7479999997</v>
      </c>
      <c r="M1006" s="1">
        <v>0</v>
      </c>
      <c r="N1006" s="1">
        <v>47121062.567000002</v>
      </c>
      <c r="O1006" s="1">
        <v>47121062.567000002</v>
      </c>
      <c r="P1006" s="1">
        <v>28240005.780000001</v>
      </c>
      <c r="Q1006" s="1">
        <v>5799104.2120000003</v>
      </c>
      <c r="R1006" s="1">
        <v>19.2</v>
      </c>
      <c r="T1006">
        <f>E1006/G1006</f>
        <v>3.5074601314504329E-2</v>
      </c>
      <c r="U1006">
        <f>D1006/C1006</f>
        <v>0.3476047099231695</v>
      </c>
      <c r="V1006">
        <f>(E1006-F1006)/O1006</f>
        <v>5.3040937148780484E-2</v>
      </c>
      <c r="W1006">
        <f>H1006/K1006</f>
        <v>1.2690219994133511</v>
      </c>
      <c r="X1006">
        <f>(H1006-I1006)/K1006</f>
        <v>0.70209878300063733</v>
      </c>
      <c r="Y1006">
        <f>(H1006-K1006)/G1006</f>
        <v>4.9799072999300392E-2</v>
      </c>
      <c r="Z1006">
        <f>J1006/N1006</f>
        <v>0.51223207566001827</v>
      </c>
      <c r="AA1006">
        <f>J1006/G1006</f>
        <v>0.33872583706204817</v>
      </c>
      <c r="AB1006">
        <f>C1006/G1006</f>
        <v>0.1081721760606754</v>
      </c>
      <c r="AC1006">
        <f>C1006/(G1006-K1006)</f>
        <v>0.13274476151172651</v>
      </c>
      <c r="AD1006">
        <f>Q1006/E1006</f>
        <v>2.3202492949795746</v>
      </c>
      <c r="AE1006">
        <f>Q1006/J1006</f>
        <v>0.24025866959998302</v>
      </c>
      <c r="AF1006">
        <f>Q1006/G1006</f>
        <v>8.1381818971668324E-2</v>
      </c>
      <c r="AG1006">
        <f>Q1006/K1006</f>
        <v>0.43963669074645567</v>
      </c>
      <c r="AH1006">
        <f>Q1006/L1006</f>
        <v>0.71575209977564247</v>
      </c>
      <c r="AI1006" s="1">
        <f>R1006</f>
        <v>19.2</v>
      </c>
      <c r="AJ1006" s="1">
        <f>P1006</f>
        <v>28240005.780000001</v>
      </c>
    </row>
    <row r="1007" spans="1:36" x14ac:dyDescent="0.25">
      <c r="A1007" t="s">
        <v>158</v>
      </c>
      <c r="B1007">
        <v>2022</v>
      </c>
      <c r="C1007" s="1">
        <v>15045636.507999999</v>
      </c>
      <c r="D1007" s="1">
        <v>6210689.2649999997</v>
      </c>
      <c r="E1007" s="1">
        <v>6079337.4850000003</v>
      </c>
      <c r="F1007" s="1">
        <v>0</v>
      </c>
      <c r="G1007" s="1">
        <v>78392284.119000003</v>
      </c>
      <c r="H1007" s="1">
        <v>10724929.779999999</v>
      </c>
      <c r="I1007" s="1">
        <v>2102239.2620000001</v>
      </c>
      <c r="J1007" s="1">
        <v>26602767.195999999</v>
      </c>
      <c r="K1007" s="1">
        <v>6056313.2999999998</v>
      </c>
      <c r="L1007" s="1">
        <v>2685978.54</v>
      </c>
      <c r="M1007" s="1">
        <v>0</v>
      </c>
      <c r="N1007" s="1">
        <v>51789516.923</v>
      </c>
      <c r="O1007" s="1">
        <v>51789516.923</v>
      </c>
      <c r="P1007" s="1">
        <v>32771161.048</v>
      </c>
      <c r="Q1007" s="1">
        <v>22015451.570999999</v>
      </c>
      <c r="R1007" s="1">
        <v>14.9</v>
      </c>
      <c r="T1007">
        <f>E1007/G1007</f>
        <v>7.7550202208313337E-2</v>
      </c>
      <c r="U1007">
        <f>D1007/C1007</f>
        <v>0.41279006452785694</v>
      </c>
      <c r="V1007">
        <f>(E1007-F1007)/O1007</f>
        <v>0.11738548351471752</v>
      </c>
      <c r="W1007">
        <f>H1007/K1007</f>
        <v>1.7708677290522601</v>
      </c>
      <c r="X1007">
        <f>(H1007-I1007)/K1007</f>
        <v>1.4237523871164326</v>
      </c>
      <c r="Y1007">
        <f>(H1007-K1007)/G1007</f>
        <v>5.9554540762111342E-2</v>
      </c>
      <c r="Z1007">
        <f>J1007/N1007</f>
        <v>0.51367088894751922</v>
      </c>
      <c r="AA1007">
        <f>J1007/G1007</f>
        <v>0.33935440834479097</v>
      </c>
      <c r="AB1007">
        <f>C1007/G1007</f>
        <v>0.19192751783020667</v>
      </c>
      <c r="AC1007">
        <f>C1007/(G1007-K1007)</f>
        <v>0.20799660718796992</v>
      </c>
      <c r="AD1007">
        <f>Q1007/E1007</f>
        <v>3.6213570352559556</v>
      </c>
      <c r="AE1007">
        <f>Q1007/J1007</f>
        <v>0.82756246403984057</v>
      </c>
      <c r="AF1007">
        <f>Q1007/G1007</f>
        <v>0.28083697035259741</v>
      </c>
      <c r="AG1007">
        <f>Q1007/K1007</f>
        <v>3.6351242877411907</v>
      </c>
      <c r="AH1007">
        <f>Q1007/L1007</f>
        <v>8.1964361379447208</v>
      </c>
      <c r="AI1007" s="1">
        <f>R1007</f>
        <v>14.9</v>
      </c>
      <c r="AJ1007" s="1">
        <f>P1007</f>
        <v>32771161.048</v>
      </c>
    </row>
    <row r="1008" spans="1:36" x14ac:dyDescent="0.25">
      <c r="A1008" t="s">
        <v>158</v>
      </c>
      <c r="B1008">
        <v>2023</v>
      </c>
      <c r="C1008" s="1">
        <v>5076475.8990000002</v>
      </c>
      <c r="D1008" s="1">
        <v>2660586.1570000001</v>
      </c>
      <c r="E1008" s="1">
        <v>3853112.8050000002</v>
      </c>
      <c r="F1008" s="1">
        <v>0</v>
      </c>
      <c r="G1008" s="1">
        <v>78233856.148000002</v>
      </c>
      <c r="H1008" s="1">
        <v>8959990.3660000004</v>
      </c>
      <c r="I1008" s="1">
        <v>1779972.963</v>
      </c>
      <c r="J1008" s="1">
        <v>24114529.579999998</v>
      </c>
      <c r="K1008" s="1">
        <v>4441698.4210000001</v>
      </c>
      <c r="L1008" s="1">
        <v>991845.92</v>
      </c>
      <c r="M1008" s="1">
        <v>0</v>
      </c>
      <c r="N1008" s="1">
        <v>54119326.568000004</v>
      </c>
      <c r="O1008" s="1">
        <v>54119326.568000004</v>
      </c>
      <c r="P1008" s="1">
        <v>35071273.193999998</v>
      </c>
      <c r="Q1008" s="1">
        <v>3518665.8939999999</v>
      </c>
      <c r="R1008" s="1">
        <v>15</v>
      </c>
      <c r="T1008">
        <f>E1008/G1008</f>
        <v>4.9251219289393321E-2</v>
      </c>
      <c r="U1008">
        <f>D1008/C1008</f>
        <v>0.52410101218526439</v>
      </c>
      <c r="V1008">
        <f>(E1008-F1008)/O1008</f>
        <v>7.1196614025834742E-2</v>
      </c>
      <c r="W1008">
        <f>H1008/K1008</f>
        <v>2.0172441973182762</v>
      </c>
      <c r="X1008">
        <f>(H1008-I1008)/K1008</f>
        <v>1.6165026803831266</v>
      </c>
      <c r="Y1008">
        <f>(H1008-K1008)/G1008</f>
        <v>5.775366532428694E-2</v>
      </c>
      <c r="Z1008">
        <f>J1008/N1008</f>
        <v>0.44558073999129511</v>
      </c>
      <c r="AA1008">
        <f>J1008/G1008</f>
        <v>0.30823649462428382</v>
      </c>
      <c r="AB1008">
        <f>C1008/G1008</f>
        <v>6.4888478581402217E-2</v>
      </c>
      <c r="AC1008">
        <f>C1008/(G1008-K1008)</f>
        <v>6.879424664313015E-2</v>
      </c>
      <c r="AD1008">
        <f>Q1008/E1008</f>
        <v>0.91320085138280804</v>
      </c>
      <c r="AE1008">
        <f>Q1008/J1008</f>
        <v>0.14591476405653359</v>
      </c>
      <c r="AF1008">
        <f>Q1008/G1008</f>
        <v>4.4976255386715361E-2</v>
      </c>
      <c r="AG1008">
        <f>Q1008/K1008</f>
        <v>0.79218928447821324</v>
      </c>
      <c r="AH1008">
        <f>Q1008/L1008</f>
        <v>3.547593253194004</v>
      </c>
      <c r="AI1008" s="1">
        <f>R1008</f>
        <v>15</v>
      </c>
      <c r="AJ1008" s="1">
        <f>P1008</f>
        <v>35071273.193999998</v>
      </c>
    </row>
    <row r="1009" spans="1:36" x14ac:dyDescent="0.25">
      <c r="A1009" t="s">
        <v>158</v>
      </c>
      <c r="B1009">
        <v>2024</v>
      </c>
      <c r="C1009" s="1">
        <v>8024093.8039999995</v>
      </c>
      <c r="D1009" s="1">
        <v>5806702.3890000004</v>
      </c>
      <c r="E1009" s="1">
        <v>6210453.5499999998</v>
      </c>
      <c r="F1009" s="1">
        <v>0</v>
      </c>
      <c r="G1009" s="1">
        <v>79346288.799999997</v>
      </c>
      <c r="H1009" s="1">
        <v>8172534.1150000002</v>
      </c>
      <c r="I1009" s="1">
        <v>1248724.703</v>
      </c>
      <c r="J1009" s="1">
        <v>20527551.998</v>
      </c>
      <c r="K1009" s="1">
        <v>4372853.8689999999</v>
      </c>
      <c r="L1009" s="1">
        <v>125214.754</v>
      </c>
      <c r="M1009" s="1">
        <v>0</v>
      </c>
      <c r="N1009" s="1">
        <v>58818736.802000001</v>
      </c>
      <c r="O1009" s="1">
        <v>58818736.802000001</v>
      </c>
      <c r="P1009" s="1">
        <v>39725900.273999996</v>
      </c>
      <c r="Q1009" s="1">
        <v>2087877.8359999999</v>
      </c>
      <c r="R1009" s="1">
        <v>24.5</v>
      </c>
      <c r="T1009">
        <f>E1009/G1009</f>
        <v>7.8270246081124845E-2</v>
      </c>
      <c r="U1009">
        <f>D1009/C1009</f>
        <v>0.72365833835409143</v>
      </c>
      <c r="V1009">
        <f>(E1009-F1009)/O1009</f>
        <v>0.10558631292790407</v>
      </c>
      <c r="W1009">
        <f>H1009/K1009</f>
        <v>1.8689245878845078</v>
      </c>
      <c r="X1009">
        <f>(H1009-I1009)/K1009</f>
        <v>1.583361717409359</v>
      </c>
      <c r="Y1009">
        <f>(H1009-K1009)/G1009</f>
        <v>4.7887308952501387E-2</v>
      </c>
      <c r="Z1009">
        <f>J1009/N1009</f>
        <v>0.34899681826050377</v>
      </c>
      <c r="AA1009">
        <f>J1009/G1009</f>
        <v>0.25870840726705796</v>
      </c>
      <c r="AB1009">
        <f>C1009/G1009</f>
        <v>0.10112752499648099</v>
      </c>
      <c r="AC1009">
        <f>C1009/(G1009-K1009)</f>
        <v>0.10702582603271121</v>
      </c>
      <c r="AD1009">
        <f>Q1009/E1009</f>
        <v>0.33618765830717789</v>
      </c>
      <c r="AE1009">
        <f>Q1009/J1009</f>
        <v>0.10171099974334114</v>
      </c>
      <c r="AF1009">
        <f>Q1009/G1009</f>
        <v>2.6313490745139927E-2</v>
      </c>
      <c r="AG1009">
        <f>Q1009/K1009</f>
        <v>0.47746343659031609</v>
      </c>
      <c r="AH1009">
        <f>Q1009/L1009</f>
        <v>16.674375577178388</v>
      </c>
      <c r="AI1009" s="1">
        <f>R1009</f>
        <v>24.5</v>
      </c>
      <c r="AJ1009" s="1">
        <f>P1009</f>
        <v>39725900.273999996</v>
      </c>
    </row>
    <row r="1010" spans="1:36" x14ac:dyDescent="0.25">
      <c r="A1010" s="15" t="s">
        <v>159</v>
      </c>
      <c r="B1010" s="15">
        <v>2018</v>
      </c>
      <c r="C1010" s="6">
        <v>1397419.527</v>
      </c>
      <c r="D1010" s="6">
        <v>51307.898999999998</v>
      </c>
      <c r="E1010" s="6">
        <v>-984253.147</v>
      </c>
      <c r="F1010" s="6">
        <v>0</v>
      </c>
      <c r="G1010" s="6">
        <v>18953687.977000002</v>
      </c>
      <c r="H1010" s="6">
        <v>1748995.6470000001</v>
      </c>
      <c r="I1010" s="6">
        <v>36629.044000000002</v>
      </c>
      <c r="J1010" s="6">
        <v>13151918.572000001</v>
      </c>
      <c r="K1010" s="6">
        <v>11431883.59</v>
      </c>
      <c r="L1010" s="6">
        <v>2113456.0780000002</v>
      </c>
      <c r="M1010" s="6">
        <v>919405</v>
      </c>
      <c r="N1010" s="6">
        <v>2480352.6349999998</v>
      </c>
      <c r="O1010" s="6">
        <v>5801769.4050000003</v>
      </c>
      <c r="P1010" s="6">
        <v>-2923600.9350000001</v>
      </c>
      <c r="Q1010" s="6">
        <v>283189.815</v>
      </c>
      <c r="R1010" s="6">
        <v>23.5</v>
      </c>
      <c r="S1010" s="15"/>
      <c r="T1010" s="15">
        <f>E1010/G1010</f>
        <v>-5.1929373755354391E-2</v>
      </c>
      <c r="U1010" s="15">
        <f>D1010/C1010</f>
        <v>3.6716174354704E-2</v>
      </c>
      <c r="V1010" s="15">
        <f>(E1010-F1010)/O1010</f>
        <v>-0.16964706424763532</v>
      </c>
      <c r="W1010" s="15">
        <f>H1010/K1010</f>
        <v>0.15299277964393618</v>
      </c>
      <c r="X1010" s="15">
        <f>(H1010-I1010)/K1010</f>
        <v>0.14978866689107007</v>
      </c>
      <c r="Y1010" s="15">
        <f>(H1010-K1010)/G1010</f>
        <v>-0.51087091624332059</v>
      </c>
      <c r="Z1010" s="15">
        <f>J1010/N1010</f>
        <v>5.3024390106530159</v>
      </c>
      <c r="AA1010" s="15">
        <f>J1010/G1010</f>
        <v>0.69389759860770339</v>
      </c>
      <c r="AB1010" s="15">
        <f>C1010/G1010</f>
        <v>7.3728106566687518E-2</v>
      </c>
      <c r="AC1010" s="15">
        <f>C1010/(G1010-K1010)</f>
        <v>0.18578248716693191</v>
      </c>
      <c r="AD1010" s="15">
        <f>Q1010/E1010</f>
        <v>-0.28772050753727485</v>
      </c>
      <c r="AE1010" s="15">
        <f>Q1010/J1010</f>
        <v>2.1532205620775492E-2</v>
      </c>
      <c r="AF1010" s="15">
        <f>Q1010/G1010</f>
        <v>1.4941145772983408E-2</v>
      </c>
      <c r="AG1010" s="15">
        <f>Q1010/K1010</f>
        <v>2.4771929557410758E-2</v>
      </c>
      <c r="AH1010" s="15">
        <f>Q1010/L1010</f>
        <v>0.13399370724940135</v>
      </c>
      <c r="AI1010" s="6">
        <f>R1010</f>
        <v>23.5</v>
      </c>
      <c r="AJ1010" s="6">
        <f>P1010</f>
        <v>-2923600.9350000001</v>
      </c>
    </row>
    <row r="1011" spans="1:36" x14ac:dyDescent="0.25">
      <c r="A1011" t="s">
        <v>159</v>
      </c>
      <c r="B1011">
        <v>2019</v>
      </c>
      <c r="C1011" s="1">
        <v>1436557.33</v>
      </c>
      <c r="D1011" s="1">
        <v>28753.13</v>
      </c>
      <c r="E1011" s="1">
        <v>-1506494.1270000001</v>
      </c>
      <c r="F1011" s="1">
        <v>0</v>
      </c>
      <c r="G1011" s="1">
        <v>20958462.228</v>
      </c>
      <c r="H1011" s="1">
        <v>2139809.86</v>
      </c>
      <c r="I1011" s="1">
        <v>38309.160000000003</v>
      </c>
      <c r="J1011" s="1">
        <v>16036866.130000001</v>
      </c>
      <c r="K1011" s="1">
        <v>14134483.832</v>
      </c>
      <c r="L1011" s="1">
        <v>2811580.0090000001</v>
      </c>
      <c r="M1011" s="1">
        <v>1088772.5549999999</v>
      </c>
      <c r="N1011" s="1">
        <v>1937189.003</v>
      </c>
      <c r="O1011" s="1">
        <v>4921596.0980000002</v>
      </c>
      <c r="P1011" s="1">
        <v>-3724690.628</v>
      </c>
      <c r="Q1011" s="1">
        <v>-55593.904999999999</v>
      </c>
      <c r="R1011" s="1">
        <v>18.5</v>
      </c>
      <c r="T1011">
        <f>E1011/G1011</f>
        <v>-7.1879993417998014E-2</v>
      </c>
      <c r="U1011">
        <f>D1011/C1011</f>
        <v>2.0015302835146857E-2</v>
      </c>
      <c r="V1011">
        <f>(E1011-F1011)/O1011</f>
        <v>-0.30609869176631488</v>
      </c>
      <c r="W1011">
        <f>H1011/K1011</f>
        <v>0.15138931746170609</v>
      </c>
      <c r="X1011">
        <f>(H1011-I1011)/K1011</f>
        <v>0.14867898431793258</v>
      </c>
      <c r="Y1011">
        <f>(H1011-K1011)/G1011</f>
        <v>-0.57230696801673764</v>
      </c>
      <c r="Z1011">
        <f>J1011/N1011</f>
        <v>8.278421003404798</v>
      </c>
      <c r="AA1011">
        <f>J1011/G1011</f>
        <v>0.76517379736835534</v>
      </c>
      <c r="AB1011">
        <f>C1011/G1011</f>
        <v>6.8543069351757788E-2</v>
      </c>
      <c r="AC1011">
        <f>C1011/(G1011-K1011)</f>
        <v>0.21051610169839702</v>
      </c>
      <c r="AD1011">
        <f>Q1011/E1011</f>
        <v>3.6902835532926039E-2</v>
      </c>
      <c r="AE1011">
        <f>Q1011/J1011</f>
        <v>-3.4666314820699946E-3</v>
      </c>
      <c r="AF1011">
        <f>Q1011/G1011</f>
        <v>-2.6525755752121872E-3</v>
      </c>
      <c r="AG1011">
        <f>Q1011/K1011</f>
        <v>-3.9332108381727564E-3</v>
      </c>
      <c r="AH1011">
        <f>Q1011/L1011</f>
        <v>-1.9773189744571127E-2</v>
      </c>
      <c r="AI1011" s="1">
        <f>R1011</f>
        <v>18.5</v>
      </c>
      <c r="AJ1011" s="1">
        <f>P1011</f>
        <v>-3724690.628</v>
      </c>
    </row>
    <row r="1012" spans="1:36" x14ac:dyDescent="0.25">
      <c r="A1012" t="s">
        <v>159</v>
      </c>
      <c r="B1012">
        <v>2020</v>
      </c>
      <c r="C1012" s="1">
        <v>1108258.7439999999</v>
      </c>
      <c r="D1012" s="1">
        <v>-238166.90100000001</v>
      </c>
      <c r="E1012" s="1">
        <v>-2453610.665</v>
      </c>
      <c r="F1012" s="1">
        <v>0</v>
      </c>
      <c r="G1012" s="1">
        <v>27190427.267999999</v>
      </c>
      <c r="H1012" s="1">
        <v>2734203.5619999999</v>
      </c>
      <c r="I1012" s="1">
        <v>32952.839999999997</v>
      </c>
      <c r="J1012" s="1">
        <v>23666118.449000001</v>
      </c>
      <c r="K1012" s="1">
        <v>15998124.706</v>
      </c>
      <c r="L1012" s="1">
        <v>9085542.0720000006</v>
      </c>
      <c r="M1012" s="1">
        <v>6826372.057</v>
      </c>
      <c r="N1012" s="1">
        <v>1047497.591</v>
      </c>
      <c r="O1012" s="1">
        <v>3524308.8190000001</v>
      </c>
      <c r="P1012" s="1">
        <v>-5275093.1919999998</v>
      </c>
      <c r="Q1012" s="1">
        <v>-355382.087</v>
      </c>
      <c r="R1012" s="1">
        <v>18</v>
      </c>
      <c r="T1012">
        <f>E1012/G1012</f>
        <v>-9.0238032702325985E-2</v>
      </c>
      <c r="U1012">
        <f>D1012/C1012</f>
        <v>-0.21490189208017657</v>
      </c>
      <c r="V1012">
        <f>(E1012-F1012)/O1012</f>
        <v>-0.69619627308829202</v>
      </c>
      <c r="W1012">
        <f>H1012/K1012</f>
        <v>0.17090775401785394</v>
      </c>
      <c r="X1012">
        <f>(H1012-I1012)/K1012</f>
        <v>0.16884796009790523</v>
      </c>
      <c r="Y1012">
        <f>(H1012-K1012)/G1012</f>
        <v>-0.48781584096731384</v>
      </c>
      <c r="Z1012">
        <f>J1012/N1012</f>
        <v>22.593005131789369</v>
      </c>
      <c r="AA1012">
        <f>J1012/G1012</f>
        <v>0.87038420601989941</v>
      </c>
      <c r="AB1012">
        <f>C1012/G1012</f>
        <v>4.0759151486534119E-2</v>
      </c>
      <c r="AC1012">
        <f>C1012/(G1012-K1012)</f>
        <v>9.9019726982966821E-2</v>
      </c>
      <c r="AD1012">
        <f>Q1012/E1012</f>
        <v>0.14484045576970134</v>
      </c>
      <c r="AE1012">
        <f>Q1012/J1012</f>
        <v>-1.5016492365059404E-2</v>
      </c>
      <c r="AF1012">
        <f>Q1012/G1012</f>
        <v>-1.3070117784366109E-2</v>
      </c>
      <c r="AG1012">
        <f>Q1012/K1012</f>
        <v>-2.2213984046937457E-2</v>
      </c>
      <c r="AH1012">
        <f>Q1012/L1012</f>
        <v>-3.9115122045961723E-2</v>
      </c>
      <c r="AI1012" s="1">
        <f>R1012</f>
        <v>18</v>
      </c>
      <c r="AJ1012" s="1">
        <f>P1012</f>
        <v>-5275093.1919999998</v>
      </c>
    </row>
    <row r="1013" spans="1:36" x14ac:dyDescent="0.25">
      <c r="A1013" t="s">
        <v>159</v>
      </c>
      <c r="B1013">
        <v>2021</v>
      </c>
      <c r="C1013" s="1">
        <v>751343.66500000004</v>
      </c>
      <c r="D1013" s="1">
        <v>552578.34400000004</v>
      </c>
      <c r="E1013" s="1">
        <v>-2173016.0040000002</v>
      </c>
      <c r="F1013" s="1">
        <v>0</v>
      </c>
      <c r="G1013" s="1">
        <v>45900716.508000001</v>
      </c>
      <c r="H1013" s="1">
        <v>2743324.8020000001</v>
      </c>
      <c r="I1013" s="1">
        <v>62335.894</v>
      </c>
      <c r="J1013" s="1">
        <v>29390195.135000002</v>
      </c>
      <c r="K1013" s="1">
        <v>18091406.980999999</v>
      </c>
      <c r="L1013" s="1">
        <v>11521737.492000001</v>
      </c>
      <c r="M1013" s="1">
        <v>8209484.4100000001</v>
      </c>
      <c r="N1013" s="1">
        <v>6360941.71</v>
      </c>
      <c r="O1013" s="1">
        <v>16510521.373</v>
      </c>
      <c r="P1013" s="1">
        <v>-6168783.8049999997</v>
      </c>
      <c r="Q1013" s="1">
        <v>-2547930.4019999998</v>
      </c>
      <c r="R1013" s="1">
        <v>25.7</v>
      </c>
      <c r="T1013">
        <f>E1013/G1013</f>
        <v>-4.7341657588749551E-2</v>
      </c>
      <c r="U1013">
        <f>D1013/C1013</f>
        <v>0.73545352112604823</v>
      </c>
      <c r="V1013">
        <f>(E1013-F1013)/O1013</f>
        <v>-0.13161401477930179</v>
      </c>
      <c r="W1013">
        <f>H1013/K1013</f>
        <v>0.1516368961729235</v>
      </c>
      <c r="X1013">
        <f>(H1013-I1013)/K1013</f>
        <v>0.14819128831801942</v>
      </c>
      <c r="Y1013">
        <f>(H1013-K1013)/G1013</f>
        <v>-0.33437565568992789</v>
      </c>
      <c r="Z1013">
        <f>J1013/N1013</f>
        <v>4.6204157300790616</v>
      </c>
      <c r="AA1013">
        <f>J1013/G1013</f>
        <v>0.64029926700332895</v>
      </c>
      <c r="AB1013">
        <f>C1013/G1013</f>
        <v>1.6368887506778874E-2</v>
      </c>
      <c r="AC1013">
        <f>C1013/(G1013-K1013)</f>
        <v>2.7017702984337744E-2</v>
      </c>
      <c r="AD1013">
        <f>Q1013/E1013</f>
        <v>1.1725318162912157</v>
      </c>
      <c r="AE1013">
        <f>Q1013/J1013</f>
        <v>-8.6693211470574322E-2</v>
      </c>
      <c r="AF1013">
        <f>Q1013/G1013</f>
        <v>-5.5509599758773329E-2</v>
      </c>
      <c r="AG1013">
        <f>Q1013/K1013</f>
        <v>-0.14083649793937494</v>
      </c>
      <c r="AH1013">
        <f>Q1013/L1013</f>
        <v>-0.22114116067729619</v>
      </c>
      <c r="AI1013" s="1">
        <f>R1013</f>
        <v>25.7</v>
      </c>
      <c r="AJ1013" s="1">
        <f>P1013</f>
        <v>-6168783.8049999997</v>
      </c>
    </row>
    <row r="1014" spans="1:36" x14ac:dyDescent="0.25">
      <c r="A1014" t="s">
        <v>159</v>
      </c>
      <c r="B1014">
        <v>2022</v>
      </c>
      <c r="C1014" s="1">
        <v>1091917.351</v>
      </c>
      <c r="D1014" s="1">
        <v>933181.98800000001</v>
      </c>
      <c r="E1014" s="1">
        <v>-3544964.4679999999</v>
      </c>
      <c r="F1014" s="1">
        <v>0</v>
      </c>
      <c r="G1014" s="1">
        <v>65535402.864</v>
      </c>
      <c r="H1014" s="1">
        <v>3653367.852</v>
      </c>
      <c r="I1014" s="1">
        <v>68444.570000000007</v>
      </c>
      <c r="J1014" s="1">
        <v>40700981.033</v>
      </c>
      <c r="K1014" s="1">
        <v>26300412.861000001</v>
      </c>
      <c r="L1014" s="1">
        <v>16122707.187999999</v>
      </c>
      <c r="M1014" s="1">
        <v>9911450.3320000004</v>
      </c>
      <c r="N1014" s="1">
        <v>10187576.741</v>
      </c>
      <c r="O1014" s="1">
        <v>24834421.831</v>
      </c>
      <c r="P1014" s="1">
        <v>-7974722.193</v>
      </c>
      <c r="Q1014" s="1">
        <v>910113.34</v>
      </c>
      <c r="R1014" s="1">
        <v>41.1</v>
      </c>
      <c r="T1014">
        <f>E1014/G1014</f>
        <v>-5.4092357917697717E-2</v>
      </c>
      <c r="U1014">
        <f>D1014/C1014</f>
        <v>0.85462694328043509</v>
      </c>
      <c r="V1014">
        <f>(E1014-F1014)/O1014</f>
        <v>-0.14274399026173165</v>
      </c>
      <c r="W1014">
        <f>H1014/K1014</f>
        <v>0.13890914455633724</v>
      </c>
      <c r="X1014">
        <f>(H1014-I1014)/K1014</f>
        <v>0.13630673027631299</v>
      </c>
      <c r="Y1014">
        <f>(H1014-K1014)/G1014</f>
        <v>-0.34556963136394342</v>
      </c>
      <c r="Z1014">
        <f>J1014/N1014</f>
        <v>3.9951582272944761</v>
      </c>
      <c r="AA1014">
        <f>J1014/G1014</f>
        <v>0.62105334299177584</v>
      </c>
      <c r="AB1014">
        <f>C1014/G1014</f>
        <v>1.6661488344947881E-2</v>
      </c>
      <c r="AC1014">
        <f>C1014/(G1014-K1014)</f>
        <v>2.7830193174931597E-2</v>
      </c>
      <c r="AD1014">
        <f>Q1014/E1014</f>
        <v>-0.25673412193986483</v>
      </c>
      <c r="AE1014">
        <f>Q1014/J1014</f>
        <v>2.2360968136421282E-2</v>
      </c>
      <c r="AF1014">
        <f>Q1014/G1014</f>
        <v>1.3887354013657018E-2</v>
      </c>
      <c r="AG1014">
        <f>Q1014/K1014</f>
        <v>3.4604526735379747E-2</v>
      </c>
      <c r="AH1014">
        <f>Q1014/L1014</f>
        <v>5.6449163864824757E-2</v>
      </c>
      <c r="AI1014" s="1">
        <f>R1014</f>
        <v>41.1</v>
      </c>
      <c r="AJ1014" s="1">
        <f>P1014</f>
        <v>-7974722.193</v>
      </c>
    </row>
    <row r="1015" spans="1:36" x14ac:dyDescent="0.25">
      <c r="A1015" t="s">
        <v>159</v>
      </c>
      <c r="B1015">
        <v>2023</v>
      </c>
      <c r="C1015" s="1">
        <v>2258609.284</v>
      </c>
      <c r="D1015" s="1">
        <v>-1372213.2180000001</v>
      </c>
      <c r="E1015" s="1">
        <v>-8037454.0379999997</v>
      </c>
      <c r="F1015" s="1">
        <v>0</v>
      </c>
      <c r="G1015" s="1">
        <v>76385199.033000007</v>
      </c>
      <c r="H1015" s="1">
        <v>5933946.6339999996</v>
      </c>
      <c r="I1015" s="1">
        <v>128173.04399999999</v>
      </c>
      <c r="J1015" s="1">
        <v>57957104.387000002</v>
      </c>
      <c r="K1015" s="1">
        <v>35486525.662</v>
      </c>
      <c r="L1015" s="1">
        <v>20673219.263999999</v>
      </c>
      <c r="M1015" s="1">
        <v>16750288.768999999</v>
      </c>
      <c r="N1015" s="1">
        <v>5820528.3250000002</v>
      </c>
      <c r="O1015" s="1">
        <v>18428094.646000002</v>
      </c>
      <c r="P1015" s="1">
        <v>-12936764.497</v>
      </c>
      <c r="Q1015" s="1">
        <v>1955182.5330000001</v>
      </c>
      <c r="R1015" s="1">
        <v>55</v>
      </c>
      <c r="T1015">
        <f>E1015/G1015</f>
        <v>-0.10522266276386412</v>
      </c>
      <c r="U1015">
        <f>D1015/C1015</f>
        <v>-0.60754785155660418</v>
      </c>
      <c r="V1015">
        <f>(E1015-F1015)/O1015</f>
        <v>-0.4361522008866287</v>
      </c>
      <c r="W1015">
        <f>H1015/K1015</f>
        <v>0.16721689495667483</v>
      </c>
      <c r="X1015">
        <f>(H1015-I1015)/K1015</f>
        <v>0.16360501575438788</v>
      </c>
      <c r="Y1015">
        <f>(H1015-K1015)/G1015</f>
        <v>-0.3868888135675691</v>
      </c>
      <c r="Z1015">
        <f>J1015/N1015</f>
        <v>9.9573614542971924</v>
      </c>
      <c r="AA1015">
        <f>J1015/G1015</f>
        <v>0.75874783493018483</v>
      </c>
      <c r="AB1015">
        <f>C1015/G1015</f>
        <v>2.9568677081331339E-2</v>
      </c>
      <c r="AC1015">
        <f>C1015/(G1015-K1015)</f>
        <v>5.5224512137880502E-2</v>
      </c>
      <c r="AD1015">
        <f>Q1015/E1015</f>
        <v>-0.24325893793683429</v>
      </c>
      <c r="AE1015">
        <f>Q1015/J1015</f>
        <v>3.3734993383115856E-2</v>
      </c>
      <c r="AF1015">
        <f>Q1015/G1015</f>
        <v>2.5596353190823266E-2</v>
      </c>
      <c r="AG1015">
        <f>Q1015/K1015</f>
        <v>5.5096476663356937E-2</v>
      </c>
      <c r="AH1015">
        <f>Q1015/L1015</f>
        <v>9.4575620179520009E-2</v>
      </c>
      <c r="AI1015" s="1">
        <f>R1015</f>
        <v>55</v>
      </c>
      <c r="AJ1015" s="1">
        <f>P1015</f>
        <v>-12936764.497</v>
      </c>
    </row>
    <row r="1016" spans="1:36" x14ac:dyDescent="0.25">
      <c r="A1016" t="s">
        <v>159</v>
      </c>
      <c r="B1016">
        <v>2024</v>
      </c>
      <c r="C1016" s="1">
        <v>6965417.8890000004</v>
      </c>
      <c r="D1016" s="1">
        <v>-223778.27</v>
      </c>
      <c r="E1016" s="1">
        <v>-9124083.5350000001</v>
      </c>
      <c r="F1016" s="1">
        <v>0</v>
      </c>
      <c r="G1016" s="1">
        <v>84511070.009000003</v>
      </c>
      <c r="H1016" s="1">
        <v>13809234.34</v>
      </c>
      <c r="I1016" s="1">
        <v>269143.16899999999</v>
      </c>
      <c r="J1016" s="1">
        <v>53575720.115000002</v>
      </c>
      <c r="K1016" s="1">
        <v>33239953.976</v>
      </c>
      <c r="L1016" s="1">
        <v>20150436.019000001</v>
      </c>
      <c r="M1016" s="1">
        <v>14506438.778000001</v>
      </c>
      <c r="N1016" s="1">
        <v>17051995.006000001</v>
      </c>
      <c r="O1016" s="1">
        <v>30935349.894000001</v>
      </c>
      <c r="P1016" s="1">
        <v>-19226157.653999999</v>
      </c>
      <c r="Q1016" s="1">
        <v>-12137527.164000001</v>
      </c>
      <c r="R1016" s="1">
        <v>43.9</v>
      </c>
      <c r="T1016">
        <f>E1016/G1016</f>
        <v>-0.10796317611442301</v>
      </c>
      <c r="U1016">
        <f>D1016/C1016</f>
        <v>-3.2127041559616605E-2</v>
      </c>
      <c r="V1016">
        <f>(E1016-F1016)/O1016</f>
        <v>-0.29494036971502435</v>
      </c>
      <c r="W1016">
        <f>H1016/K1016</f>
        <v>0.4154408381543061</v>
      </c>
      <c r="X1016">
        <f>(H1016-I1016)/K1016</f>
        <v>0.40734386036684206</v>
      </c>
      <c r="Y1016">
        <f>(H1016-K1016)/G1016</f>
        <v>-0.2299192240014323</v>
      </c>
      <c r="Z1016">
        <f>J1016/N1016</f>
        <v>3.1419033430486332</v>
      </c>
      <c r="AA1016">
        <f>J1016/G1016</f>
        <v>0.63394913955407806</v>
      </c>
      <c r="AB1016">
        <f>C1016/G1016</f>
        <v>8.2420183394414703E-2</v>
      </c>
      <c r="AC1016">
        <f>C1016/(G1016-K1016)</f>
        <v>0.13585461811513519</v>
      </c>
      <c r="AD1016">
        <f>Q1016/E1016</f>
        <v>1.3302735685661389</v>
      </c>
      <c r="AE1016">
        <f>Q1016/J1016</f>
        <v>-0.22654902515443306</v>
      </c>
      <c r="AF1016">
        <f>Q1016/G1016</f>
        <v>-0.14362055956346803</v>
      </c>
      <c r="AG1016">
        <f>Q1016/K1016</f>
        <v>-0.36514873554769572</v>
      </c>
      <c r="AH1016">
        <f>Q1016/L1016</f>
        <v>-0.60234563423617404</v>
      </c>
      <c r="AI1016" s="1">
        <f>R1016</f>
        <v>43.9</v>
      </c>
      <c r="AJ1016" s="1">
        <f>P1016</f>
        <v>-19226157.653999999</v>
      </c>
    </row>
    <row r="1017" spans="1:36" x14ac:dyDescent="0.25">
      <c r="A1017" t="s">
        <v>160</v>
      </c>
      <c r="B1017">
        <v>2018</v>
      </c>
      <c r="C1017" s="1">
        <v>489392.82299999997</v>
      </c>
      <c r="D1017" s="1">
        <v>298577.91600000003</v>
      </c>
      <c r="E1017" s="1">
        <v>152411.86900000001</v>
      </c>
      <c r="F1017" s="1">
        <v>0</v>
      </c>
      <c r="G1017" s="1">
        <v>2348386.2480000001</v>
      </c>
      <c r="H1017" s="1">
        <v>324457.016</v>
      </c>
      <c r="I1017" s="1">
        <v>71192.634999999995</v>
      </c>
      <c r="J1017" s="1">
        <v>954438.04099999997</v>
      </c>
      <c r="K1017" s="1">
        <v>776880.26500000001</v>
      </c>
      <c r="L1017" s="1">
        <v>743672.25600000005</v>
      </c>
      <c r="M1017" s="1">
        <v>64260.561999999998</v>
      </c>
      <c r="N1017" s="1">
        <v>1307388.547</v>
      </c>
      <c r="O1017" s="1">
        <v>1393948.2069999999</v>
      </c>
      <c r="P1017" s="1">
        <v>453226.549</v>
      </c>
      <c r="Q1017" s="1">
        <v>159538.23000000001</v>
      </c>
      <c r="R1017" s="1">
        <v>2.7</v>
      </c>
      <c r="T1017">
        <f>E1017/G1017</f>
        <v>6.4900681959708023E-2</v>
      </c>
      <c r="U1017">
        <f>D1017/C1017</f>
        <v>0.61009868140219958</v>
      </c>
      <c r="V1017">
        <f>(E1017-F1017)/O1017</f>
        <v>0.10933825821837009</v>
      </c>
      <c r="W1017">
        <f>H1017/K1017</f>
        <v>0.41764095526355016</v>
      </c>
      <c r="X1017">
        <f>(H1017-I1017)/K1017</f>
        <v>0.3260018208854874</v>
      </c>
      <c r="Y1017">
        <f>(H1017-K1017)/G1017</f>
        <v>-0.19265282675935683</v>
      </c>
      <c r="Z1017">
        <f>J1017/N1017</f>
        <v>0.73003396212250893</v>
      </c>
      <c r="AA1017">
        <f>J1017/G1017</f>
        <v>0.40642293907692817</v>
      </c>
      <c r="AB1017">
        <f>C1017/G1017</f>
        <v>0.20839537082828291</v>
      </c>
      <c r="AC1017">
        <f>C1017/(G1017-K1017)</f>
        <v>0.3114164554854259</v>
      </c>
      <c r="AD1017">
        <f>Q1017/E1017</f>
        <v>1.0467572574679207</v>
      </c>
      <c r="AE1017">
        <f>Q1017/J1017</f>
        <v>0.16715409816738436</v>
      </c>
      <c r="AF1017">
        <f>Q1017/G1017</f>
        <v>6.7935259855941718E-2</v>
      </c>
      <c r="AG1017">
        <f>Q1017/K1017</f>
        <v>0.20535755274977929</v>
      </c>
      <c r="AH1017">
        <f>Q1017/L1017</f>
        <v>0.21452760771002866</v>
      </c>
      <c r="AI1017" s="1">
        <f>R1017</f>
        <v>2.7</v>
      </c>
      <c r="AJ1017" s="1">
        <f>P1017</f>
        <v>453226.549</v>
      </c>
    </row>
    <row r="1018" spans="1:36" x14ac:dyDescent="0.25">
      <c r="A1018" t="s">
        <v>160</v>
      </c>
      <c r="B1018">
        <v>2019</v>
      </c>
      <c r="C1018" s="1">
        <v>761280.65300000005</v>
      </c>
      <c r="D1018" s="1">
        <v>516384.38099999999</v>
      </c>
      <c r="E1018" s="1">
        <v>371336.65700000001</v>
      </c>
      <c r="F1018" s="1">
        <v>0</v>
      </c>
      <c r="G1018" s="1">
        <v>2983028.4539999999</v>
      </c>
      <c r="H1018" s="1">
        <v>436097.42499999999</v>
      </c>
      <c r="I1018" s="1">
        <v>13361.281999999999</v>
      </c>
      <c r="J1018" s="1">
        <v>1334622.5830000001</v>
      </c>
      <c r="K1018" s="1">
        <v>214451.106</v>
      </c>
      <c r="L1018" s="1">
        <v>1114337.02</v>
      </c>
      <c r="M1018" s="1">
        <v>988749.04500000004</v>
      </c>
      <c r="N1018" s="1">
        <v>1522710.601</v>
      </c>
      <c r="O1018" s="1">
        <v>1648405.871</v>
      </c>
      <c r="P1018" s="1">
        <v>691573.61</v>
      </c>
      <c r="Q1018" s="1">
        <v>382375.092</v>
      </c>
      <c r="R1018" s="1">
        <v>3</v>
      </c>
      <c r="T1018">
        <f>E1018/G1018</f>
        <v>0.1244831092717428</v>
      </c>
      <c r="U1018">
        <f>D1018/C1018</f>
        <v>0.67831013301739584</v>
      </c>
      <c r="V1018">
        <f>(E1018-F1018)/O1018</f>
        <v>0.22527016163484653</v>
      </c>
      <c r="W1018">
        <f>H1018/K1018</f>
        <v>2.0335517644753951</v>
      </c>
      <c r="X1018">
        <f>(H1018-I1018)/K1018</f>
        <v>1.9712472035467141</v>
      </c>
      <c r="Y1018">
        <f>(H1018-K1018)/G1018</f>
        <v>7.4302448809293181E-2</v>
      </c>
      <c r="Z1018">
        <f>J1018/N1018</f>
        <v>0.8764781581762956</v>
      </c>
      <c r="AA1018">
        <f>J1018/G1018</f>
        <v>0.44740524724475195</v>
      </c>
      <c r="AB1018">
        <f>C1018/G1018</f>
        <v>0.25520395287520115</v>
      </c>
      <c r="AC1018">
        <f>C1018/(G1018-K1018)</f>
        <v>0.27497178417281487</v>
      </c>
      <c r="AD1018">
        <f>Q1018/E1018</f>
        <v>1.0297262195689989</v>
      </c>
      <c r="AE1018">
        <f>Q1018/J1018</f>
        <v>0.28650428733229366</v>
      </c>
      <c r="AF1018">
        <f>Q1018/G1018</f>
        <v>0.12818352151058632</v>
      </c>
      <c r="AG1018">
        <f>Q1018/K1018</f>
        <v>1.7830408951120076</v>
      </c>
      <c r="AH1018">
        <f>Q1018/L1018</f>
        <v>0.34314133438732924</v>
      </c>
      <c r="AI1018" s="1">
        <f>R1018</f>
        <v>3</v>
      </c>
      <c r="AJ1018" s="1">
        <f>P1018</f>
        <v>691573.61</v>
      </c>
    </row>
    <row r="1019" spans="1:36" x14ac:dyDescent="0.25">
      <c r="A1019" t="s">
        <v>160</v>
      </c>
      <c r="B1019">
        <v>2020</v>
      </c>
      <c r="C1019" s="1">
        <v>563814.79</v>
      </c>
      <c r="D1019" s="1">
        <v>306222.24900000001</v>
      </c>
      <c r="E1019" s="1">
        <v>152708.23499999999</v>
      </c>
      <c r="F1019" s="1">
        <v>0</v>
      </c>
      <c r="G1019" s="1">
        <v>3963671.9989999998</v>
      </c>
      <c r="H1019" s="1">
        <v>579521.84900000005</v>
      </c>
      <c r="I1019" s="1">
        <v>14157.615</v>
      </c>
      <c r="J1019" s="1">
        <v>1784781.9069999999</v>
      </c>
      <c r="K1019" s="1">
        <v>317814.772</v>
      </c>
      <c r="L1019" s="1">
        <v>1467275.726</v>
      </c>
      <c r="M1019" s="1">
        <v>1254439.493</v>
      </c>
      <c r="N1019" s="1">
        <v>2048214.0789999999</v>
      </c>
      <c r="O1019" s="1">
        <v>2178890.0920000002</v>
      </c>
      <c r="P1019" s="1">
        <v>701817.86899999995</v>
      </c>
      <c r="Q1019" s="1">
        <v>37150.057000000001</v>
      </c>
      <c r="R1019" s="1">
        <v>2.5</v>
      </c>
      <c r="T1019">
        <f>E1019/G1019</f>
        <v>3.8526960615945759E-2</v>
      </c>
      <c r="U1019">
        <f>D1019/C1019</f>
        <v>0.54312560513001085</v>
      </c>
      <c r="V1019">
        <f>(E1019-F1019)/O1019</f>
        <v>7.0085331775422102E-2</v>
      </c>
      <c r="W1019">
        <f>H1019/K1019</f>
        <v>1.823457875645881</v>
      </c>
      <c r="X1019">
        <f>(H1019-I1019)/K1019</f>
        <v>1.7789111262581592</v>
      </c>
      <c r="Y1019">
        <f>(H1019-K1019)/G1019</f>
        <v>6.6026421224063561E-2</v>
      </c>
      <c r="Z1019">
        <f>J1019/N1019</f>
        <v>0.87138445404661236</v>
      </c>
      <c r="AA1019">
        <f>J1019/G1019</f>
        <v>0.45028496491391945</v>
      </c>
      <c r="AB1019">
        <f>C1019/G1019</f>
        <v>0.14224557181881994</v>
      </c>
      <c r="AC1019">
        <f>C1019/(G1019-K1019)</f>
        <v>0.15464532890223351</v>
      </c>
      <c r="AD1019">
        <f>Q1019/E1019</f>
        <v>0.24327474546477473</v>
      </c>
      <c r="AE1019">
        <f>Q1019/J1019</f>
        <v>2.0814900047056564E-2</v>
      </c>
      <c r="AF1019">
        <f>Q1019/G1019</f>
        <v>9.3726365373756042E-3</v>
      </c>
      <c r="AG1019">
        <f>Q1019/K1019</f>
        <v>0.11689216572979182</v>
      </c>
      <c r="AH1019">
        <f>Q1019/L1019</f>
        <v>2.5319070125474154E-2</v>
      </c>
      <c r="AI1019" s="1">
        <f>R1019</f>
        <v>2.5</v>
      </c>
      <c r="AJ1019" s="1">
        <f>P1019</f>
        <v>701817.86899999995</v>
      </c>
    </row>
    <row r="1020" spans="1:36" x14ac:dyDescent="0.25">
      <c r="A1020" t="s">
        <v>160</v>
      </c>
      <c r="B1020">
        <v>2021</v>
      </c>
      <c r="C1020" s="1">
        <v>729074.02300000004</v>
      </c>
      <c r="D1020" s="1">
        <v>376414.40399999998</v>
      </c>
      <c r="E1020" s="1">
        <v>264444.46899999998</v>
      </c>
      <c r="F1020" s="1">
        <v>0</v>
      </c>
      <c r="G1020" s="1">
        <v>4556652.7120000003</v>
      </c>
      <c r="H1020" s="1">
        <v>774751.7</v>
      </c>
      <c r="I1020" s="1">
        <v>69962.89</v>
      </c>
      <c r="J1020" s="1">
        <v>2242991.8059999999</v>
      </c>
      <c r="K1020" s="1">
        <v>598789.55599999998</v>
      </c>
      <c r="L1020" s="1">
        <v>1992718.1370000001</v>
      </c>
      <c r="M1020" s="1">
        <v>1506434.0330000001</v>
      </c>
      <c r="N1020" s="1">
        <v>2183717.5869999998</v>
      </c>
      <c r="O1020" s="1">
        <v>2313660.906</v>
      </c>
      <c r="P1020" s="1">
        <v>796381.69099999999</v>
      </c>
      <c r="Q1020" s="1">
        <v>254572.39499999999</v>
      </c>
      <c r="R1020" s="1">
        <v>3.6</v>
      </c>
      <c r="T1020">
        <f>E1020/G1020</f>
        <v>5.8034808819988029E-2</v>
      </c>
      <c r="U1020">
        <f>D1020/C1020</f>
        <v>0.5162910652763717</v>
      </c>
      <c r="V1020">
        <f>(E1020-F1020)/O1020</f>
        <v>0.11429698635362601</v>
      </c>
      <c r="W1020">
        <f>H1020/K1020</f>
        <v>1.2938630813393812</v>
      </c>
      <c r="X1020">
        <f>(H1020-I1020)/K1020</f>
        <v>1.1770225498054612</v>
      </c>
      <c r="Y1020">
        <f>(H1020-K1020)/G1020</f>
        <v>3.8616536111387538E-2</v>
      </c>
      <c r="Z1020">
        <f>J1020/N1020</f>
        <v>1.0271437201187865</v>
      </c>
      <c r="AA1020">
        <f>J1020/G1020</f>
        <v>0.49224550295287012</v>
      </c>
      <c r="AB1020">
        <f>C1020/G1020</f>
        <v>0.16000210441317478</v>
      </c>
      <c r="AC1020">
        <f>C1020/(G1020-K1020)</f>
        <v>0.18420900224777756</v>
      </c>
      <c r="AD1020">
        <f>Q1020/E1020</f>
        <v>0.96266863119757673</v>
      </c>
      <c r="AE1020">
        <f>Q1020/J1020</f>
        <v>0.11349680115594681</v>
      </c>
      <c r="AF1020">
        <f>Q1020/G1020</f>
        <v>5.5868289968550928E-2</v>
      </c>
      <c r="AG1020">
        <f>Q1020/K1020</f>
        <v>0.42514501538834454</v>
      </c>
      <c r="AH1020">
        <f>Q1020/L1020</f>
        <v>0.12775133134646627</v>
      </c>
      <c r="AI1020" s="1">
        <f>R1020</f>
        <v>3.6</v>
      </c>
      <c r="AJ1020" s="1">
        <f>P1020</f>
        <v>796381.69099999999</v>
      </c>
    </row>
    <row r="1021" spans="1:36" x14ac:dyDescent="0.25">
      <c r="A1021" t="s">
        <v>160</v>
      </c>
      <c r="B1021">
        <v>2022</v>
      </c>
      <c r="C1021" s="1">
        <v>935512.63899999997</v>
      </c>
      <c r="D1021" s="1">
        <v>25219.919999999998</v>
      </c>
      <c r="E1021" s="1">
        <v>-184050.58300000001</v>
      </c>
      <c r="F1021" s="1">
        <v>0</v>
      </c>
      <c r="G1021" s="1">
        <v>5065592.8470000001</v>
      </c>
      <c r="H1021" s="1">
        <v>622036.74100000004</v>
      </c>
      <c r="I1021" s="1">
        <v>45604.305999999997</v>
      </c>
      <c r="J1021" s="1">
        <v>2331319.7149999999</v>
      </c>
      <c r="K1021" s="1">
        <v>707212.05500000005</v>
      </c>
      <c r="L1021" s="1">
        <v>1831262.19</v>
      </c>
      <c r="M1021" s="1">
        <v>1355231.5689999999</v>
      </c>
      <c r="N1021" s="1">
        <v>2561858.0320000001</v>
      </c>
      <c r="O1021" s="1">
        <v>2734273.1320000002</v>
      </c>
      <c r="P1021" s="1">
        <v>388455.26799999998</v>
      </c>
      <c r="Q1021" s="1">
        <v>524893.23100000003</v>
      </c>
      <c r="R1021" s="1">
        <v>3.7</v>
      </c>
      <c r="T1021">
        <f>E1021/G1021</f>
        <v>-3.6333473407559873E-2</v>
      </c>
      <c r="U1021">
        <f>D1021/C1021</f>
        <v>2.69583958020689E-2</v>
      </c>
      <c r="V1021">
        <f>(E1021-F1021)/O1021</f>
        <v>-6.7312435193837103E-2</v>
      </c>
      <c r="W1021">
        <f>H1021/K1021</f>
        <v>0.87956184655251668</v>
      </c>
      <c r="X1021">
        <f>(H1021-I1021)/K1021</f>
        <v>0.81507721895379737</v>
      </c>
      <c r="Y1021">
        <f>(H1021-K1021)/G1021</f>
        <v>-1.6814480865836555E-2</v>
      </c>
      <c r="Z1021">
        <f>J1021/N1021</f>
        <v>0.91001128317012059</v>
      </c>
      <c r="AA1021">
        <f>J1021/G1021</f>
        <v>0.46022643063006519</v>
      </c>
      <c r="AB1021">
        <f>C1021/G1021</f>
        <v>0.18467979311721416</v>
      </c>
      <c r="AC1021">
        <f>C1021/(G1021-K1021)</f>
        <v>0.21464683414472974</v>
      </c>
      <c r="AD1021">
        <f>Q1021/E1021</f>
        <v>-2.8518965951876392</v>
      </c>
      <c r="AE1021">
        <f>Q1021/J1021</f>
        <v>0.22514854038370283</v>
      </c>
      <c r="AF1021">
        <f>Q1021/G1021</f>
        <v>0.10361930910236064</v>
      </c>
      <c r="AG1021">
        <f>Q1021/K1021</f>
        <v>0.74220062750485782</v>
      </c>
      <c r="AH1021">
        <f>Q1021/L1021</f>
        <v>0.28662920791260371</v>
      </c>
      <c r="AI1021" s="1">
        <f>R1021</f>
        <v>3.7</v>
      </c>
      <c r="AJ1021" s="1">
        <f>P1021</f>
        <v>388455.26799999998</v>
      </c>
    </row>
    <row r="1022" spans="1:36" x14ac:dyDescent="0.25">
      <c r="A1022" t="s">
        <v>160</v>
      </c>
      <c r="B1022">
        <v>2023</v>
      </c>
      <c r="C1022" s="1">
        <v>1014079.4620000001</v>
      </c>
      <c r="D1022" s="1">
        <v>427637.78200000001</v>
      </c>
      <c r="E1022" s="1">
        <v>-460798.62199999997</v>
      </c>
      <c r="F1022" s="1">
        <v>0</v>
      </c>
      <c r="G1022" s="1">
        <v>5000045.1440000003</v>
      </c>
      <c r="H1022" s="1">
        <v>1031062.542</v>
      </c>
      <c r="I1022" s="1">
        <v>83442.042000000001</v>
      </c>
      <c r="J1022" s="1">
        <v>2877151.1409999998</v>
      </c>
      <c r="K1022" s="1">
        <v>1062877.112</v>
      </c>
      <c r="L1022" s="1">
        <v>1923950.375</v>
      </c>
      <c r="M1022" s="1">
        <v>1190842.1140000001</v>
      </c>
      <c r="N1022" s="1">
        <v>1942102.5079999999</v>
      </c>
      <c r="O1022" s="1">
        <v>2122894.003</v>
      </c>
      <c r="P1022" s="1">
        <v>-90811.481</v>
      </c>
      <c r="Q1022" s="1">
        <v>53956.904999999999</v>
      </c>
      <c r="R1022" s="1">
        <v>3.4</v>
      </c>
      <c r="T1022">
        <f>E1022/G1022</f>
        <v>-9.2158892315793051E-2</v>
      </c>
      <c r="U1022">
        <f>D1022/C1022</f>
        <v>0.42170046630921709</v>
      </c>
      <c r="V1022">
        <f>(E1022-F1022)/O1022</f>
        <v>-0.2170615307918414</v>
      </c>
      <c r="W1022">
        <f>H1022/K1022</f>
        <v>0.97006749920493163</v>
      </c>
      <c r="X1022">
        <f>(H1022-I1022)/K1022</f>
        <v>0.89156167660518781</v>
      </c>
      <c r="Y1022">
        <f>(H1022-K1022)/G1022</f>
        <v>-6.3628565510407617E-3</v>
      </c>
      <c r="Z1022">
        <f>J1022/N1022</f>
        <v>1.481462038768965</v>
      </c>
      <c r="AA1022">
        <f>J1022/G1022</f>
        <v>0.57542503280246371</v>
      </c>
      <c r="AB1022">
        <f>C1022/G1022</f>
        <v>0.20281406123240395</v>
      </c>
      <c r="AC1022">
        <f>C1022/(G1022-K1022)</f>
        <v>0.2575657055421301</v>
      </c>
      <c r="AD1022">
        <f>Q1022/E1022</f>
        <v>-0.11709432802947922</v>
      </c>
      <c r="AE1022">
        <f>Q1022/J1022</f>
        <v>1.8753587265925284E-2</v>
      </c>
      <c r="AF1022">
        <f>Q1022/G1022</f>
        <v>1.0791283567658924E-2</v>
      </c>
      <c r="AG1022">
        <f>Q1022/K1022</f>
        <v>5.0764951461293673E-2</v>
      </c>
      <c r="AH1022">
        <f>Q1022/L1022</f>
        <v>2.8044852768096994E-2</v>
      </c>
      <c r="AI1022" s="1">
        <f>R1022</f>
        <v>3.4</v>
      </c>
      <c r="AJ1022" s="1">
        <f>P1022</f>
        <v>-90811.481</v>
      </c>
    </row>
    <row r="1023" spans="1:36" x14ac:dyDescent="0.25">
      <c r="A1023" t="s">
        <v>160</v>
      </c>
      <c r="B1023">
        <v>2024</v>
      </c>
      <c r="C1023" s="1">
        <v>1414864.311</v>
      </c>
      <c r="D1023" s="1">
        <v>560694.60400000005</v>
      </c>
      <c r="E1023" s="1">
        <v>99659.744000000006</v>
      </c>
      <c r="F1023" s="1">
        <v>0</v>
      </c>
      <c r="G1023" s="1">
        <v>5458471.0559999999</v>
      </c>
      <c r="H1023" s="1">
        <v>1011448.434</v>
      </c>
      <c r="I1023" s="1">
        <v>186317.986</v>
      </c>
      <c r="J1023" s="1">
        <v>3027693.41</v>
      </c>
      <c r="K1023" s="1">
        <v>877372.95499999996</v>
      </c>
      <c r="L1023" s="1">
        <v>1649697.5449999999</v>
      </c>
      <c r="M1023" s="1">
        <v>1179122.72</v>
      </c>
      <c r="N1023" s="1">
        <v>2237719.7340000002</v>
      </c>
      <c r="O1023" s="1">
        <v>2430777.6460000002</v>
      </c>
      <c r="P1023" s="1">
        <v>-145360.29800000001</v>
      </c>
      <c r="Q1023" s="1">
        <v>787945.223</v>
      </c>
      <c r="R1023" s="1">
        <v>3</v>
      </c>
      <c r="T1023">
        <f>E1023/G1023</f>
        <v>1.8257813035475041E-2</v>
      </c>
      <c r="U1023">
        <f>D1023/C1023</f>
        <v>0.39628860495018881</v>
      </c>
      <c r="V1023">
        <f>(E1023-F1023)/O1023</f>
        <v>4.0999119834755959E-2</v>
      </c>
      <c r="W1023">
        <f>H1023/K1023</f>
        <v>1.1528146932680414</v>
      </c>
      <c r="X1023">
        <f>(H1023-I1023)/K1023</f>
        <v>0.94045575863459341</v>
      </c>
      <c r="Y1023">
        <f>(H1023-K1023)/G1023</f>
        <v>2.4562826774106112E-2</v>
      </c>
      <c r="Z1023">
        <f>J1023/N1023</f>
        <v>1.3530261917956523</v>
      </c>
      <c r="AA1023">
        <f>J1023/G1023</f>
        <v>0.55467792701253449</v>
      </c>
      <c r="AB1023">
        <f>C1023/G1023</f>
        <v>0.25920524199624884</v>
      </c>
      <c r="AC1023">
        <f>C1023/(G1023-K1023)</f>
        <v>0.3088482891669907</v>
      </c>
      <c r="AD1023">
        <f>Q1023/E1023</f>
        <v>7.9063540741184317</v>
      </c>
      <c r="AE1023">
        <f>Q1023/J1023</f>
        <v>0.26024604089619496</v>
      </c>
      <c r="AF1023">
        <f>Q1023/G1023</f>
        <v>0.1443527344775207</v>
      </c>
      <c r="AG1023">
        <f>Q1023/K1023</f>
        <v>0.89807329768900845</v>
      </c>
      <c r="AH1023">
        <f>Q1023/L1023</f>
        <v>0.47763011188817645</v>
      </c>
      <c r="AI1023" s="1">
        <f>R1023</f>
        <v>3</v>
      </c>
      <c r="AJ1023" s="1">
        <f>P1023</f>
        <v>-145360.29800000001</v>
      </c>
    </row>
    <row r="1024" spans="1:36" x14ac:dyDescent="0.25">
      <c r="A1024" t="s">
        <v>161</v>
      </c>
      <c r="B1024">
        <v>2018</v>
      </c>
      <c r="C1024" s="1">
        <v>3768.1750000000002</v>
      </c>
      <c r="D1024" s="1">
        <v>-1448.2339999999999</v>
      </c>
      <c r="E1024" s="1">
        <v>-2893.5450000000001</v>
      </c>
      <c r="F1024" s="1">
        <v>0</v>
      </c>
      <c r="G1024" s="1">
        <v>6527.0240000000003</v>
      </c>
      <c r="H1024" s="1">
        <v>5213.3630000000003</v>
      </c>
      <c r="I1024" s="1">
        <v>239.67400000000001</v>
      </c>
      <c r="J1024" s="1">
        <v>3934.1770000000001</v>
      </c>
      <c r="K1024" s="1">
        <v>3292.3829999999998</v>
      </c>
      <c r="L1024" s="1">
        <v>0</v>
      </c>
      <c r="M1024" s="1">
        <v>0</v>
      </c>
      <c r="N1024" s="1">
        <v>2592.8470000000002</v>
      </c>
      <c r="O1024" s="1">
        <v>2592.8470000000002</v>
      </c>
      <c r="P1024" s="1">
        <v>1435.5239999999999</v>
      </c>
      <c r="Q1024" s="1">
        <v>-2159.2420000000002</v>
      </c>
      <c r="R1024" s="1">
        <v>63</v>
      </c>
      <c r="T1024">
        <f>E1024/G1024</f>
        <v>-0.44331765901274456</v>
      </c>
      <c r="U1024">
        <f>D1024/C1024</f>
        <v>-0.38433299939625942</v>
      </c>
      <c r="V1024">
        <f>(E1024-F1024)/O1024</f>
        <v>-1.1159721341058688</v>
      </c>
      <c r="W1024">
        <f>H1024/K1024</f>
        <v>1.5834618876357947</v>
      </c>
      <c r="X1024">
        <f>(H1024-I1024)/K1024</f>
        <v>1.5106653752008805</v>
      </c>
      <c r="Y1024">
        <f>(H1024-K1024)/G1024</f>
        <v>0.29431177210318216</v>
      </c>
      <c r="Z1024">
        <f>J1024/N1024</f>
        <v>1.5173193790455048</v>
      </c>
      <c r="AA1024">
        <f>J1024/G1024</f>
        <v>0.60275203523075749</v>
      </c>
      <c r="AB1024">
        <f>C1024/G1024</f>
        <v>0.57731900480218856</v>
      </c>
      <c r="AC1024">
        <f>C1024/(G1024-K1024)</f>
        <v>1.1649438067470237</v>
      </c>
      <c r="AD1024">
        <f>Q1024/E1024</f>
        <v>0.74622720572861323</v>
      </c>
      <c r="AE1024">
        <f>Q1024/J1024</f>
        <v>-0.54884210852739979</v>
      </c>
      <c r="AF1024">
        <f>Q1024/G1024</f>
        <v>-0.33081569793523052</v>
      </c>
      <c r="AG1024">
        <f>Q1024/K1024</f>
        <v>-0.65582953137590627</v>
      </c>
      <c r="AH1024" t="e">
        <f>Q1024/L1024</f>
        <v>#DIV/0!</v>
      </c>
      <c r="AI1024" s="1">
        <f>R1024</f>
        <v>63</v>
      </c>
      <c r="AJ1024" s="1">
        <f>P1024</f>
        <v>1435.5239999999999</v>
      </c>
    </row>
    <row r="1025" spans="1:36" x14ac:dyDescent="0.25">
      <c r="A1025" t="s">
        <v>161</v>
      </c>
      <c r="B1025">
        <v>2019</v>
      </c>
      <c r="C1025" s="1">
        <v>4627.933</v>
      </c>
      <c r="D1025" s="1">
        <v>-3424.9670000000001</v>
      </c>
      <c r="E1025" s="1">
        <v>-3318.14</v>
      </c>
      <c r="F1025" s="1">
        <v>0</v>
      </c>
      <c r="G1025" s="1">
        <v>7468.35</v>
      </c>
      <c r="H1025" s="1">
        <v>6176.0540000000001</v>
      </c>
      <c r="I1025" s="1">
        <v>139.387</v>
      </c>
      <c r="J1025" s="1">
        <v>8296.3439999999991</v>
      </c>
      <c r="K1025" s="1">
        <v>7574.0219999999999</v>
      </c>
      <c r="L1025" s="1">
        <v>0</v>
      </c>
      <c r="M1025" s="1">
        <v>0</v>
      </c>
      <c r="N1025" s="1">
        <v>-827.99400000000003</v>
      </c>
      <c r="O1025" s="1">
        <v>-827.99400000000003</v>
      </c>
      <c r="P1025" s="1">
        <v>-1976.8119999999999</v>
      </c>
      <c r="Q1025" s="1">
        <v>835.04100000000005</v>
      </c>
      <c r="R1025" s="1">
        <v>50</v>
      </c>
      <c r="T1025">
        <f>E1025/G1025</f>
        <v>-0.44429358559788973</v>
      </c>
      <c r="U1025">
        <f>D1025/C1025</f>
        <v>-0.74006408476527208</v>
      </c>
      <c r="V1025">
        <f>(E1025-F1025)/O1025</f>
        <v>4.0074444983900843</v>
      </c>
      <c r="W1025">
        <f>H1025/K1025</f>
        <v>0.8154259388208801</v>
      </c>
      <c r="X1025">
        <f>(H1025-I1025)/K1025</f>
        <v>0.79702263869843526</v>
      </c>
      <c r="Y1025">
        <f>(H1025-K1025)/G1025</f>
        <v>-0.18718565680505062</v>
      </c>
      <c r="Z1025">
        <f>J1025/N1025</f>
        <v>-10.019811737766215</v>
      </c>
      <c r="AA1025">
        <f>J1025/G1025</f>
        <v>1.1108670589889331</v>
      </c>
      <c r="AB1025">
        <f>C1025/G1025</f>
        <v>0.61967275234824293</v>
      </c>
      <c r="AC1025">
        <f>C1025/(G1025-K1025)</f>
        <v>-43.795262699674645</v>
      </c>
      <c r="AD1025">
        <f>Q1025/E1025</f>
        <v>-0.25165936337827821</v>
      </c>
      <c r="AE1025">
        <f>Q1025/J1025</f>
        <v>0.10065168464567045</v>
      </c>
      <c r="AF1025">
        <f>Q1025/G1025</f>
        <v>0.11181064090461748</v>
      </c>
      <c r="AG1025">
        <f>Q1025/K1025</f>
        <v>0.11025066998749146</v>
      </c>
      <c r="AH1025" t="e">
        <f>Q1025/L1025</f>
        <v>#DIV/0!</v>
      </c>
      <c r="AI1025" s="1">
        <f>R1025</f>
        <v>50</v>
      </c>
      <c r="AJ1025" s="1">
        <f>P1025</f>
        <v>-1976.8119999999999</v>
      </c>
    </row>
    <row r="1026" spans="1:36" x14ac:dyDescent="0.25">
      <c r="A1026" t="s">
        <v>161</v>
      </c>
      <c r="B1026">
        <v>2020</v>
      </c>
      <c r="C1026" s="1">
        <v>4666.8710000000001</v>
      </c>
      <c r="D1026" s="1">
        <v>460.50900000000001</v>
      </c>
      <c r="E1026" s="1">
        <v>485.28800000000001</v>
      </c>
      <c r="F1026" s="1">
        <v>0</v>
      </c>
      <c r="G1026" s="1">
        <v>7618.0460000000003</v>
      </c>
      <c r="H1026" s="1">
        <v>6390.9489999999996</v>
      </c>
      <c r="I1026" s="1">
        <v>127.93899999999999</v>
      </c>
      <c r="J1026" s="1">
        <v>8030.7560000000003</v>
      </c>
      <c r="K1026" s="1">
        <v>7190.0519999999997</v>
      </c>
      <c r="L1026" s="1">
        <v>0</v>
      </c>
      <c r="M1026" s="1">
        <v>0</v>
      </c>
      <c r="N1026" s="1">
        <v>-412.71</v>
      </c>
      <c r="O1026" s="1">
        <v>-412.71</v>
      </c>
      <c r="P1026" s="1">
        <v>-1536.328</v>
      </c>
      <c r="Q1026" s="1">
        <v>14.74</v>
      </c>
      <c r="R1026" s="1">
        <v>59.7</v>
      </c>
      <c r="T1026">
        <f>E1026/G1026</f>
        <v>6.3702424479978204E-2</v>
      </c>
      <c r="U1026">
        <f>D1026/C1026</f>
        <v>9.86761793930023E-2</v>
      </c>
      <c r="V1026">
        <f>(E1026-F1026)/O1026</f>
        <v>-1.1758571393957016</v>
      </c>
      <c r="W1026">
        <f>H1026/K1026</f>
        <v>0.88885991366960904</v>
      </c>
      <c r="X1026">
        <f>(H1026-I1026)/K1026</f>
        <v>0.8710660228882906</v>
      </c>
      <c r="Y1026">
        <f>(H1026-K1026)/G1026</f>
        <v>-0.10489605864811004</v>
      </c>
      <c r="Z1026">
        <f>J1026/N1026</f>
        <v>-19.458593201037051</v>
      </c>
      <c r="AA1026">
        <f>J1026/G1026</f>
        <v>1.054175309521628</v>
      </c>
      <c r="AB1026">
        <f>C1026/G1026</f>
        <v>0.61260735364422847</v>
      </c>
      <c r="AC1026">
        <f>C1026/(G1026-K1026)</f>
        <v>10.90405706622054</v>
      </c>
      <c r="AD1026">
        <f>Q1026/E1026</f>
        <v>3.0373716226240913E-2</v>
      </c>
      <c r="AE1026">
        <f>Q1026/J1026</f>
        <v>1.8354436369377926E-3</v>
      </c>
      <c r="AF1026">
        <f>Q1026/G1026</f>
        <v>1.9348793640784E-3</v>
      </c>
      <c r="AG1026">
        <f>Q1026/K1026</f>
        <v>2.0500547144860705E-3</v>
      </c>
      <c r="AH1026" t="e">
        <f>Q1026/L1026</f>
        <v>#DIV/0!</v>
      </c>
      <c r="AI1026" s="1">
        <f>R1026</f>
        <v>59.7</v>
      </c>
      <c r="AJ1026" s="1">
        <f>P1026</f>
        <v>-1536.328</v>
      </c>
    </row>
    <row r="1027" spans="1:36" x14ac:dyDescent="0.25">
      <c r="A1027" t="s">
        <v>161</v>
      </c>
      <c r="B1027">
        <v>2021</v>
      </c>
      <c r="C1027" s="1">
        <v>4372.3999999999996</v>
      </c>
      <c r="D1027" s="1">
        <v>867.40099999999995</v>
      </c>
      <c r="E1027" s="1">
        <v>902.74300000000005</v>
      </c>
      <c r="F1027" s="1">
        <v>0</v>
      </c>
      <c r="G1027" s="1">
        <v>5216.9639999999999</v>
      </c>
      <c r="H1027" s="1">
        <v>3949.279</v>
      </c>
      <c r="I1027" s="1">
        <v>273.68</v>
      </c>
      <c r="J1027" s="1">
        <v>4573.1949999999997</v>
      </c>
      <c r="K1027" s="1">
        <v>3650.232</v>
      </c>
      <c r="L1027" s="1">
        <v>0</v>
      </c>
      <c r="M1027" s="1">
        <v>0</v>
      </c>
      <c r="N1027" s="1">
        <v>643.76900000000001</v>
      </c>
      <c r="O1027" s="1">
        <v>643.76900000000001</v>
      </c>
      <c r="P1027" s="1">
        <v>-500.63900000000001</v>
      </c>
      <c r="Q1027" s="1">
        <v>-1566.5820000000001</v>
      </c>
      <c r="R1027" s="1">
        <v>42</v>
      </c>
      <c r="T1027">
        <f>E1027/G1027</f>
        <v>0.17303991363559343</v>
      </c>
      <c r="U1027">
        <f>D1027/C1027</f>
        <v>0.1983809806971</v>
      </c>
      <c r="V1027">
        <f>(E1027-F1027)/O1027</f>
        <v>1.4022778356832963</v>
      </c>
      <c r="W1027">
        <f>H1027/K1027</f>
        <v>1.0819254776134777</v>
      </c>
      <c r="X1027">
        <f>(H1027-I1027)/K1027</f>
        <v>1.0069494212970573</v>
      </c>
      <c r="Y1027">
        <f>(H1027-K1027)/G1027</f>
        <v>5.7322036341443033E-2</v>
      </c>
      <c r="Z1027">
        <f>J1027/N1027</f>
        <v>7.1037825679708089</v>
      </c>
      <c r="AA1027">
        <f>J1027/G1027</f>
        <v>0.8766008352750756</v>
      </c>
      <c r="AB1027">
        <f>C1027/G1027</f>
        <v>0.83811197470406151</v>
      </c>
      <c r="AC1027">
        <f>C1027/(G1027-K1027)</f>
        <v>2.7907772356727252</v>
      </c>
      <c r="AD1027">
        <f>Q1027/E1027</f>
        <v>-1.7353576820867069</v>
      </c>
      <c r="AE1027">
        <f>Q1027/J1027</f>
        <v>-0.3425574461618191</v>
      </c>
      <c r="AF1027">
        <f>Q1027/G1027</f>
        <v>-0.30028614343514737</v>
      </c>
      <c r="AG1027">
        <f>Q1027/K1027</f>
        <v>-0.42917326898673841</v>
      </c>
      <c r="AH1027" t="e">
        <f>Q1027/L1027</f>
        <v>#DIV/0!</v>
      </c>
      <c r="AI1027" s="1">
        <f>R1027</f>
        <v>42</v>
      </c>
      <c r="AJ1027" s="1">
        <f>P1027</f>
        <v>-500.63900000000001</v>
      </c>
    </row>
    <row r="1028" spans="1:36" x14ac:dyDescent="0.25">
      <c r="A1028" t="s">
        <v>161</v>
      </c>
      <c r="B1028">
        <v>2022</v>
      </c>
      <c r="C1028" s="1">
        <v>4540.4049999999997</v>
      </c>
      <c r="D1028" s="1">
        <v>1070.508</v>
      </c>
      <c r="E1028" s="1">
        <v>794.95399999999995</v>
      </c>
      <c r="F1028" s="1">
        <v>0</v>
      </c>
      <c r="G1028" s="1">
        <v>7307.1540000000005</v>
      </c>
      <c r="H1028" s="1">
        <v>6295.9049999999997</v>
      </c>
      <c r="I1028" s="1">
        <v>209.75</v>
      </c>
      <c r="J1028" s="1">
        <v>5876.5039999999999</v>
      </c>
      <c r="K1028" s="1">
        <v>5876.5039999999999</v>
      </c>
      <c r="L1028" s="1">
        <v>0</v>
      </c>
      <c r="M1028" s="1">
        <v>0</v>
      </c>
      <c r="N1028" s="1">
        <v>1430.65</v>
      </c>
      <c r="O1028" s="1">
        <v>1430.65</v>
      </c>
      <c r="P1028" s="1">
        <v>290.02800000000002</v>
      </c>
      <c r="Q1028" s="1">
        <v>-587.18299999999999</v>
      </c>
      <c r="R1028" s="1" t="s">
        <v>223</v>
      </c>
      <c r="T1028">
        <f>E1028/G1028</f>
        <v>0.10879119285018489</v>
      </c>
      <c r="U1028">
        <f>D1028/C1028</f>
        <v>0.23577368098220314</v>
      </c>
      <c r="V1028">
        <f>(E1028-F1028)/O1028</f>
        <v>0.55565931569566274</v>
      </c>
      <c r="W1028">
        <f>H1028/K1028</f>
        <v>1.0713691337570772</v>
      </c>
      <c r="X1028">
        <f>(H1028-I1028)/K1028</f>
        <v>1.035676143503008</v>
      </c>
      <c r="Y1028">
        <f>(H1028-K1028)/G1028</f>
        <v>5.7395943755941072E-2</v>
      </c>
      <c r="Z1028">
        <f>J1028/N1028</f>
        <v>4.1075762765176664</v>
      </c>
      <c r="AA1028">
        <f>J1028/G1028</f>
        <v>0.80421241977382707</v>
      </c>
      <c r="AB1028">
        <f>C1028/G1028</f>
        <v>0.62136435060763728</v>
      </c>
      <c r="AC1028">
        <f>C1028/(G1028-K1028)</f>
        <v>3.1736658162373734</v>
      </c>
      <c r="AD1028">
        <f>Q1028/E1028</f>
        <v>-0.73863770733904099</v>
      </c>
      <c r="AE1028">
        <f>Q1028/J1028</f>
        <v>-9.9920462914685329E-2</v>
      </c>
      <c r="AF1028">
        <f>Q1028/G1028</f>
        <v>-8.0357277265540039E-2</v>
      </c>
      <c r="AG1028">
        <f>Q1028/K1028</f>
        <v>-9.9920462914685329E-2</v>
      </c>
      <c r="AH1028" t="e">
        <f>Q1028/L1028</f>
        <v>#DIV/0!</v>
      </c>
      <c r="AI1028" s="1" t="str">
        <f>R1028</f>
        <v>-</v>
      </c>
      <c r="AJ1028" s="1">
        <f>P1028</f>
        <v>290.02800000000002</v>
      </c>
    </row>
    <row r="1029" spans="1:36" x14ac:dyDescent="0.25">
      <c r="A1029" t="s">
        <v>161</v>
      </c>
      <c r="B1029">
        <v>2023</v>
      </c>
      <c r="C1029" s="1">
        <v>7404.97</v>
      </c>
      <c r="D1029" s="1">
        <v>480.673</v>
      </c>
      <c r="E1029" s="1">
        <v>497.61</v>
      </c>
      <c r="F1029" s="1">
        <v>0</v>
      </c>
      <c r="G1029" s="1">
        <v>5600.83</v>
      </c>
      <c r="H1029" s="1">
        <v>4621.7060000000001</v>
      </c>
      <c r="I1029" s="1">
        <v>210.68799999999999</v>
      </c>
      <c r="J1029" s="1">
        <v>3663.8249999999998</v>
      </c>
      <c r="K1029" s="1">
        <v>3663.8249999999998</v>
      </c>
      <c r="L1029" s="1">
        <v>0</v>
      </c>
      <c r="M1029" s="1">
        <v>0</v>
      </c>
      <c r="N1029" s="1">
        <v>1937.0050000000001</v>
      </c>
      <c r="O1029" s="1">
        <v>1937.0050000000001</v>
      </c>
      <c r="P1029" s="1">
        <v>792.28200000000004</v>
      </c>
      <c r="Q1029" s="1">
        <v>856.05499999999995</v>
      </c>
      <c r="R1029" s="1" t="s">
        <v>223</v>
      </c>
      <c r="T1029">
        <f>E1029/G1029</f>
        <v>8.8845760360518E-2</v>
      </c>
      <c r="U1029">
        <f>D1029/C1029</f>
        <v>6.4912214364136522E-2</v>
      </c>
      <c r="V1029">
        <f>(E1029-F1029)/O1029</f>
        <v>0.25689660067991565</v>
      </c>
      <c r="W1029">
        <f>H1029/K1029</f>
        <v>1.2614428909677728</v>
      </c>
      <c r="X1029">
        <f>(H1029-I1029)/K1029</f>
        <v>1.2039379610106924</v>
      </c>
      <c r="Y1029">
        <f>(H1029-K1029)/G1029</f>
        <v>0.17102483024837395</v>
      </c>
      <c r="Z1029">
        <f>J1029/N1029</f>
        <v>1.8914896967225172</v>
      </c>
      <c r="AA1029">
        <f>J1029/G1029</f>
        <v>0.65415750879780321</v>
      </c>
      <c r="AB1029">
        <f>C1029/G1029</f>
        <v>1.3221201143401962</v>
      </c>
      <c r="AC1029">
        <f>C1029/(G1029-K1029)</f>
        <v>3.8228966884442732</v>
      </c>
      <c r="AD1029">
        <f>Q1029/E1029</f>
        <v>1.7203331926609191</v>
      </c>
      <c r="AE1029">
        <f>Q1029/J1029</f>
        <v>0.23365062468867917</v>
      </c>
      <c r="AF1029">
        <f>Q1029/G1029</f>
        <v>0.15284431057539685</v>
      </c>
      <c r="AG1029">
        <f>Q1029/K1029</f>
        <v>0.23365062468867917</v>
      </c>
      <c r="AH1029" t="e">
        <f>Q1029/L1029</f>
        <v>#DIV/0!</v>
      </c>
      <c r="AI1029" s="1" t="str">
        <f>R1029</f>
        <v>-</v>
      </c>
      <c r="AJ1029" s="1">
        <f>P1029</f>
        <v>792.28200000000004</v>
      </c>
    </row>
    <row r="1030" spans="1:36" x14ac:dyDescent="0.25">
      <c r="A1030" t="s">
        <v>161</v>
      </c>
      <c r="B1030">
        <v>2024</v>
      </c>
      <c r="C1030" s="1">
        <v>10520.041999999999</v>
      </c>
      <c r="D1030" s="1">
        <v>2356.143</v>
      </c>
      <c r="E1030" s="1">
        <v>2408.3789999999999</v>
      </c>
      <c r="F1030" s="1">
        <v>0</v>
      </c>
      <c r="G1030" s="1">
        <v>6050.6220000000003</v>
      </c>
      <c r="H1030" s="1">
        <v>5093.0929999999998</v>
      </c>
      <c r="I1030" s="1">
        <v>268.98899999999998</v>
      </c>
      <c r="J1030" s="1">
        <v>1732.8009999999999</v>
      </c>
      <c r="K1030" s="1">
        <v>1732.8009999999999</v>
      </c>
      <c r="L1030" s="1">
        <v>0</v>
      </c>
      <c r="M1030" s="1">
        <v>0</v>
      </c>
      <c r="N1030" s="1">
        <v>4317.82</v>
      </c>
      <c r="O1030" s="1">
        <v>4317.82</v>
      </c>
      <c r="P1030" s="1">
        <v>3186.0120000000002</v>
      </c>
      <c r="Q1030" s="1">
        <v>493.41</v>
      </c>
      <c r="R1030" s="1">
        <v>63</v>
      </c>
      <c r="T1030">
        <f>E1030/G1030</f>
        <v>0.39803825127400122</v>
      </c>
      <c r="U1030">
        <f>D1030/C1030</f>
        <v>0.22396707161435289</v>
      </c>
      <c r="V1030">
        <f>(E1030-F1030)/O1030</f>
        <v>0.55777660949275332</v>
      </c>
      <c r="W1030">
        <f>H1030/K1030</f>
        <v>2.9392255660055597</v>
      </c>
      <c r="X1030">
        <f>(H1030-I1030)/K1030</f>
        <v>2.7839919298292188</v>
      </c>
      <c r="Y1030">
        <f>(H1030-K1030)/G1030</f>
        <v>0.55536306845808581</v>
      </c>
      <c r="Z1030">
        <f>J1030/N1030</f>
        <v>0.4013138574558458</v>
      </c>
      <c r="AA1030">
        <f>J1030/G1030</f>
        <v>0.28638394532000178</v>
      </c>
      <c r="AB1030">
        <f>C1030/G1030</f>
        <v>1.7386711647166191</v>
      </c>
      <c r="AC1030">
        <f>C1030/(G1030-K1030)</f>
        <v>2.4364238350779246</v>
      </c>
      <c r="AD1030">
        <f>Q1030/E1030</f>
        <v>0.20487223979282332</v>
      </c>
      <c r="AE1030">
        <f>Q1030/J1030</f>
        <v>0.28474706558918195</v>
      </c>
      <c r="AF1030">
        <f>Q1030/G1030</f>
        <v>8.1546988061723238E-2</v>
      </c>
      <c r="AG1030">
        <f>Q1030/K1030</f>
        <v>0.28474706558918195</v>
      </c>
      <c r="AH1030" t="e">
        <f>Q1030/L1030</f>
        <v>#DIV/0!</v>
      </c>
      <c r="AI1030" s="1">
        <f>R1030</f>
        <v>63</v>
      </c>
      <c r="AJ1030" s="1">
        <f>P1030</f>
        <v>3186.0120000000002</v>
      </c>
    </row>
    <row r="1031" spans="1:36" x14ac:dyDescent="0.25">
      <c r="A1031" t="s">
        <v>194</v>
      </c>
      <c r="B1031">
        <v>2018</v>
      </c>
      <c r="C1031" s="1">
        <v>4077367</v>
      </c>
      <c r="D1031" s="1">
        <v>630050</v>
      </c>
      <c r="E1031" s="1">
        <v>378070</v>
      </c>
      <c r="G1031" s="1">
        <v>5430408</v>
      </c>
      <c r="H1031" s="1">
        <v>2843605</v>
      </c>
      <c r="I1031" s="1">
        <v>1605100</v>
      </c>
      <c r="J1031" s="1">
        <v>3286794</v>
      </c>
      <c r="K1031" s="1">
        <v>1856425</v>
      </c>
      <c r="L1031" s="1">
        <v>774092</v>
      </c>
      <c r="M1031" s="1">
        <v>590260</v>
      </c>
      <c r="N1031" s="1">
        <v>2143614</v>
      </c>
      <c r="O1031" s="1">
        <v>2143614</v>
      </c>
      <c r="P1031" s="1">
        <v>991577</v>
      </c>
      <c r="Q1031" s="1">
        <v>136752</v>
      </c>
      <c r="R1031" s="1">
        <v>59.3</v>
      </c>
      <c r="T1031">
        <f>E1031/G1031</f>
        <v>6.9620919827755118E-2</v>
      </c>
      <c r="U1031">
        <f>D1031/C1031</f>
        <v>0.15452374044328115</v>
      </c>
      <c r="V1031">
        <f>(E1031-F1031)/O1031</f>
        <v>0.17637037265104633</v>
      </c>
      <c r="W1031">
        <f>H1031/K1031</f>
        <v>1.531764008780317</v>
      </c>
      <c r="X1031">
        <f>(H1031-I1031)/K1031</f>
        <v>0.66714518496572717</v>
      </c>
      <c r="Y1031">
        <f>(H1031-K1031)/G1031</f>
        <v>0.18178744580517706</v>
      </c>
      <c r="Z1031">
        <f>J1031/N1031</f>
        <v>1.5332956399799591</v>
      </c>
      <c r="AA1031">
        <f>J1031/G1031</f>
        <v>0.60525728453552663</v>
      </c>
      <c r="AB1031">
        <f>C1031/G1031</f>
        <v>0.75083990005907475</v>
      </c>
      <c r="AC1031">
        <f>C1031/(G1031-K1031)</f>
        <v>1.1408467807485374</v>
      </c>
      <c r="AD1031">
        <f>Q1031/E1031</f>
        <v>0.36171079429735237</v>
      </c>
      <c r="AE1031">
        <f>Q1031/J1031</f>
        <v>4.1606501654804041E-2</v>
      </c>
      <c r="AF1031">
        <f>Q1031/G1031</f>
        <v>2.5182638210609589E-2</v>
      </c>
      <c r="AG1031">
        <f>Q1031/K1031</f>
        <v>7.3664166341220361E-2</v>
      </c>
      <c r="AH1031">
        <f>Q1031/L1031</f>
        <v>0.17666117205706816</v>
      </c>
      <c r="AI1031" s="1">
        <f>R1031</f>
        <v>59.3</v>
      </c>
      <c r="AJ1031" s="1">
        <f>P1031</f>
        <v>991577</v>
      </c>
    </row>
    <row r="1032" spans="1:36" x14ac:dyDescent="0.25">
      <c r="A1032" t="s">
        <v>194</v>
      </c>
      <c r="B1032">
        <v>2019</v>
      </c>
      <c r="C1032" s="1">
        <v>4294027</v>
      </c>
      <c r="D1032" s="1">
        <v>420329</v>
      </c>
      <c r="E1032" s="1">
        <v>750</v>
      </c>
      <c r="G1032" s="1">
        <v>6512902</v>
      </c>
      <c r="H1032" s="1">
        <v>3687097</v>
      </c>
      <c r="I1032" s="1">
        <v>2138897</v>
      </c>
      <c r="J1032" s="1">
        <v>4411591</v>
      </c>
      <c r="K1032" s="1">
        <v>3450687</v>
      </c>
      <c r="L1032" s="1">
        <v>843674</v>
      </c>
      <c r="M1032" s="1">
        <v>621421</v>
      </c>
      <c r="N1032" s="1">
        <v>2101311</v>
      </c>
      <c r="O1032" s="1">
        <v>2101311</v>
      </c>
      <c r="P1032" s="1">
        <v>955007</v>
      </c>
      <c r="Q1032" s="1">
        <v>-886732</v>
      </c>
      <c r="R1032" s="1">
        <v>34.799999999999997</v>
      </c>
      <c r="T1032">
        <f>E1032/G1032</f>
        <v>1.1515603950435612E-4</v>
      </c>
      <c r="U1032">
        <f>D1032/C1032</f>
        <v>9.7886901968711415E-2</v>
      </c>
      <c r="V1032">
        <f>(E1032-F1032)/O1032</f>
        <v>3.5692003706257663E-4</v>
      </c>
      <c r="W1032">
        <f>H1032/K1032</f>
        <v>1.0685109950569263</v>
      </c>
      <c r="X1032">
        <f>(H1032-I1032)/K1032</f>
        <v>0.44866428047516332</v>
      </c>
      <c r="Y1032">
        <f>(H1032-K1032)/G1032</f>
        <v>3.629871906563311E-2</v>
      </c>
      <c r="Z1032">
        <f>J1032/N1032</f>
        <v>2.0994469642999061</v>
      </c>
      <c r="AA1032">
        <f>J1032/G1032</f>
        <v>0.67736179663074925</v>
      </c>
      <c r="AB1032">
        <f>C1032/G1032</f>
        <v>0.65931085712636239</v>
      </c>
      <c r="AC1032">
        <f>C1032/(G1032-K1032)</f>
        <v>1.4022617615027031</v>
      </c>
      <c r="AD1032">
        <f>Q1032/E1032</f>
        <v>-1182.3093333333334</v>
      </c>
      <c r="AE1032">
        <f>Q1032/J1032</f>
        <v>-0.20100050072638193</v>
      </c>
      <c r="AF1032">
        <f>Q1032/G1032</f>
        <v>-0.13615006029570229</v>
      </c>
      <c r="AG1032">
        <f>Q1032/K1032</f>
        <v>-0.25697259705096404</v>
      </c>
      <c r="AH1032">
        <f>Q1032/L1032</f>
        <v>-1.051036300751238</v>
      </c>
      <c r="AI1032" s="1">
        <f>R1032</f>
        <v>34.799999999999997</v>
      </c>
      <c r="AJ1032" s="1">
        <f>P1032</f>
        <v>955007</v>
      </c>
    </row>
    <row r="1033" spans="1:36" x14ac:dyDescent="0.25">
      <c r="A1033" t="s">
        <v>194</v>
      </c>
      <c r="B1033">
        <v>2020</v>
      </c>
      <c r="C1033" s="1">
        <v>4634962</v>
      </c>
      <c r="D1033" s="1">
        <v>610493</v>
      </c>
      <c r="E1033" s="1">
        <v>167773</v>
      </c>
      <c r="G1033" s="1">
        <v>6116375</v>
      </c>
      <c r="H1033" s="1">
        <v>3264174</v>
      </c>
      <c r="I1033" s="1">
        <v>1802539</v>
      </c>
      <c r="J1033" s="1">
        <v>3848979</v>
      </c>
      <c r="K1033" s="1">
        <v>3026850</v>
      </c>
      <c r="L1033" s="1">
        <v>654055</v>
      </c>
      <c r="M1033" s="1">
        <v>447924</v>
      </c>
      <c r="N1033" s="1">
        <v>2267396</v>
      </c>
      <c r="O1033" s="1">
        <v>2267396</v>
      </c>
      <c r="P1033" s="1">
        <v>1126282</v>
      </c>
      <c r="Q1033" s="1">
        <v>630733</v>
      </c>
      <c r="R1033" s="1">
        <v>27</v>
      </c>
      <c r="T1033">
        <f>E1033/G1033</f>
        <v>2.7430136314401912E-2</v>
      </c>
      <c r="U1033">
        <f>D1033/C1033</f>
        <v>0.13171477997014863</v>
      </c>
      <c r="V1033">
        <f>(E1033-F1033)/O1033</f>
        <v>7.3993691441636131E-2</v>
      </c>
      <c r="W1033">
        <f>H1033/K1033</f>
        <v>1.0784062639377572</v>
      </c>
      <c r="X1033">
        <f>(H1033-I1033)/K1033</f>
        <v>0.48288980293043926</v>
      </c>
      <c r="Y1033">
        <f>(H1033-K1033)/G1033</f>
        <v>3.880141423637367E-2</v>
      </c>
      <c r="Z1033">
        <f>J1033/N1033</f>
        <v>1.697532764457554</v>
      </c>
      <c r="AA1033">
        <f>J1033/G1033</f>
        <v>0.62929087899286751</v>
      </c>
      <c r="AB1033">
        <f>C1033/G1033</f>
        <v>0.75779558970795613</v>
      </c>
      <c r="AC1033">
        <f>C1033/(G1033-K1033)</f>
        <v>1.5002183183499083</v>
      </c>
      <c r="AD1033">
        <f>Q1033/E1033</f>
        <v>3.7594428185703301</v>
      </c>
      <c r="AE1033">
        <f>Q1033/J1033</f>
        <v>0.16387021077537706</v>
      </c>
      <c r="AF1033">
        <f>Q1033/G1033</f>
        <v>0.10312202897958349</v>
      </c>
      <c r="AG1033">
        <f>Q1033/K1033</f>
        <v>0.20837933825594265</v>
      </c>
      <c r="AH1033">
        <f>Q1033/L1033</f>
        <v>0.96434244826505411</v>
      </c>
      <c r="AI1033" s="1">
        <f>R1033</f>
        <v>27</v>
      </c>
      <c r="AJ1033" s="1">
        <f>P1033</f>
        <v>1126282</v>
      </c>
    </row>
    <row r="1034" spans="1:36" x14ac:dyDescent="0.25">
      <c r="A1034" t="s">
        <v>194</v>
      </c>
      <c r="B1034">
        <v>2021</v>
      </c>
      <c r="C1034" s="1">
        <v>5393229</v>
      </c>
      <c r="D1034" s="1">
        <v>974993</v>
      </c>
      <c r="E1034" s="1">
        <v>640490</v>
      </c>
      <c r="G1034" s="1">
        <v>6575936</v>
      </c>
      <c r="H1034" s="1">
        <v>3427127</v>
      </c>
      <c r="I1034" s="1">
        <v>1597285</v>
      </c>
      <c r="J1034" s="1">
        <v>3695006</v>
      </c>
      <c r="K1034" s="1">
        <v>3044589</v>
      </c>
      <c r="L1034" s="1">
        <v>434027</v>
      </c>
      <c r="M1034" s="1">
        <v>249469</v>
      </c>
      <c r="N1034" s="1">
        <v>2880930</v>
      </c>
      <c r="O1034" s="1">
        <v>2880930</v>
      </c>
      <c r="P1034" s="1">
        <v>1533341</v>
      </c>
      <c r="Q1034" s="1">
        <v>1239725</v>
      </c>
      <c r="R1034" s="1">
        <v>21.6</v>
      </c>
      <c r="T1034">
        <f>E1034/G1034</f>
        <v>9.7399062277978371E-2</v>
      </c>
      <c r="U1034">
        <f>D1034/C1034</f>
        <v>0.18078093846932886</v>
      </c>
      <c r="V1034">
        <f>(E1034-F1034)/O1034</f>
        <v>0.22232057009368503</v>
      </c>
      <c r="W1034">
        <f>H1034/K1034</f>
        <v>1.1256452020289109</v>
      </c>
      <c r="X1034">
        <f>(H1034-I1034)/K1034</f>
        <v>0.60101445548151167</v>
      </c>
      <c r="Y1034">
        <f>(H1034-K1034)/G1034</f>
        <v>5.8172403137743432E-2</v>
      </c>
      <c r="Z1034">
        <f>J1034/N1034</f>
        <v>1.2825740299139514</v>
      </c>
      <c r="AA1034">
        <f>J1034/G1034</f>
        <v>0.56189810849740629</v>
      </c>
      <c r="AB1034">
        <f>C1034/G1034</f>
        <v>0.82014621188527381</v>
      </c>
      <c r="AC1034">
        <f>C1034/(G1034-K1034)</f>
        <v>1.5272441365858411</v>
      </c>
      <c r="AD1034">
        <f>Q1034/E1034</f>
        <v>1.9355883776483629</v>
      </c>
      <c r="AE1034">
        <f>Q1034/J1034</f>
        <v>0.33551366357727158</v>
      </c>
      <c r="AF1034">
        <f>Q1034/G1034</f>
        <v>0.18852449293910403</v>
      </c>
      <c r="AG1034">
        <f>Q1034/K1034</f>
        <v>0.40718960752994904</v>
      </c>
      <c r="AH1034">
        <f>Q1034/L1034</f>
        <v>2.8563315185460811</v>
      </c>
      <c r="AI1034" s="1">
        <f>R1034</f>
        <v>21.6</v>
      </c>
      <c r="AJ1034" s="1">
        <f>P1034</f>
        <v>1533341</v>
      </c>
    </row>
    <row r="1035" spans="1:36" x14ac:dyDescent="0.25">
      <c r="A1035" t="s">
        <v>194</v>
      </c>
      <c r="B1035">
        <v>2022</v>
      </c>
      <c r="C1035" s="1">
        <v>9534168</v>
      </c>
      <c r="D1035" s="1">
        <v>1231077</v>
      </c>
      <c r="E1035" s="1">
        <v>899539</v>
      </c>
      <c r="G1035" s="1">
        <v>10721118</v>
      </c>
      <c r="H1035" s="1">
        <v>7016992</v>
      </c>
      <c r="I1035" s="1">
        <v>2848174</v>
      </c>
      <c r="J1035" s="1">
        <v>7361312</v>
      </c>
      <c r="K1035" s="1">
        <v>6427058</v>
      </c>
      <c r="L1035" s="1">
        <v>717890</v>
      </c>
      <c r="M1035" s="1">
        <v>494071</v>
      </c>
      <c r="N1035" s="1">
        <v>3359806</v>
      </c>
      <c r="O1035" s="1">
        <v>3359806</v>
      </c>
      <c r="P1035" s="1">
        <v>1989932</v>
      </c>
      <c r="Q1035" s="1">
        <v>-983999</v>
      </c>
      <c r="R1035" s="1">
        <v>22.1</v>
      </c>
      <c r="T1035">
        <f>E1035/G1035</f>
        <v>8.3903469768731212E-2</v>
      </c>
      <c r="U1035">
        <f>D1035/C1035</f>
        <v>0.12912264604525533</v>
      </c>
      <c r="V1035">
        <f>(E1035-F1035)/O1035</f>
        <v>0.26773539900815702</v>
      </c>
      <c r="W1035">
        <f>H1035/K1035</f>
        <v>1.0917891203097903</v>
      </c>
      <c r="X1035">
        <f>(H1035-I1035)/K1035</f>
        <v>0.64863550321157826</v>
      </c>
      <c r="Y1035">
        <f>(H1035-K1035)/G1035</f>
        <v>5.5025418058079388E-2</v>
      </c>
      <c r="Z1035">
        <f>J1035/N1035</f>
        <v>2.1909931704390075</v>
      </c>
      <c r="AA1035">
        <f>J1035/G1035</f>
        <v>0.68661794413605004</v>
      </c>
      <c r="AB1035">
        <f>C1035/G1035</f>
        <v>0.88928859844654262</v>
      </c>
      <c r="AC1035">
        <f>C1035/(G1035-K1035)</f>
        <v>2.2203155056054178</v>
      </c>
      <c r="AD1035">
        <f>Q1035/E1035</f>
        <v>-1.093892538289057</v>
      </c>
      <c r="AE1035">
        <f>Q1035/J1035</f>
        <v>-0.13367168787303133</v>
      </c>
      <c r="AF1035">
        <f>Q1035/G1035</f>
        <v>-9.1781379516576542E-2</v>
      </c>
      <c r="AG1035">
        <f>Q1035/K1035</f>
        <v>-0.15310255485480292</v>
      </c>
      <c r="AH1035">
        <f>Q1035/L1035</f>
        <v>-1.3706821379319951</v>
      </c>
      <c r="AI1035" s="1">
        <f>R1035</f>
        <v>22.1</v>
      </c>
      <c r="AJ1035" s="1">
        <f>P1035</f>
        <v>1989932</v>
      </c>
    </row>
    <row r="1036" spans="1:36" x14ac:dyDescent="0.25">
      <c r="A1036" t="s">
        <v>194</v>
      </c>
      <c r="B1036">
        <v>2023</v>
      </c>
      <c r="C1036" s="1">
        <v>8970024</v>
      </c>
      <c r="D1036" s="1">
        <v>1263207</v>
      </c>
      <c r="E1036" s="1">
        <v>-702689</v>
      </c>
      <c r="G1036" s="1">
        <v>10911472</v>
      </c>
      <c r="H1036" s="1">
        <v>6987456</v>
      </c>
      <c r="I1036" s="1">
        <v>4594619</v>
      </c>
      <c r="J1036" s="1">
        <v>8596678</v>
      </c>
      <c r="K1036" s="1">
        <v>8196696</v>
      </c>
      <c r="L1036" s="1">
        <v>3358538</v>
      </c>
      <c r="M1036" s="1">
        <v>3248823</v>
      </c>
      <c r="N1036" s="1">
        <v>2314794</v>
      </c>
      <c r="O1036" s="1">
        <v>2314794</v>
      </c>
      <c r="P1036" s="1">
        <v>1156195</v>
      </c>
      <c r="Q1036" s="1">
        <v>126296</v>
      </c>
      <c r="R1036" s="1">
        <v>14.3</v>
      </c>
      <c r="T1036">
        <f>E1036/G1036</f>
        <v>-6.4399102155969418E-2</v>
      </c>
      <c r="U1036">
        <f>D1036/C1036</f>
        <v>0.14082537571805828</v>
      </c>
      <c r="V1036">
        <f>(E1036-F1036)/O1036</f>
        <v>-0.30356437765088384</v>
      </c>
      <c r="W1036">
        <f>H1036/K1036</f>
        <v>0.85247226443435253</v>
      </c>
      <c r="X1036">
        <f>(H1036-I1036)/K1036</f>
        <v>0.29192701547062377</v>
      </c>
      <c r="Y1036">
        <f>(H1036-K1036)/G1036</f>
        <v>-0.11082281107443616</v>
      </c>
      <c r="Z1036">
        <f>J1036/N1036</f>
        <v>3.7137982904742279</v>
      </c>
      <c r="AA1036">
        <f>J1036/G1036</f>
        <v>0.78785685377738224</v>
      </c>
      <c r="AB1036">
        <f>C1036/G1036</f>
        <v>0.82207276891697101</v>
      </c>
      <c r="AC1036">
        <f>C1036/(G1036-K1036)</f>
        <v>3.3041488505865679</v>
      </c>
      <c r="AD1036">
        <f>Q1036/E1036</f>
        <v>-0.17973242785926632</v>
      </c>
      <c r="AE1036">
        <f>Q1036/J1036</f>
        <v>1.469125632017391E-2</v>
      </c>
      <c r="AF1036">
        <f>Q1036/G1036</f>
        <v>1.1574606982449297E-2</v>
      </c>
      <c r="AG1036">
        <f>Q1036/K1036</f>
        <v>1.5408159580396784E-2</v>
      </c>
      <c r="AH1036">
        <f>Q1036/L1036</f>
        <v>3.7604457653895834E-2</v>
      </c>
      <c r="AI1036" s="1">
        <f>R1036</f>
        <v>14.3</v>
      </c>
      <c r="AJ1036" s="1">
        <f>P1036</f>
        <v>1156195</v>
      </c>
    </row>
    <row r="1037" spans="1:36" x14ac:dyDescent="0.25">
      <c r="A1037" t="s">
        <v>194</v>
      </c>
      <c r="B1037">
        <v>2024</v>
      </c>
      <c r="C1037" s="1">
        <v>10078519</v>
      </c>
      <c r="D1037" s="1">
        <v>778033</v>
      </c>
      <c r="E1037" s="1">
        <v>-112651</v>
      </c>
      <c r="G1037" s="1">
        <v>11081212</v>
      </c>
      <c r="H1037" s="1">
        <v>6812416</v>
      </c>
      <c r="I1037" s="1">
        <v>4158185</v>
      </c>
      <c r="J1037" s="1">
        <v>8683039</v>
      </c>
      <c r="K1037" s="1">
        <v>5103932</v>
      </c>
      <c r="L1037" s="1">
        <v>3767294</v>
      </c>
      <c r="M1037" s="1">
        <v>3248823</v>
      </c>
      <c r="N1037" s="1">
        <v>2398173</v>
      </c>
      <c r="O1037" s="1">
        <v>2398173</v>
      </c>
      <c r="P1037" s="1">
        <v>978954</v>
      </c>
      <c r="Q1037" s="1">
        <v>1738046</v>
      </c>
      <c r="R1037" s="1">
        <v>19.2</v>
      </c>
      <c r="T1037">
        <f>E1037/G1037</f>
        <v>-1.0165945746728787E-2</v>
      </c>
      <c r="U1037">
        <f>D1037/C1037</f>
        <v>7.7197155653524099E-2</v>
      </c>
      <c r="V1037">
        <f>(E1037-F1037)/O1037</f>
        <v>-4.6973675377047441E-2</v>
      </c>
      <c r="W1037">
        <f>H1037/K1037</f>
        <v>1.3347387857048252</v>
      </c>
      <c r="X1037">
        <f>(H1037-I1037)/K1037</f>
        <v>0.5200365130256438</v>
      </c>
      <c r="Y1037">
        <f>(H1037-K1037)/G1037</f>
        <v>0.1541784418527504</v>
      </c>
      <c r="Z1037">
        <f>J1037/N1037</f>
        <v>3.6206891662945084</v>
      </c>
      <c r="AA1037">
        <f>J1037/G1037</f>
        <v>0.78358206665480279</v>
      </c>
      <c r="AB1037">
        <f>C1037/G1037</f>
        <v>0.90951413978904116</v>
      </c>
      <c r="AC1037">
        <f>C1037/(G1037-K1037)</f>
        <v>1.6861380092617377</v>
      </c>
      <c r="AD1037">
        <f>Q1037/E1037</f>
        <v>-15.428589182519463</v>
      </c>
      <c r="AE1037">
        <f>Q1037/J1037</f>
        <v>0.20016563325351872</v>
      </c>
      <c r="AF1037">
        <f>Q1037/G1037</f>
        <v>0.15684620057805951</v>
      </c>
      <c r="AG1037">
        <f>Q1037/K1037</f>
        <v>0.34053079077072346</v>
      </c>
      <c r="AH1037">
        <f>Q1037/L1037</f>
        <v>0.46135130414562814</v>
      </c>
      <c r="AI1037" s="1">
        <f>R1037</f>
        <v>19.2</v>
      </c>
      <c r="AJ1037" s="1">
        <f>P1037</f>
        <v>978954</v>
      </c>
    </row>
    <row r="1038" spans="1:36" x14ac:dyDescent="0.25">
      <c r="A1038" t="s">
        <v>162</v>
      </c>
      <c r="B1038">
        <v>2018</v>
      </c>
      <c r="C1038" s="1">
        <v>684841</v>
      </c>
      <c r="D1038" s="1">
        <v>81240</v>
      </c>
      <c r="E1038" s="1">
        <v>84328</v>
      </c>
      <c r="G1038" s="1">
        <v>2408791</v>
      </c>
      <c r="H1038" s="1">
        <v>236022</v>
      </c>
      <c r="I1038" s="1">
        <v>18368</v>
      </c>
      <c r="J1038" s="1">
        <v>374624</v>
      </c>
      <c r="K1038" s="1">
        <v>134097</v>
      </c>
      <c r="L1038" s="1">
        <v>31550</v>
      </c>
      <c r="M1038" s="1">
        <v>26503</v>
      </c>
      <c r="N1038" s="1">
        <v>2034167</v>
      </c>
      <c r="O1038" s="1">
        <v>2034167</v>
      </c>
      <c r="P1038" s="1">
        <v>458395</v>
      </c>
      <c r="Q1038" s="1">
        <v>146800</v>
      </c>
      <c r="R1038" s="1">
        <v>28</v>
      </c>
      <c r="T1038">
        <f>E1038/G1038</f>
        <v>3.5008433691424451E-2</v>
      </c>
      <c r="U1038">
        <f>D1038/C1038</f>
        <v>0.11862607524958348</v>
      </c>
      <c r="V1038">
        <f>(E1038-F1038)/O1038</f>
        <v>4.1455790011341254E-2</v>
      </c>
      <c r="W1038">
        <f>H1038/K1038</f>
        <v>1.7600841182129354</v>
      </c>
      <c r="X1038">
        <f>(H1038-I1038)/K1038</f>
        <v>1.6231086452344199</v>
      </c>
      <c r="Y1038">
        <f>(H1038-K1038)/G1038</f>
        <v>4.231375822975094E-2</v>
      </c>
      <c r="Z1038">
        <f>J1038/N1038</f>
        <v>0.1841658034959765</v>
      </c>
      <c r="AA1038">
        <f>J1038/G1038</f>
        <v>0.15552366311564597</v>
      </c>
      <c r="AB1038">
        <f>C1038/G1038</f>
        <v>0.28430901643189466</v>
      </c>
      <c r="AC1038">
        <f>C1038/(G1038-K1038)</f>
        <v>0.3010695064918622</v>
      </c>
      <c r="AD1038">
        <f>Q1038/E1038</f>
        <v>1.7408215539322645</v>
      </c>
      <c r="AE1038">
        <f>Q1038/J1038</f>
        <v>0.39185957119671994</v>
      </c>
      <c r="AF1038">
        <f>Q1038/G1038</f>
        <v>6.0943435939440162E-2</v>
      </c>
      <c r="AG1038">
        <f>Q1038/K1038</f>
        <v>1.0947299343012893</v>
      </c>
      <c r="AH1038">
        <f>Q1038/L1038</f>
        <v>4.6529318541996831</v>
      </c>
      <c r="AI1038" s="1">
        <f>R1038</f>
        <v>28</v>
      </c>
      <c r="AJ1038" s="1">
        <f>P1038</f>
        <v>458395</v>
      </c>
    </row>
    <row r="1039" spans="1:36" x14ac:dyDescent="0.25">
      <c r="A1039" t="s">
        <v>162</v>
      </c>
      <c r="B1039">
        <v>2019</v>
      </c>
      <c r="C1039" s="1">
        <v>677550</v>
      </c>
      <c r="D1039" s="1">
        <v>44058</v>
      </c>
      <c r="E1039" s="1">
        <v>-92289</v>
      </c>
      <c r="G1039" s="1">
        <v>2395526</v>
      </c>
      <c r="H1039" s="1">
        <v>227296</v>
      </c>
      <c r="I1039" s="1">
        <v>17181</v>
      </c>
      <c r="J1039" s="1">
        <v>470208</v>
      </c>
      <c r="K1039" s="1">
        <v>186302</v>
      </c>
      <c r="L1039" s="1">
        <v>89184</v>
      </c>
      <c r="M1039" s="1">
        <v>57312</v>
      </c>
      <c r="N1039" s="1">
        <v>1925318</v>
      </c>
      <c r="O1039" s="1">
        <v>1925318</v>
      </c>
      <c r="P1039" s="1">
        <v>349546</v>
      </c>
      <c r="Q1039" s="1">
        <v>116273</v>
      </c>
      <c r="R1039" s="1">
        <v>24</v>
      </c>
      <c r="T1039">
        <f>E1039/G1039</f>
        <v>-3.8525568079828813E-2</v>
      </c>
      <c r="U1039">
        <f>D1039/C1039</f>
        <v>6.5025459375691833E-2</v>
      </c>
      <c r="V1039">
        <f>(E1039-F1039)/O1039</f>
        <v>-4.793441914530483E-2</v>
      </c>
      <c r="W1039">
        <f>H1039/K1039</f>
        <v>1.2200405792745113</v>
      </c>
      <c r="X1039">
        <f>(H1039-I1039)/K1039</f>
        <v>1.1278193470816202</v>
      </c>
      <c r="Y1039">
        <f>(H1039-K1039)/G1039</f>
        <v>1.711273432223236E-2</v>
      </c>
      <c r="Z1039">
        <f>J1039/N1039</f>
        <v>0.24422355164185863</v>
      </c>
      <c r="AA1039">
        <f>J1039/G1039</f>
        <v>0.19628590964990569</v>
      </c>
      <c r="AB1039">
        <f>C1039/G1039</f>
        <v>0.28283976045344528</v>
      </c>
      <c r="AC1039">
        <f>C1039/(G1039-K1039)</f>
        <v>0.30669139933297845</v>
      </c>
      <c r="AD1039">
        <f>Q1039/E1039</f>
        <v>-1.2598792922233419</v>
      </c>
      <c r="AE1039">
        <f>Q1039/J1039</f>
        <v>0.24727992718116237</v>
      </c>
      <c r="AF1039">
        <f>Q1039/G1039</f>
        <v>4.85375654449169E-2</v>
      </c>
      <c r="AG1039">
        <f>Q1039/K1039</f>
        <v>0.62411031550922691</v>
      </c>
      <c r="AH1039">
        <f>Q1039/L1039</f>
        <v>1.3037428238249014</v>
      </c>
      <c r="AI1039" s="1">
        <f>R1039</f>
        <v>24</v>
      </c>
      <c r="AJ1039" s="1">
        <f>P1039</f>
        <v>349546</v>
      </c>
    </row>
    <row r="1040" spans="1:36" x14ac:dyDescent="0.25">
      <c r="A1040" t="s">
        <v>162</v>
      </c>
      <c r="B1040">
        <v>2020</v>
      </c>
      <c r="C1040" s="1">
        <v>598632</v>
      </c>
      <c r="D1040" s="1">
        <v>-51636</v>
      </c>
      <c r="E1040" s="1">
        <v>-41241</v>
      </c>
      <c r="G1040" s="1">
        <v>2449908</v>
      </c>
      <c r="H1040" s="1">
        <v>306726</v>
      </c>
      <c r="I1040" s="1">
        <v>25316</v>
      </c>
      <c r="J1040" s="1">
        <v>565486</v>
      </c>
      <c r="K1040" s="1">
        <v>233061</v>
      </c>
      <c r="L1040" s="1">
        <v>199189</v>
      </c>
      <c r="M1040" s="1">
        <v>109623</v>
      </c>
      <c r="N1040" s="1">
        <v>1884422</v>
      </c>
      <c r="O1040" s="1">
        <v>1884422</v>
      </c>
      <c r="P1040" s="1">
        <v>308650</v>
      </c>
      <c r="Q1040" s="1">
        <v>58646</v>
      </c>
      <c r="R1040" s="1">
        <v>19.100000000000001</v>
      </c>
      <c r="T1040">
        <f>E1040/G1040</f>
        <v>-1.6833693346852207E-2</v>
      </c>
      <c r="U1040">
        <f>D1040/C1040</f>
        <v>-8.6256665196648361E-2</v>
      </c>
      <c r="V1040">
        <f>(E1040-F1040)/O1040</f>
        <v>-2.1885225283933215E-2</v>
      </c>
      <c r="W1040">
        <f>H1040/K1040</f>
        <v>1.3160760487597667</v>
      </c>
      <c r="X1040">
        <f>(H1040-I1040)/K1040</f>
        <v>1.2074521262673721</v>
      </c>
      <c r="Y1040">
        <f>(H1040-K1040)/G1040</f>
        <v>3.0068476040732959E-2</v>
      </c>
      <c r="Z1040">
        <f>J1040/N1040</f>
        <v>0.3000845882716292</v>
      </c>
      <c r="AA1040">
        <f>J1040/G1040</f>
        <v>0.23081927974438224</v>
      </c>
      <c r="AB1040">
        <f>C1040/G1040</f>
        <v>0.24434876738228536</v>
      </c>
      <c r="AC1040">
        <f>C1040/(G1040-K1040)</f>
        <v>0.27003758040135384</v>
      </c>
      <c r="AD1040">
        <f>Q1040/E1040</f>
        <v>-1.4220314735336195</v>
      </c>
      <c r="AE1040">
        <f>Q1040/J1040</f>
        <v>0.10370902197401881</v>
      </c>
      <c r="AF1040">
        <f>Q1040/G1040</f>
        <v>2.3938041755037331E-2</v>
      </c>
      <c r="AG1040">
        <f>Q1040/K1040</f>
        <v>0.25163369246677908</v>
      </c>
      <c r="AH1040">
        <f>Q1040/L1040</f>
        <v>0.29442388886936527</v>
      </c>
      <c r="AI1040" s="1">
        <f>R1040</f>
        <v>19.100000000000001</v>
      </c>
      <c r="AJ1040" s="1">
        <f>P1040</f>
        <v>308650</v>
      </c>
    </row>
    <row r="1041" spans="1:36" x14ac:dyDescent="0.25">
      <c r="A1041" t="s">
        <v>162</v>
      </c>
      <c r="B1041">
        <v>2021</v>
      </c>
      <c r="C1041" s="1">
        <v>197547</v>
      </c>
      <c r="D1041" s="1">
        <v>-206126</v>
      </c>
      <c r="E1041" s="1">
        <v>-229824</v>
      </c>
      <c r="G1041" s="1">
        <v>2605871</v>
      </c>
      <c r="H1041" s="1">
        <v>207252</v>
      </c>
      <c r="I1041" s="1">
        <v>18515</v>
      </c>
      <c r="J1041" s="1">
        <v>624113</v>
      </c>
      <c r="K1041" s="1">
        <v>207274</v>
      </c>
      <c r="L1041" s="1">
        <v>245805</v>
      </c>
      <c r="M1041" s="1">
        <v>157185</v>
      </c>
      <c r="N1041" s="1">
        <v>1981758</v>
      </c>
      <c r="O1041" s="1">
        <v>1981758</v>
      </c>
      <c r="P1041" s="1">
        <v>76290</v>
      </c>
      <c r="Q1041" s="1">
        <v>-115327</v>
      </c>
      <c r="R1041" s="1">
        <v>29.2</v>
      </c>
      <c r="T1041">
        <f>E1041/G1041</f>
        <v>-8.8194695746642876E-2</v>
      </c>
      <c r="U1041">
        <f>D1041/C1041</f>
        <v>-1.0434276400046572</v>
      </c>
      <c r="V1041">
        <f>(E1041-F1041)/O1041</f>
        <v>-0.11596976018262573</v>
      </c>
      <c r="W1041">
        <f>H1041/K1041</f>
        <v>0.99989386030085781</v>
      </c>
      <c r="X1041">
        <f>(H1041-I1041)/K1041</f>
        <v>0.91056765440913956</v>
      </c>
      <c r="Y1041">
        <f>(H1041-K1041)/G1041</f>
        <v>-8.4424747042351675E-6</v>
      </c>
      <c r="Z1041">
        <f>J1041/N1041</f>
        <v>0.3149289671090012</v>
      </c>
      <c r="AA1041">
        <f>J1041/G1041</f>
        <v>0.23950264614019651</v>
      </c>
      <c r="AB1041">
        <f>C1041/G1041</f>
        <v>7.5808434108979306E-2</v>
      </c>
      <c r="AC1041">
        <f>C1041/(G1041-K1041)</f>
        <v>8.2359395930204193E-2</v>
      </c>
      <c r="AD1041">
        <f>Q1041/E1041</f>
        <v>0.50180572960178227</v>
      </c>
      <c r="AE1041">
        <f>Q1041/J1041</f>
        <v>-0.18478544750710207</v>
      </c>
      <c r="AF1041">
        <f>Q1041/G1041</f>
        <v>-4.4256603646151325E-2</v>
      </c>
      <c r="AG1041">
        <f>Q1041/K1041</f>
        <v>-0.55639877649874081</v>
      </c>
      <c r="AH1041">
        <f>Q1041/L1041</f>
        <v>-0.46918085474258048</v>
      </c>
      <c r="AI1041" s="1">
        <f>R1041</f>
        <v>29.2</v>
      </c>
      <c r="AJ1041" s="1">
        <f>P1041</f>
        <v>76290</v>
      </c>
    </row>
    <row r="1042" spans="1:36" x14ac:dyDescent="0.25">
      <c r="A1042" t="s">
        <v>162</v>
      </c>
      <c r="B1042">
        <v>2022</v>
      </c>
      <c r="C1042" s="1">
        <v>386075</v>
      </c>
      <c r="D1042" s="1">
        <v>-142413</v>
      </c>
      <c r="E1042" s="1">
        <v>-193630</v>
      </c>
      <c r="G1042" s="1">
        <v>2942414</v>
      </c>
      <c r="H1042" s="1">
        <v>211140</v>
      </c>
      <c r="I1042" s="1">
        <v>22778</v>
      </c>
      <c r="J1042" s="1">
        <v>746293</v>
      </c>
      <c r="K1042" s="1">
        <v>276831</v>
      </c>
      <c r="L1042" s="1">
        <v>306416</v>
      </c>
      <c r="M1042" s="1">
        <v>176982</v>
      </c>
      <c r="N1042" s="1">
        <v>2196121</v>
      </c>
      <c r="O1042" s="1">
        <v>2196121</v>
      </c>
      <c r="P1042" s="1">
        <v>-109854</v>
      </c>
      <c r="Q1042" s="1">
        <v>-48375</v>
      </c>
      <c r="R1042" s="1">
        <v>34</v>
      </c>
      <c r="T1042">
        <f>E1042/G1042</f>
        <v>-6.5806511252325478E-2</v>
      </c>
      <c r="U1042">
        <f>D1042/C1042</f>
        <v>-0.36887392346046755</v>
      </c>
      <c r="V1042">
        <f>(E1042-F1042)/O1042</f>
        <v>-8.8169094507998425E-2</v>
      </c>
      <c r="W1042">
        <f>H1042/K1042</f>
        <v>0.76270359894664974</v>
      </c>
      <c r="X1042">
        <f>(H1042-I1042)/K1042</f>
        <v>0.68042235154299913</v>
      </c>
      <c r="Y1042">
        <f>(H1042-K1042)/G1042</f>
        <v>-2.2325546303137492E-2</v>
      </c>
      <c r="Z1042">
        <f>J1042/N1042</f>
        <v>0.33982326110446553</v>
      </c>
      <c r="AA1042">
        <f>J1042/G1042</f>
        <v>0.25363290142039835</v>
      </c>
      <c r="AB1042">
        <f>C1042/G1042</f>
        <v>0.13121029195755593</v>
      </c>
      <c r="AC1042">
        <f>C1042/(G1042-K1042)</f>
        <v>0.14483698312901905</v>
      </c>
      <c r="AD1042">
        <f>Q1042/E1042</f>
        <v>0.24983215410835097</v>
      </c>
      <c r="AE1042">
        <f>Q1042/J1042</f>
        <v>-6.4820385559023058E-2</v>
      </c>
      <c r="AF1042">
        <f>Q1042/G1042</f>
        <v>-1.6440582460523909E-2</v>
      </c>
      <c r="AG1042">
        <f>Q1042/K1042</f>
        <v>-0.17474560291296856</v>
      </c>
      <c r="AH1042">
        <f>Q1042/L1042</f>
        <v>-0.15787360973317321</v>
      </c>
      <c r="AI1042" s="1">
        <f>R1042</f>
        <v>34</v>
      </c>
      <c r="AJ1042" s="1">
        <f>P1042</f>
        <v>-109854</v>
      </c>
    </row>
    <row r="1043" spans="1:36" x14ac:dyDescent="0.25">
      <c r="A1043" t="s">
        <v>162</v>
      </c>
      <c r="B1043">
        <v>2023</v>
      </c>
      <c r="C1043" s="1">
        <v>719766</v>
      </c>
      <c r="D1043" s="1">
        <v>-138557</v>
      </c>
      <c r="E1043" s="1">
        <v>-91152</v>
      </c>
      <c r="G1043" s="1">
        <v>2822203</v>
      </c>
      <c r="H1043" s="1">
        <v>170275</v>
      </c>
      <c r="I1043" s="1">
        <v>41987</v>
      </c>
      <c r="J1043" s="1">
        <v>974293</v>
      </c>
      <c r="K1043" s="1">
        <v>220576</v>
      </c>
      <c r="L1043" s="1">
        <v>247887</v>
      </c>
      <c r="M1043" s="1">
        <v>203926</v>
      </c>
      <c r="N1043" s="1">
        <v>1847910</v>
      </c>
      <c r="O1043" s="1">
        <v>1847910</v>
      </c>
      <c r="P1043" s="1">
        <v>-203689</v>
      </c>
      <c r="Q1043" s="1">
        <v>-30745</v>
      </c>
      <c r="R1043" s="1">
        <v>34.299999999999997</v>
      </c>
      <c r="T1043">
        <f>E1043/G1043</f>
        <v>-3.2298172739522991E-2</v>
      </c>
      <c r="U1043">
        <f>D1043/C1043</f>
        <v>-0.19250284120116815</v>
      </c>
      <c r="V1043">
        <f>(E1043-F1043)/O1043</f>
        <v>-4.9327077617416434E-2</v>
      </c>
      <c r="W1043">
        <f>H1043/K1043</f>
        <v>0.77195615116785143</v>
      </c>
      <c r="X1043">
        <f>(H1043-I1043)/K1043</f>
        <v>0.58160452633106052</v>
      </c>
      <c r="Y1043">
        <f>(H1043-K1043)/G1043</f>
        <v>-1.7823310371365916E-2</v>
      </c>
      <c r="Z1043">
        <f>J1043/N1043</f>
        <v>0.52724050413710621</v>
      </c>
      <c r="AA1043">
        <f>J1043/G1043</f>
        <v>0.34522428046458742</v>
      </c>
      <c r="AB1043">
        <f>C1043/G1043</f>
        <v>0.25503693391297505</v>
      </c>
      <c r="AC1043">
        <f>C1043/(G1043-K1043)</f>
        <v>0.27665995163795581</v>
      </c>
      <c r="AD1043">
        <f>Q1043/E1043</f>
        <v>0.33729375109706861</v>
      </c>
      <c r="AE1043">
        <f>Q1043/J1043</f>
        <v>-3.1556215635337621E-2</v>
      </c>
      <c r="AF1043">
        <f>Q1043/G1043</f>
        <v>-1.0893971836894795E-2</v>
      </c>
      <c r="AG1043">
        <f>Q1043/K1043</f>
        <v>-0.13938506455824751</v>
      </c>
      <c r="AH1043">
        <f>Q1043/L1043</f>
        <v>-0.12402828708242061</v>
      </c>
      <c r="AI1043" s="1">
        <f>R1043</f>
        <v>34.299999999999997</v>
      </c>
      <c r="AJ1043" s="1">
        <f>P1043</f>
        <v>-203689</v>
      </c>
    </row>
    <row r="1044" spans="1:36" x14ac:dyDescent="0.25">
      <c r="A1044" t="s">
        <v>162</v>
      </c>
      <c r="B1044">
        <v>2024</v>
      </c>
      <c r="C1044" s="1">
        <v>927369</v>
      </c>
      <c r="D1044" s="1">
        <v>-74391</v>
      </c>
      <c r="E1044" s="1">
        <v>-99520</v>
      </c>
      <c r="G1044" s="1">
        <v>3357654</v>
      </c>
      <c r="H1044" s="1">
        <v>308541</v>
      </c>
      <c r="I1044" s="1">
        <v>38866</v>
      </c>
      <c r="J1044" s="1">
        <v>1135543</v>
      </c>
      <c r="K1044" s="1">
        <v>338674</v>
      </c>
      <c r="L1044" s="1">
        <v>223128</v>
      </c>
      <c r="M1044" s="1">
        <v>114521</v>
      </c>
      <c r="N1044" s="1">
        <v>2222111</v>
      </c>
      <c r="O1044" s="1">
        <v>2222111</v>
      </c>
      <c r="P1044" s="1">
        <v>-312640</v>
      </c>
      <c r="Q1044" s="1">
        <v>-7665</v>
      </c>
      <c r="R1044" s="1">
        <v>23</v>
      </c>
      <c r="T1044">
        <f>E1044/G1044</f>
        <v>-2.9639742510693477E-2</v>
      </c>
      <c r="U1044">
        <f>D1044/C1044</f>
        <v>-8.0217259796262333E-2</v>
      </c>
      <c r="V1044">
        <f>(E1044-F1044)/O1044</f>
        <v>-4.4786241551389647E-2</v>
      </c>
      <c r="W1044">
        <f>H1044/K1044</f>
        <v>0.91102653289003588</v>
      </c>
      <c r="X1044">
        <f>(H1044-I1044)/K1044</f>
        <v>0.79626720681245089</v>
      </c>
      <c r="Y1044">
        <f>(H1044-K1044)/G1044</f>
        <v>-8.974420830734792E-3</v>
      </c>
      <c r="Z1044">
        <f>J1044/N1044</f>
        <v>0.51101992654732364</v>
      </c>
      <c r="AA1044">
        <f>J1044/G1044</f>
        <v>0.33819535902150727</v>
      </c>
      <c r="AB1044">
        <f>C1044/G1044</f>
        <v>0.27619552223070037</v>
      </c>
      <c r="AC1044">
        <f>C1044/(G1044-K1044)</f>
        <v>0.30717957720819616</v>
      </c>
      <c r="AD1044">
        <f>Q1044/E1044</f>
        <v>7.7019694533762062E-2</v>
      </c>
      <c r="AE1044">
        <f>Q1044/J1044</f>
        <v>-6.7500746338976158E-3</v>
      </c>
      <c r="AF1044">
        <f>Q1044/G1044</f>
        <v>-2.2828439142329733E-3</v>
      </c>
      <c r="AG1044">
        <f>Q1044/K1044</f>
        <v>-2.2632383944442148E-2</v>
      </c>
      <c r="AH1044">
        <f>Q1044/L1044</f>
        <v>-3.4352479294396041E-2</v>
      </c>
      <c r="AI1044" s="1">
        <f>R1044</f>
        <v>23</v>
      </c>
      <c r="AJ1044" s="1">
        <f>P1044</f>
        <v>-312640</v>
      </c>
    </row>
    <row r="1045" spans="1:36" x14ac:dyDescent="0.25">
      <c r="A1045" t="s">
        <v>67</v>
      </c>
      <c r="B1045">
        <v>2018</v>
      </c>
      <c r="C1045" s="1">
        <v>114879</v>
      </c>
      <c r="D1045" s="1">
        <f>287032-41242+183</f>
        <v>245973</v>
      </c>
      <c r="E1045" s="1">
        <v>262367</v>
      </c>
      <c r="G1045" s="1">
        <v>1919841</v>
      </c>
      <c r="H1045" s="1">
        <v>1126707</v>
      </c>
      <c r="I1045" s="1">
        <v>0</v>
      </c>
      <c r="J1045" s="1">
        <f>1088+K1045</f>
        <v>39097</v>
      </c>
      <c r="K1045" s="1">
        <v>38009</v>
      </c>
      <c r="L1045" s="1">
        <v>0</v>
      </c>
      <c r="M1045" s="1">
        <v>0</v>
      </c>
      <c r="N1045" s="1">
        <v>1880744</v>
      </c>
      <c r="O1045" s="1">
        <v>1880744</v>
      </c>
      <c r="P1045" s="1">
        <v>1869606</v>
      </c>
      <c r="Q1045" s="1">
        <v>23848</v>
      </c>
      <c r="R1045" s="1">
        <v>764.9</v>
      </c>
      <c r="T1045">
        <f>E1045/G1045</f>
        <v>0.13666079638886763</v>
      </c>
      <c r="U1045">
        <f>D1045/C1045</f>
        <v>2.141148512783015</v>
      </c>
      <c r="V1045">
        <f>(E1045-F1045)/O1045</f>
        <v>0.13950170783477178</v>
      </c>
      <c r="W1045">
        <f>H1045/K1045</f>
        <v>29.643163461285486</v>
      </c>
      <c r="X1045">
        <f>(H1045-I1045)/K1045</f>
        <v>29.643163461285486</v>
      </c>
      <c r="Y1045">
        <f>(H1045-K1045)/G1045</f>
        <v>0.56707716941142516</v>
      </c>
      <c r="Z1045">
        <f>J1045/N1045</f>
        <v>2.0788049835596976E-2</v>
      </c>
      <c r="AA1045">
        <f>J1045/G1045</f>
        <v>2.0364707285655426E-2</v>
      </c>
      <c r="AB1045">
        <f>C1045/G1045</f>
        <v>5.9837767815147193E-2</v>
      </c>
      <c r="AC1045">
        <f>C1045/(G1045-K1045)</f>
        <v>6.1046363331051866E-2</v>
      </c>
      <c r="AD1045">
        <f>Q1045/E1045</f>
        <v>9.0895577568825353E-2</v>
      </c>
      <c r="AE1045">
        <f>Q1045/J1045</f>
        <v>0.60997007443026319</v>
      </c>
      <c r="AF1045">
        <f>Q1045/G1045</f>
        <v>1.2421862018781763E-2</v>
      </c>
      <c r="AG1045">
        <f>Q1045/K1045</f>
        <v>0.62743034544449994</v>
      </c>
      <c r="AH1045" t="e">
        <f>Q1045/L1045</f>
        <v>#DIV/0!</v>
      </c>
      <c r="AI1045" s="1">
        <f>R1045</f>
        <v>764.9</v>
      </c>
      <c r="AJ1045" s="1">
        <f>P1045</f>
        <v>1869606</v>
      </c>
    </row>
    <row r="1046" spans="1:36" x14ac:dyDescent="0.25">
      <c r="A1046" t="s">
        <v>67</v>
      </c>
      <c r="B1046">
        <v>2019</v>
      </c>
      <c r="C1046" s="1">
        <v>16550</v>
      </c>
      <c r="D1046" s="1">
        <f>222118-139447+2412</f>
        <v>85083</v>
      </c>
      <c r="E1046" s="1">
        <v>244642</v>
      </c>
      <c r="G1046" s="1">
        <v>2381396</v>
      </c>
      <c r="H1046" s="1">
        <v>566741</v>
      </c>
      <c r="I1046" s="1">
        <v>0</v>
      </c>
      <c r="J1046" s="1">
        <f>22058+K1046</f>
        <v>294228</v>
      </c>
      <c r="K1046" s="1">
        <v>272170</v>
      </c>
      <c r="L1046" s="1">
        <v>0</v>
      </c>
      <c r="M1046" s="1">
        <v>0</v>
      </c>
      <c r="N1046" s="1">
        <v>2087167</v>
      </c>
      <c r="O1046" s="1">
        <v>2087167</v>
      </c>
      <c r="P1046" s="1">
        <v>2076030</v>
      </c>
      <c r="Q1046" s="1">
        <v>-9094</v>
      </c>
      <c r="R1046" s="1">
        <v>707.9</v>
      </c>
      <c r="T1046">
        <f>E1046/G1046</f>
        <v>0.10273049925337911</v>
      </c>
      <c r="U1046">
        <f>D1046/C1046</f>
        <v>5.1409667673716015</v>
      </c>
      <c r="V1046">
        <f>(E1046-F1046)/O1046</f>
        <v>0.11721247030065156</v>
      </c>
      <c r="W1046">
        <f>H1046/K1046</f>
        <v>2.0823051769114893</v>
      </c>
      <c r="X1046">
        <f>(H1046-I1046)/K1046</f>
        <v>2.0823051769114893</v>
      </c>
      <c r="Y1046">
        <f>(H1046-K1046)/G1046</f>
        <v>0.12369677281728868</v>
      </c>
      <c r="Z1046">
        <f>J1046/N1046</f>
        <v>0.14097003258483867</v>
      </c>
      <c r="AA1046">
        <f>J1046/G1046</f>
        <v>0.12355273965354775</v>
      </c>
      <c r="AB1046">
        <f>C1046/G1046</f>
        <v>6.9497051309400032E-3</v>
      </c>
      <c r="AC1046">
        <f>C1046/(G1046-K1046)</f>
        <v>7.8464801780368729E-3</v>
      </c>
      <c r="AD1046">
        <f>Q1046/E1046</f>
        <v>-3.7172684984589727E-2</v>
      </c>
      <c r="AE1046">
        <f>Q1046/J1046</f>
        <v>-3.0908003317155403E-2</v>
      </c>
      <c r="AF1046">
        <f>Q1046/G1046</f>
        <v>-3.818768487055492E-3</v>
      </c>
      <c r="AG1046">
        <f>Q1046/K1046</f>
        <v>-3.3412940441635744E-2</v>
      </c>
      <c r="AH1046" t="e">
        <f>Q1046/L1046</f>
        <v>#DIV/0!</v>
      </c>
      <c r="AI1046" s="1">
        <f>R1046</f>
        <v>707.9</v>
      </c>
      <c r="AJ1046" s="1">
        <f>P1046</f>
        <v>2076030</v>
      </c>
    </row>
    <row r="1047" spans="1:36" x14ac:dyDescent="0.25">
      <c r="A1047" t="s">
        <v>67</v>
      </c>
      <c r="B1047">
        <v>2020</v>
      </c>
      <c r="C1047" s="1">
        <v>61052</v>
      </c>
      <c r="D1047" s="1">
        <f>230293-112347+20599</f>
        <v>138545</v>
      </c>
      <c r="E1047" s="1">
        <v>184877</v>
      </c>
      <c r="G1047" s="1">
        <v>2349547</v>
      </c>
      <c r="H1047" s="1">
        <v>356076</v>
      </c>
      <c r="I1047" s="1">
        <v>0</v>
      </c>
      <c r="J1047" s="1">
        <v>77484</v>
      </c>
      <c r="K1047" s="1">
        <v>38960</v>
      </c>
      <c r="L1047" s="1">
        <v>0</v>
      </c>
      <c r="M1047" s="1">
        <v>0</v>
      </c>
      <c r="N1047" s="1">
        <v>2272064</v>
      </c>
      <c r="O1047" s="1">
        <v>2272064</v>
      </c>
      <c r="P1047" s="1">
        <v>2260927</v>
      </c>
      <c r="Q1047" s="1">
        <v>16575</v>
      </c>
      <c r="R1047" s="1">
        <v>802.2</v>
      </c>
      <c r="T1047">
        <f>E1047/G1047</f>
        <v>7.868623185660896E-2</v>
      </c>
      <c r="U1047">
        <f>D1047/C1047</f>
        <v>2.2692950271899366</v>
      </c>
      <c r="V1047">
        <f>(E1047-F1047)/O1047</f>
        <v>8.1369626911917972E-2</v>
      </c>
      <c r="W1047">
        <f>H1047/K1047</f>
        <v>9.1395277207392205</v>
      </c>
      <c r="X1047">
        <f>(H1047-I1047)/K1047</f>
        <v>9.1395277207392205</v>
      </c>
      <c r="Y1047">
        <f>(H1047-K1047)/G1047</f>
        <v>0.13496899615117297</v>
      </c>
      <c r="Z1047">
        <f>J1047/N1047</f>
        <v>3.4102912594011436E-2</v>
      </c>
      <c r="AA1047">
        <f>J1047/G1047</f>
        <v>3.2978271981790534E-2</v>
      </c>
      <c r="AB1047">
        <f>C1047/G1047</f>
        <v>2.598458341118522E-2</v>
      </c>
      <c r="AC1047">
        <f>C1047/(G1047-K1047)</f>
        <v>2.6422722883838609E-2</v>
      </c>
      <c r="AD1047">
        <f>Q1047/E1047</f>
        <v>8.9654202523840168E-2</v>
      </c>
      <c r="AE1047">
        <f>Q1047/J1047</f>
        <v>0.21391513086572711</v>
      </c>
      <c r="AF1047">
        <f>Q1047/G1047</f>
        <v>7.0545513667102638E-3</v>
      </c>
      <c r="AG1047">
        <f>Q1047/K1047</f>
        <v>0.42543634496919919</v>
      </c>
      <c r="AH1047" t="e">
        <f>Q1047/L1047</f>
        <v>#DIV/0!</v>
      </c>
      <c r="AI1047" s="1">
        <f>R1047</f>
        <v>802.2</v>
      </c>
      <c r="AJ1047" s="1">
        <f>P1047</f>
        <v>2260927</v>
      </c>
    </row>
    <row r="1048" spans="1:36" x14ac:dyDescent="0.25">
      <c r="A1048" t="s">
        <v>67</v>
      </c>
      <c r="B1048">
        <v>2021</v>
      </c>
      <c r="C1048" s="1">
        <v>56024</v>
      </c>
      <c r="D1048" s="1">
        <f>-309034-89942+10061</f>
        <v>-388915</v>
      </c>
      <c r="E1048" s="1">
        <v>-305689</v>
      </c>
      <c r="G1048" s="1">
        <v>2107833</v>
      </c>
      <c r="H1048" s="1">
        <v>1021355</v>
      </c>
      <c r="I1048" s="1">
        <v>0</v>
      </c>
      <c r="J1048" s="1">
        <v>205054</v>
      </c>
      <c r="K1048" s="1">
        <v>189752</v>
      </c>
      <c r="L1048" s="1">
        <v>156888</v>
      </c>
      <c r="M1048" s="1">
        <v>0</v>
      </c>
      <c r="N1048" s="1">
        <v>1902778</v>
      </c>
      <c r="O1048" s="1">
        <v>1902778</v>
      </c>
      <c r="P1048" s="1">
        <v>1891641</v>
      </c>
      <c r="Q1048" s="1">
        <v>-23490</v>
      </c>
      <c r="R1048" s="1">
        <v>851.75</v>
      </c>
      <c r="T1048">
        <f>E1048/G1048</f>
        <v>-0.14502524630746363</v>
      </c>
      <c r="U1048">
        <f>D1048/C1048</f>
        <v>-6.9419355990289873</v>
      </c>
      <c r="V1048">
        <f>(E1048-F1048)/O1048</f>
        <v>-0.16065405423018345</v>
      </c>
      <c r="W1048">
        <f>H1048/K1048</f>
        <v>5.382578312745057</v>
      </c>
      <c r="X1048">
        <f>(H1048-I1048)/K1048</f>
        <v>5.382578312745057</v>
      </c>
      <c r="Y1048">
        <f>(H1048-K1048)/G1048</f>
        <v>0.39452983229696093</v>
      </c>
      <c r="Z1048">
        <f>J1048/N1048</f>
        <v>0.10776559325365334</v>
      </c>
      <c r="AA1048">
        <f>J1048/G1048</f>
        <v>9.7281900416209446E-2</v>
      </c>
      <c r="AB1048">
        <f>C1048/G1048</f>
        <v>2.6578955733210362E-2</v>
      </c>
      <c r="AC1048">
        <f>C1048/(G1048-K1048)</f>
        <v>2.9208359813793057E-2</v>
      </c>
      <c r="AD1048">
        <f>Q1048/E1048</f>
        <v>7.6842804288018221E-2</v>
      </c>
      <c r="AE1048">
        <f>Q1048/J1048</f>
        <v>-0.11455519034010553</v>
      </c>
      <c r="AF1048">
        <f>Q1048/G1048</f>
        <v>-1.1144146618826064E-2</v>
      </c>
      <c r="AG1048">
        <f>Q1048/K1048</f>
        <v>-0.12379316160040474</v>
      </c>
      <c r="AH1048">
        <f>Q1048/L1048</f>
        <v>-0.14972464433226251</v>
      </c>
      <c r="AI1048" s="1">
        <f>R1048</f>
        <v>851.75</v>
      </c>
      <c r="AJ1048" s="1">
        <f>P1048</f>
        <v>1891641</v>
      </c>
    </row>
    <row r="1049" spans="1:36" x14ac:dyDescent="0.25">
      <c r="A1049" t="s">
        <v>67</v>
      </c>
      <c r="B1049">
        <v>2022</v>
      </c>
      <c r="C1049" s="1">
        <v>38467</v>
      </c>
      <c r="D1049" s="1">
        <f>57434-89527+2632</f>
        <v>-29461</v>
      </c>
      <c r="E1049" s="1">
        <v>32615</v>
      </c>
      <c r="G1049" s="1">
        <v>2013230</v>
      </c>
      <c r="H1049" s="1">
        <v>1620756</v>
      </c>
      <c r="I1049" s="1">
        <v>0</v>
      </c>
      <c r="J1049" s="1">
        <v>77645</v>
      </c>
      <c r="K1049" s="1">
        <v>51808</v>
      </c>
      <c r="L1049" s="1">
        <v>17229</v>
      </c>
      <c r="M1049" s="1">
        <v>0</v>
      </c>
      <c r="N1049" s="1">
        <v>1935585</v>
      </c>
      <c r="O1049" s="1">
        <v>1935585</v>
      </c>
      <c r="P1049" s="1">
        <v>1924448</v>
      </c>
      <c r="Q1049" s="1">
        <v>24070</v>
      </c>
      <c r="R1049" s="1">
        <v>970</v>
      </c>
      <c r="T1049">
        <f>E1049/G1049</f>
        <v>1.6200334785394614E-2</v>
      </c>
      <c r="U1049">
        <f>D1049/C1049</f>
        <v>-0.76587724543114877</v>
      </c>
      <c r="V1049">
        <f>(E1049-F1049)/O1049</f>
        <v>1.6850202910231274E-2</v>
      </c>
      <c r="W1049">
        <f>H1049/K1049</f>
        <v>31.283894379246448</v>
      </c>
      <c r="X1049">
        <f>(H1049-I1049)/K1049</f>
        <v>31.283894379246448</v>
      </c>
      <c r="Y1049">
        <f>(H1049-K1049)/G1049</f>
        <v>0.77931880609766391</v>
      </c>
      <c r="Z1049">
        <f>J1049/N1049</f>
        <v>4.0114487351369223E-2</v>
      </c>
      <c r="AA1049">
        <f>J1049/G1049</f>
        <v>3.8567376802451779E-2</v>
      </c>
      <c r="AB1049">
        <f>C1049/G1049</f>
        <v>1.9107106490564914E-2</v>
      </c>
      <c r="AC1049">
        <f>C1049/(G1049-K1049)</f>
        <v>1.9611791853053551E-2</v>
      </c>
      <c r="AD1049">
        <f>Q1049/E1049</f>
        <v>0.73800398589606009</v>
      </c>
      <c r="AE1049">
        <f>Q1049/J1049</f>
        <v>0.31000064395646854</v>
      </c>
      <c r="AF1049">
        <f>Q1049/G1049</f>
        <v>1.1955911644471819E-2</v>
      </c>
      <c r="AG1049">
        <f>Q1049/K1049</f>
        <v>0.46460006176652252</v>
      </c>
      <c r="AH1049">
        <f>Q1049/L1049</f>
        <v>1.397063091299553</v>
      </c>
      <c r="AI1049" s="1">
        <f>R1049</f>
        <v>970</v>
      </c>
      <c r="AJ1049" s="1">
        <f>P1049</f>
        <v>1924448</v>
      </c>
    </row>
    <row r="1050" spans="1:36" x14ac:dyDescent="0.25">
      <c r="A1050" t="s">
        <v>67</v>
      </c>
      <c r="B1050">
        <v>2023</v>
      </c>
      <c r="C1050" s="1">
        <v>88206</v>
      </c>
      <c r="D1050" s="1">
        <f>232650+16119-217895</f>
        <v>30874</v>
      </c>
      <c r="E1050" s="1">
        <v>86079</v>
      </c>
      <c r="G1050" s="1">
        <v>2323947</v>
      </c>
      <c r="H1050" s="1">
        <v>1312813</v>
      </c>
      <c r="I1050" s="1">
        <v>0</v>
      </c>
      <c r="J1050" s="1">
        <v>302155</v>
      </c>
      <c r="K1050" s="1">
        <v>184402</v>
      </c>
      <c r="L1050" s="1">
        <v>97999</v>
      </c>
      <c r="M1050" s="1">
        <v>0</v>
      </c>
      <c r="N1050" s="1">
        <v>2021792</v>
      </c>
      <c r="O1050" s="1">
        <v>2021792</v>
      </c>
      <c r="P1050" s="1">
        <v>2010655</v>
      </c>
      <c r="Q1050" s="1">
        <v>-42468</v>
      </c>
      <c r="R1050" s="1">
        <v>1006</v>
      </c>
      <c r="T1050" s="7">
        <f>E1050/G1050</f>
        <v>3.7040001342543524E-2</v>
      </c>
      <c r="U1050">
        <f>D1050/C1050</f>
        <v>0.3500215404847743</v>
      </c>
      <c r="V1050">
        <f>(E1050-F1050)/O1050</f>
        <v>4.2575596302685932E-2</v>
      </c>
      <c r="W1050">
        <f>H1050/K1050</f>
        <v>7.1192991399225605</v>
      </c>
      <c r="X1050">
        <f>(H1050-I1050)/K1050</f>
        <v>7.1192991399225605</v>
      </c>
      <c r="Y1050">
        <f>(H1050-K1050)/G1050</f>
        <v>0.48555797528945366</v>
      </c>
      <c r="Z1050">
        <f>J1050/N1050</f>
        <v>0.14944910257830676</v>
      </c>
      <c r="AA1050">
        <f>J1050/G1050</f>
        <v>0.13001802536804841</v>
      </c>
      <c r="AB1050">
        <f>C1050/G1050</f>
        <v>3.7955254573361616E-2</v>
      </c>
      <c r="AC1050">
        <f>C1050/(G1050-K1050)</f>
        <v>4.1226522461551403E-2</v>
      </c>
      <c r="AD1050">
        <f>Q1050/E1050</f>
        <v>-0.49336075000871293</v>
      </c>
      <c r="AE1050">
        <f>Q1050/J1050</f>
        <v>-0.14055037977197135</v>
      </c>
      <c r="AF1050">
        <f>Q1050/G1050</f>
        <v>-1.8274082842681009E-2</v>
      </c>
      <c r="AG1050">
        <f>Q1050/K1050</f>
        <v>-0.23030118979186776</v>
      </c>
      <c r="AH1050">
        <f>Q1050/L1050</f>
        <v>-0.43335136072817071</v>
      </c>
      <c r="AI1050" s="1">
        <f>R1050</f>
        <v>1006</v>
      </c>
      <c r="AJ1050" s="1">
        <f>P1050</f>
        <v>2010655</v>
      </c>
    </row>
    <row r="1051" spans="1:36" x14ac:dyDescent="0.25">
      <c r="A1051" s="15" t="s">
        <v>67</v>
      </c>
      <c r="B1051" s="15">
        <v>2024</v>
      </c>
      <c r="C1051" s="6">
        <v>77202</v>
      </c>
      <c r="D1051" s="6">
        <f>669723-195963+15834</f>
        <v>489594</v>
      </c>
      <c r="E1051" s="6">
        <v>419333</v>
      </c>
      <c r="F1051" s="6"/>
      <c r="G1051" s="6">
        <v>2781210</v>
      </c>
      <c r="H1051" s="6">
        <v>1512625</v>
      </c>
      <c r="I1051" s="6">
        <v>0</v>
      </c>
      <c r="J1051" s="6">
        <v>340087</v>
      </c>
      <c r="K1051" s="6">
        <v>112713</v>
      </c>
      <c r="L1051" s="6">
        <v>0</v>
      </c>
      <c r="M1051" s="6">
        <v>0</v>
      </c>
      <c r="N1051" s="6">
        <v>2441122</v>
      </c>
      <c r="O1051" s="6">
        <v>2441122</v>
      </c>
      <c r="P1051" s="6">
        <v>2429985</v>
      </c>
      <c r="Q1051" s="6">
        <v>-89204</v>
      </c>
      <c r="R1051" s="6">
        <f>49.4*20</f>
        <v>988</v>
      </c>
      <c r="S1051" s="15"/>
      <c r="T1051" s="15">
        <f>E1051/G1051</f>
        <v>0.15077358415941264</v>
      </c>
      <c r="U1051" s="15">
        <f>D1051/C1051</f>
        <v>6.3417268982668844</v>
      </c>
      <c r="V1051" s="15">
        <f>(E1051-F1051)/O1051</f>
        <v>0.17177879679917676</v>
      </c>
      <c r="W1051" s="15">
        <f>H1051/K1051</f>
        <v>13.420146744386184</v>
      </c>
      <c r="X1051" s="15">
        <f>(H1051-I1051)/K1051</f>
        <v>13.420146744386184</v>
      </c>
      <c r="Y1051" s="15">
        <f>(H1051-K1051)/G1051</f>
        <v>0.50334638520643893</v>
      </c>
      <c r="Z1051" s="15">
        <f>J1051/N1051</f>
        <v>0.13931585557788589</v>
      </c>
      <c r="AA1051" s="15">
        <f>J1051/G1051</f>
        <v>0.12228023054713597</v>
      </c>
      <c r="AB1051" s="15">
        <f>C1051/G1051</f>
        <v>2.7758421694154701E-2</v>
      </c>
      <c r="AC1051" s="15">
        <f>C1051/(G1051-K1051)</f>
        <v>2.8930892558620077E-2</v>
      </c>
      <c r="AD1051" s="15">
        <f>Q1051/E1051</f>
        <v>-0.2127283090050151</v>
      </c>
      <c r="AE1051" s="15">
        <f>Q1051/J1051</f>
        <v>-0.26229758855822188</v>
      </c>
      <c r="AF1051" s="15">
        <f>Q1051/G1051</f>
        <v>-3.2073809600857178E-2</v>
      </c>
      <c r="AG1051" s="15">
        <f>Q1051/K1051</f>
        <v>-0.79142601119657896</v>
      </c>
      <c r="AH1051" s="15" t="e">
        <f>Q1051/L1051</f>
        <v>#DIV/0!</v>
      </c>
      <c r="AI1051" s="6">
        <f>R1051</f>
        <v>988</v>
      </c>
      <c r="AJ1051" s="6">
        <f>P1051</f>
        <v>2429985</v>
      </c>
    </row>
    <row r="1052" spans="1:36" x14ac:dyDescent="0.25">
      <c r="A1052" t="s">
        <v>164</v>
      </c>
      <c r="B1052">
        <v>2018</v>
      </c>
      <c r="T1052" t="e">
        <f>E1052/G1052</f>
        <v>#DIV/0!</v>
      </c>
      <c r="U1052" t="e">
        <f>D1052/C1052</f>
        <v>#DIV/0!</v>
      </c>
      <c r="V1052" t="e">
        <f>(E1052-F1052)/O1052</f>
        <v>#DIV/0!</v>
      </c>
      <c r="W1052" t="e">
        <f>H1052/K1052</f>
        <v>#DIV/0!</v>
      </c>
      <c r="X1052" t="e">
        <f>(H1052-I1052)/K1052</f>
        <v>#DIV/0!</v>
      </c>
      <c r="Y1052" t="e">
        <f>(H1052-K1052)/G1052</f>
        <v>#DIV/0!</v>
      </c>
      <c r="Z1052" t="e">
        <f>J1052/N1052</f>
        <v>#DIV/0!</v>
      </c>
      <c r="AA1052" t="e">
        <f>J1052/G1052</f>
        <v>#DIV/0!</v>
      </c>
      <c r="AB1052" t="e">
        <f>C1052/G1052</f>
        <v>#DIV/0!</v>
      </c>
      <c r="AC1052" t="e">
        <f>C1052/(G1052-K1052)</f>
        <v>#DIV/0!</v>
      </c>
      <c r="AD1052" t="e">
        <f>Q1052/E1052</f>
        <v>#DIV/0!</v>
      </c>
      <c r="AE1052" t="e">
        <f>Q1052/J1052</f>
        <v>#DIV/0!</v>
      </c>
      <c r="AF1052" t="e">
        <f>Q1052/G1052</f>
        <v>#DIV/0!</v>
      </c>
      <c r="AG1052" t="e">
        <f>Q1052/K1052</f>
        <v>#DIV/0!</v>
      </c>
      <c r="AH1052" t="e">
        <f>Q1052/L1052</f>
        <v>#DIV/0!</v>
      </c>
      <c r="AI1052" s="1">
        <f>R1052</f>
        <v>0</v>
      </c>
      <c r="AJ1052" s="1">
        <f>P1052</f>
        <v>0</v>
      </c>
    </row>
    <row r="1053" spans="1:36" x14ac:dyDescent="0.25">
      <c r="A1053" t="s">
        <v>164</v>
      </c>
      <c r="B1053">
        <v>2019</v>
      </c>
      <c r="T1053" t="e">
        <f>E1053/G1053</f>
        <v>#DIV/0!</v>
      </c>
      <c r="U1053" t="e">
        <f>D1053/C1053</f>
        <v>#DIV/0!</v>
      </c>
      <c r="V1053" t="e">
        <f>(E1053-F1053)/O1053</f>
        <v>#DIV/0!</v>
      </c>
      <c r="W1053" t="e">
        <f>H1053/K1053</f>
        <v>#DIV/0!</v>
      </c>
      <c r="X1053" t="e">
        <f>(H1053-I1053)/K1053</f>
        <v>#DIV/0!</v>
      </c>
      <c r="Y1053" t="e">
        <f>(H1053-K1053)/G1053</f>
        <v>#DIV/0!</v>
      </c>
      <c r="Z1053" t="e">
        <f>J1053/N1053</f>
        <v>#DIV/0!</v>
      </c>
      <c r="AA1053" t="e">
        <f>J1053/G1053</f>
        <v>#DIV/0!</v>
      </c>
      <c r="AB1053" t="e">
        <f>C1053/G1053</f>
        <v>#DIV/0!</v>
      </c>
      <c r="AC1053" t="e">
        <f>C1053/(G1053-K1053)</f>
        <v>#DIV/0!</v>
      </c>
      <c r="AD1053" t="e">
        <f>Q1053/E1053</f>
        <v>#DIV/0!</v>
      </c>
      <c r="AE1053" t="e">
        <f>Q1053/J1053</f>
        <v>#DIV/0!</v>
      </c>
      <c r="AF1053" t="e">
        <f>Q1053/G1053</f>
        <v>#DIV/0!</v>
      </c>
      <c r="AG1053" t="e">
        <f>Q1053/K1053</f>
        <v>#DIV/0!</v>
      </c>
      <c r="AH1053" t="e">
        <f>Q1053/L1053</f>
        <v>#DIV/0!</v>
      </c>
      <c r="AI1053" s="1">
        <f>R1053</f>
        <v>0</v>
      </c>
      <c r="AJ1053" s="1">
        <f>P1053</f>
        <v>0</v>
      </c>
    </row>
    <row r="1054" spans="1:36" x14ac:dyDescent="0.25">
      <c r="A1054" t="s">
        <v>164</v>
      </c>
      <c r="B1054">
        <v>2020</v>
      </c>
      <c r="C1054" s="1">
        <v>5716288.4129999997</v>
      </c>
      <c r="D1054" s="1">
        <v>794248.87600000005</v>
      </c>
      <c r="E1054" s="1">
        <v>130795.89200000001</v>
      </c>
      <c r="F1054" s="1">
        <v>0</v>
      </c>
      <c r="G1054" s="1">
        <v>13582760.385</v>
      </c>
      <c r="H1054" s="1">
        <v>12547469.579</v>
      </c>
      <c r="I1054" s="1">
        <v>8505835.5749999993</v>
      </c>
      <c r="J1054" s="1">
        <v>11140042.799000001</v>
      </c>
      <c r="K1054" s="1">
        <v>9468063.7760000005</v>
      </c>
      <c r="L1054" s="1">
        <v>3183043.7370000002</v>
      </c>
      <c r="M1054" s="1">
        <v>1589086.1910000001</v>
      </c>
      <c r="N1054" s="1">
        <v>2442717.5860000001</v>
      </c>
      <c r="O1054" s="1">
        <v>2442717.5860000001</v>
      </c>
      <c r="P1054" s="1">
        <v>942717.58600000001</v>
      </c>
      <c r="Q1054" s="1">
        <v>-4744.5060000000003</v>
      </c>
      <c r="R1054" s="1" t="s">
        <v>223</v>
      </c>
      <c r="T1054">
        <f>E1054/G1054</f>
        <v>9.6295516001624597E-3</v>
      </c>
      <c r="U1054">
        <f>D1054/C1054</f>
        <v>0.13894485697987474</v>
      </c>
      <c r="V1054">
        <f>(E1054-F1054)/O1054</f>
        <v>5.3545236972801655E-2</v>
      </c>
      <c r="W1054">
        <f>H1054/K1054</f>
        <v>1.3252413456282151</v>
      </c>
      <c r="X1054">
        <f>(H1054-I1054)/K1054</f>
        <v>0.42687017109505371</v>
      </c>
      <c r="Y1054">
        <f>(H1054-K1054)/G1054</f>
        <v>0.22671428455740952</v>
      </c>
      <c r="Z1054">
        <f>J1054/N1054</f>
        <v>4.5605119735687696</v>
      </c>
      <c r="AA1054">
        <f>J1054/G1054</f>
        <v>0.82016044480195704</v>
      </c>
      <c r="AB1054">
        <f>C1054/G1054</f>
        <v>0.42084880031548905</v>
      </c>
      <c r="AC1054">
        <f>C1054/(G1054-K1054)</f>
        <v>1.3892369125093862</v>
      </c>
      <c r="AD1054">
        <f>Q1054/E1054</f>
        <v>-3.627412090281857E-2</v>
      </c>
      <c r="AE1054">
        <f>Q1054/J1054</f>
        <v>-4.2589656840689126E-4</v>
      </c>
      <c r="AF1054">
        <f>Q1054/G1054</f>
        <v>-3.4930351898422308E-4</v>
      </c>
      <c r="AG1054">
        <f>Q1054/K1054</f>
        <v>-5.0110625701809807E-4</v>
      </c>
      <c r="AH1054">
        <f>Q1054/L1054</f>
        <v>-1.4905563328739143E-3</v>
      </c>
      <c r="AI1054" s="1" t="str">
        <f>R1054</f>
        <v>-</v>
      </c>
      <c r="AJ1054" s="1">
        <f>P1054</f>
        <v>942717.58600000001</v>
      </c>
    </row>
    <row r="1055" spans="1:36" x14ac:dyDescent="0.25">
      <c r="A1055" t="s">
        <v>164</v>
      </c>
      <c r="B1055">
        <v>2021</v>
      </c>
      <c r="C1055" s="1">
        <v>7732398.1339999996</v>
      </c>
      <c r="D1055" s="1">
        <v>1585039.55</v>
      </c>
      <c r="E1055" s="1">
        <v>989255.576</v>
      </c>
      <c r="F1055" s="1">
        <v>0</v>
      </c>
      <c r="G1055" s="1">
        <v>12999916.466</v>
      </c>
      <c r="H1055" s="1">
        <v>11897535.915999999</v>
      </c>
      <c r="I1055" s="1">
        <v>11086722.148</v>
      </c>
      <c r="J1055" s="1">
        <v>9566963.818</v>
      </c>
      <c r="K1055" s="1">
        <v>7154063.2130000005</v>
      </c>
      <c r="L1055" s="1">
        <v>4193779.3670000001</v>
      </c>
      <c r="M1055" s="1">
        <v>2333941.3730000001</v>
      </c>
      <c r="N1055" s="1">
        <v>3432952.648</v>
      </c>
      <c r="O1055" s="1">
        <v>3432952.648</v>
      </c>
      <c r="P1055" s="1">
        <v>1932952.648</v>
      </c>
      <c r="Q1055" s="1">
        <v>1304835.3700000001</v>
      </c>
      <c r="R1055" s="1" t="s">
        <v>223</v>
      </c>
      <c r="T1055">
        <f>E1055/G1055</f>
        <v>7.6097071745599321E-2</v>
      </c>
      <c r="U1055">
        <f>D1055/C1055</f>
        <v>0.20498680002397301</v>
      </c>
      <c r="V1055">
        <f>(E1055-F1055)/O1055</f>
        <v>0.28816464351069021</v>
      </c>
      <c r="W1055">
        <f>H1055/K1055</f>
        <v>1.6630459588867486</v>
      </c>
      <c r="X1055">
        <f>(H1055-I1055)/K1055</f>
        <v>0.11333612016827439</v>
      </c>
      <c r="Y1055">
        <f>(H1055-K1055)/G1055</f>
        <v>0.36488486025322425</v>
      </c>
      <c r="Z1055">
        <f>J1055/N1055</f>
        <v>2.7868033145093354</v>
      </c>
      <c r="AA1055">
        <f>J1055/G1055</f>
        <v>0.73592502252006398</v>
      </c>
      <c r="AB1055">
        <f>C1055/G1055</f>
        <v>0.59480367848695992</v>
      </c>
      <c r="AC1055">
        <f>C1055/(G1055-K1055)</f>
        <v>1.3227150596077408</v>
      </c>
      <c r="AD1055">
        <f>Q1055/E1055</f>
        <v>1.3190073441648209</v>
      </c>
      <c r="AE1055">
        <f>Q1055/J1055</f>
        <v>0.1363897046986825</v>
      </c>
      <c r="AF1055">
        <f>Q1055/G1055</f>
        <v>0.10037259650188279</v>
      </c>
      <c r="AG1055">
        <f>Q1055/K1055</f>
        <v>0.1823908080136781</v>
      </c>
      <c r="AH1055">
        <f>Q1055/L1055</f>
        <v>0.3111359124582197</v>
      </c>
      <c r="AI1055" s="1" t="str">
        <f>R1055</f>
        <v>-</v>
      </c>
      <c r="AJ1055" s="1">
        <f>P1055</f>
        <v>1932952.648</v>
      </c>
    </row>
    <row r="1056" spans="1:36" x14ac:dyDescent="0.25">
      <c r="A1056" t="s">
        <v>164</v>
      </c>
      <c r="B1056">
        <v>2022</v>
      </c>
      <c r="C1056" s="1">
        <v>9510383.2510000002</v>
      </c>
      <c r="D1056" s="1">
        <v>1936561.0519999999</v>
      </c>
      <c r="E1056" s="1">
        <v>1682373.2409999999</v>
      </c>
      <c r="F1056" s="1">
        <v>0</v>
      </c>
      <c r="G1056" s="1">
        <v>18866482.274999999</v>
      </c>
      <c r="H1056" s="1">
        <v>17723347.307</v>
      </c>
      <c r="I1056" s="1">
        <v>15152244.108999999</v>
      </c>
      <c r="J1056" s="1">
        <v>12174299.73</v>
      </c>
      <c r="K1056" s="1">
        <v>10387644.546</v>
      </c>
      <c r="L1056" s="1">
        <v>3396172.2689999999</v>
      </c>
      <c r="M1056" s="1">
        <v>1718255.602</v>
      </c>
      <c r="N1056" s="1">
        <v>6692182.5449999999</v>
      </c>
      <c r="O1056" s="1">
        <v>6692182.5449999999</v>
      </c>
      <c r="P1056" s="1">
        <v>3242182.5449999999</v>
      </c>
      <c r="Q1056" s="1">
        <v>-1085518.8600000001</v>
      </c>
      <c r="R1056" s="1">
        <v>6.9</v>
      </c>
      <c r="T1056">
        <f>E1056/G1056</f>
        <v>8.9172598075122622E-2</v>
      </c>
      <c r="U1056">
        <f>D1056/C1056</f>
        <v>0.20362597393710435</v>
      </c>
      <c r="V1056">
        <f>(E1056-F1056)/O1056</f>
        <v>0.25139380608452905</v>
      </c>
      <c r="W1056">
        <f>H1056/K1056</f>
        <v>1.7061950116328133</v>
      </c>
      <c r="X1056">
        <f>(H1056-I1056)/K1056</f>
        <v>0.24751551582404335</v>
      </c>
      <c r="Y1056">
        <f>(H1056-K1056)/G1056</f>
        <v>0.38882196766063537</v>
      </c>
      <c r="Z1056">
        <f>J1056/N1056</f>
        <v>1.8191822545390535</v>
      </c>
      <c r="AA1056">
        <f>J1056/G1056</f>
        <v>0.64528721107337439</v>
      </c>
      <c r="AB1056">
        <f>C1056/G1056</f>
        <v>0.50408884456442749</v>
      </c>
      <c r="AC1056">
        <f>C1056/(G1056-K1056)</f>
        <v>1.121661194018589</v>
      </c>
      <c r="AD1056">
        <f>Q1056/E1056</f>
        <v>-0.64523069765111662</v>
      </c>
      <c r="AE1056">
        <f>Q1056/J1056</f>
        <v>-8.9164788453914637E-2</v>
      </c>
      <c r="AF1056">
        <f>Q1056/G1056</f>
        <v>-5.7536897667373986E-2</v>
      </c>
      <c r="AG1056">
        <f>Q1056/K1056</f>
        <v>-0.10450096315800524</v>
      </c>
      <c r="AH1056">
        <f>Q1056/L1056</f>
        <v>-0.31963009353457511</v>
      </c>
      <c r="AI1056" s="1">
        <f>R1056</f>
        <v>6.9</v>
      </c>
      <c r="AJ1056" s="1">
        <f>P1056</f>
        <v>3242182.5449999999</v>
      </c>
    </row>
    <row r="1057" spans="1:36" x14ac:dyDescent="0.25">
      <c r="A1057" t="s">
        <v>164</v>
      </c>
      <c r="B1057">
        <v>2023</v>
      </c>
      <c r="C1057" s="1">
        <v>19798684.442000002</v>
      </c>
      <c r="D1057" s="1">
        <v>4759365.4800000004</v>
      </c>
      <c r="E1057" s="1">
        <v>3351231.7629999998</v>
      </c>
      <c r="F1057" s="1">
        <v>0</v>
      </c>
      <c r="G1057" s="1">
        <v>17522721.655999999</v>
      </c>
      <c r="H1057" s="1">
        <v>16620245.973999999</v>
      </c>
      <c r="I1057" s="1">
        <v>12388430.515000001</v>
      </c>
      <c r="J1057" s="1">
        <v>8136424.9950000001</v>
      </c>
      <c r="K1057" s="1">
        <v>7411117.0219999999</v>
      </c>
      <c r="L1057" s="1">
        <v>1403810.1429999999</v>
      </c>
      <c r="M1057" s="1">
        <v>634439.53</v>
      </c>
      <c r="N1057" s="1">
        <v>9386296.6610000003</v>
      </c>
      <c r="O1057" s="1">
        <v>9386296.6610000003</v>
      </c>
      <c r="P1057" s="1">
        <v>5936296.6610000003</v>
      </c>
      <c r="Q1057" s="1">
        <v>5179537.5449999999</v>
      </c>
      <c r="R1057" s="1">
        <v>8</v>
      </c>
      <c r="T1057">
        <f>E1057/G1057</f>
        <v>0.19125064181182699</v>
      </c>
      <c r="U1057">
        <f>D1057/C1057</f>
        <v>0.24038796587432373</v>
      </c>
      <c r="V1057">
        <f>(E1057-F1057)/O1057</f>
        <v>0.35703450296050682</v>
      </c>
      <c r="W1057">
        <f>H1057/K1057</f>
        <v>2.2426101118984598</v>
      </c>
      <c r="X1057">
        <f>(H1057-I1057)/K1057</f>
        <v>0.57100912675347026</v>
      </c>
      <c r="Y1057">
        <f>(H1057-K1057)/G1057</f>
        <v>0.52555357168768801</v>
      </c>
      <c r="Z1057">
        <f>J1057/N1057</f>
        <v>0.86684080941174502</v>
      </c>
      <c r="AA1057">
        <f>J1057/G1057</f>
        <v>0.46433568681461002</v>
      </c>
      <c r="AB1057">
        <f>C1057/G1057</f>
        <v>1.1298863744274956</v>
      </c>
      <c r="AC1057">
        <f>C1057/(G1057-K1057)</f>
        <v>1.9580160774312176</v>
      </c>
      <c r="AD1057">
        <f>Q1057/E1057</f>
        <v>1.5455623219455623</v>
      </c>
      <c r="AE1057">
        <f>Q1057/J1057</f>
        <v>0.63658640596858351</v>
      </c>
      <c r="AF1057">
        <f>Q1057/G1057</f>
        <v>0.29558978603226638</v>
      </c>
      <c r="AG1057">
        <f>Q1057/K1057</f>
        <v>0.698887567100138</v>
      </c>
      <c r="AH1057">
        <f>Q1057/L1057</f>
        <v>3.6896282384248309</v>
      </c>
      <c r="AI1057" s="1">
        <f>R1057</f>
        <v>8</v>
      </c>
      <c r="AJ1057" s="1">
        <f>P1057</f>
        <v>5936296.6610000003</v>
      </c>
    </row>
    <row r="1058" spans="1:36" x14ac:dyDescent="0.25">
      <c r="A1058" t="s">
        <v>164</v>
      </c>
      <c r="B1058">
        <v>2024</v>
      </c>
      <c r="C1058" s="1">
        <v>8090379.0949999997</v>
      </c>
      <c r="D1058" s="1">
        <v>1735246.1089999999</v>
      </c>
      <c r="E1058" s="1">
        <v>1129001.7</v>
      </c>
      <c r="F1058" s="1">
        <v>0</v>
      </c>
      <c r="G1058" s="1">
        <v>15760134.828</v>
      </c>
      <c r="H1058" s="1">
        <v>14550152.197000001</v>
      </c>
      <c r="I1058" s="1">
        <v>10019522.244000001</v>
      </c>
      <c r="J1058" s="1">
        <v>6185393.352</v>
      </c>
      <c r="K1058" s="1">
        <v>5598913.1560000004</v>
      </c>
      <c r="L1058" s="1">
        <v>884439.429</v>
      </c>
      <c r="M1058" s="1">
        <v>485114.217</v>
      </c>
      <c r="N1058" s="1">
        <v>9574741.4759999998</v>
      </c>
      <c r="O1058" s="1">
        <v>9574741.4759999998</v>
      </c>
      <c r="P1058" s="1">
        <v>6124741.4759999998</v>
      </c>
      <c r="Q1058" s="1">
        <v>4192983.4190000002</v>
      </c>
      <c r="R1058" s="1">
        <v>8.4</v>
      </c>
      <c r="T1058">
        <f>E1058/G1058</f>
        <v>7.1636550849436681E-2</v>
      </c>
      <c r="U1058">
        <f>D1058/C1058</f>
        <v>0.21448266992487575</v>
      </c>
      <c r="V1058">
        <f>(E1058-F1058)/O1058</f>
        <v>0.11791458838131036</v>
      </c>
      <c r="W1058">
        <f>H1058/K1058</f>
        <v>2.5987458264837571</v>
      </c>
      <c r="X1058">
        <f>(H1058-I1058)/K1058</f>
        <v>0.80919811162722011</v>
      </c>
      <c r="Y1058">
        <f>(H1058-K1058)/G1058</f>
        <v>0.56796716136570868</v>
      </c>
      <c r="Z1058">
        <f>J1058/N1058</f>
        <v>0.64601152600352463</v>
      </c>
      <c r="AA1058">
        <f>J1058/G1058</f>
        <v>0.39247083984401049</v>
      </c>
      <c r="AB1058">
        <f>C1058/G1058</f>
        <v>0.51334453564612614</v>
      </c>
      <c r="AC1058">
        <f>C1058/(G1058-K1058)</f>
        <v>0.7962014171281826</v>
      </c>
      <c r="AD1058">
        <f>Q1058/E1058</f>
        <v>3.713885832944273</v>
      </c>
      <c r="AE1058">
        <f>Q1058/J1058</f>
        <v>0.67788468418814962</v>
      </c>
      <c r="AF1058">
        <f>Q1058/G1058</f>
        <v>0.2660499713207149</v>
      </c>
      <c r="AG1058">
        <f>Q1058/K1058</f>
        <v>0.74889238360602994</v>
      </c>
      <c r="AH1058">
        <f>Q1058/L1058</f>
        <v>4.740837282368604</v>
      </c>
      <c r="AI1058" s="1">
        <f>R1058</f>
        <v>8.4</v>
      </c>
      <c r="AJ1058" s="1">
        <f>P1058</f>
        <v>6124741.4759999998</v>
      </c>
    </row>
    <row r="1059" spans="1:36" x14ac:dyDescent="0.25">
      <c r="A1059" t="s">
        <v>170</v>
      </c>
      <c r="B1059">
        <v>2018</v>
      </c>
      <c r="C1059" s="1">
        <v>2981186</v>
      </c>
      <c r="D1059" s="1">
        <v>19829</v>
      </c>
      <c r="E1059" s="1">
        <v>-23752</v>
      </c>
      <c r="G1059" s="1">
        <v>3580920</v>
      </c>
      <c r="H1059" s="1">
        <v>1085114</v>
      </c>
      <c r="I1059" s="1">
        <v>418084</v>
      </c>
      <c r="J1059" s="1">
        <v>888431</v>
      </c>
      <c r="K1059" s="1">
        <v>689338</v>
      </c>
      <c r="L1059" s="1">
        <v>466172</v>
      </c>
      <c r="M1059" s="1">
        <v>0</v>
      </c>
      <c r="O1059" s="1">
        <v>2692489</v>
      </c>
      <c r="P1059" s="1">
        <v>1363711</v>
      </c>
      <c r="Q1059" s="1">
        <v>55986</v>
      </c>
      <c r="R1059" s="1">
        <v>2.2999999999999998</v>
      </c>
      <c r="T1059">
        <f>E1059/G1059</f>
        <v>-6.6329323190688428E-3</v>
      </c>
      <c r="U1059">
        <f>D1059/C1059</f>
        <v>6.6513796858028986E-3</v>
      </c>
      <c r="V1059">
        <f>(E1059-F1059)/O1059</f>
        <v>-8.8215773583476109E-3</v>
      </c>
      <c r="W1059">
        <f>H1059/K1059</f>
        <v>1.5741392466395294</v>
      </c>
      <c r="X1059">
        <f>(H1059-I1059)/K1059</f>
        <v>0.96763851695394709</v>
      </c>
      <c r="Y1059">
        <f>(H1059-K1059)/G1059</f>
        <v>0.11052355260659272</v>
      </c>
      <c r="Z1059" t="e">
        <f>J1059/N1059</f>
        <v>#DIV/0!</v>
      </c>
      <c r="AA1059">
        <f>J1059/G1059</f>
        <v>0.24810132591624498</v>
      </c>
      <c r="AB1059">
        <f>C1059/G1059</f>
        <v>0.83251957597488913</v>
      </c>
      <c r="AC1059">
        <f>C1059/(G1059-K1059)</f>
        <v>1.0309878813742788</v>
      </c>
      <c r="AD1059">
        <f>Q1059/E1059</f>
        <v>-2.3571067699562143</v>
      </c>
      <c r="AE1059">
        <f>Q1059/J1059</f>
        <v>6.3016711483502935E-2</v>
      </c>
      <c r="AF1059">
        <f>Q1059/G1059</f>
        <v>1.5634529673938542E-2</v>
      </c>
      <c r="AG1059">
        <f>Q1059/K1059</f>
        <v>8.1217051722086986E-2</v>
      </c>
      <c r="AH1059">
        <f>Q1059/L1059</f>
        <v>0.12009730314132981</v>
      </c>
      <c r="AI1059" s="1">
        <f>R1059</f>
        <v>2.2999999999999998</v>
      </c>
      <c r="AJ1059" s="1">
        <f>P1059</f>
        <v>1363711</v>
      </c>
    </row>
    <row r="1060" spans="1:36" x14ac:dyDescent="0.25">
      <c r="A1060" t="s">
        <v>170</v>
      </c>
      <c r="B1060">
        <v>2019</v>
      </c>
      <c r="C1060" s="1">
        <v>2635546</v>
      </c>
      <c r="D1060" s="1">
        <v>235664</v>
      </c>
      <c r="E1060" s="1">
        <v>208008</v>
      </c>
      <c r="G1060" s="1">
        <v>3744520</v>
      </c>
      <c r="H1060" s="1">
        <v>981943</v>
      </c>
      <c r="I1060" s="1">
        <v>441091</v>
      </c>
      <c r="J1060" s="1">
        <v>839193</v>
      </c>
      <c r="K1060" s="1">
        <v>611593</v>
      </c>
      <c r="L1060" s="1">
        <v>418003</v>
      </c>
      <c r="M1060" s="1">
        <v>34173</v>
      </c>
      <c r="O1060" s="1">
        <v>2905327</v>
      </c>
      <c r="P1060" s="1">
        <v>1582300</v>
      </c>
      <c r="Q1060" s="1">
        <v>321430</v>
      </c>
      <c r="R1060" s="1">
        <v>2</v>
      </c>
      <c r="T1060">
        <f>E1060/G1060</f>
        <v>5.5549977033104374E-2</v>
      </c>
      <c r="U1060">
        <f>D1060/C1060</f>
        <v>8.9417524869609563E-2</v>
      </c>
      <c r="V1060">
        <f>(E1060-F1060)/O1060</f>
        <v>7.1595383239132809E-2</v>
      </c>
      <c r="W1060">
        <f>H1060/K1060</f>
        <v>1.6055497692092617</v>
      </c>
      <c r="X1060">
        <f>(H1060-I1060)/K1060</f>
        <v>0.88433320852266128</v>
      </c>
      <c r="Y1060">
        <f>(H1060-K1060)/G1060</f>
        <v>9.8904532490145594E-2</v>
      </c>
      <c r="Z1060" t="e">
        <f>J1060/N1060</f>
        <v>#DIV/0!</v>
      </c>
      <c r="AA1060">
        <f>J1060/G1060</f>
        <v>0.22411230277846025</v>
      </c>
      <c r="AB1060">
        <f>C1060/G1060</f>
        <v>0.70384081270763676</v>
      </c>
      <c r="AC1060">
        <f>C1060/(G1060-K1060)</f>
        <v>0.84124079494989834</v>
      </c>
      <c r="AD1060">
        <f>Q1060/E1060</f>
        <v>1.5452771047267413</v>
      </c>
      <c r="AE1060">
        <f>Q1060/J1060</f>
        <v>0.38302273732025888</v>
      </c>
      <c r="AF1060">
        <f>Q1060/G1060</f>
        <v>8.5840107677352506E-2</v>
      </c>
      <c r="AG1060">
        <f>Q1060/K1060</f>
        <v>0.52556193416209795</v>
      </c>
      <c r="AH1060">
        <f>Q1060/L1060</f>
        <v>0.76896577297292124</v>
      </c>
      <c r="AI1060" s="1">
        <f>R1060</f>
        <v>2</v>
      </c>
      <c r="AJ1060" s="1">
        <f>P1060</f>
        <v>1582300</v>
      </c>
    </row>
    <row r="1061" spans="1:36" x14ac:dyDescent="0.25">
      <c r="A1061" t="s">
        <v>170</v>
      </c>
      <c r="B1061">
        <v>2020</v>
      </c>
      <c r="C1061" s="1">
        <v>2657717</v>
      </c>
      <c r="D1061" s="1">
        <v>301282</v>
      </c>
      <c r="E1061" s="1">
        <v>292981</v>
      </c>
      <c r="G1061" s="1">
        <v>4480790</v>
      </c>
      <c r="H1061" s="1">
        <v>978292</v>
      </c>
      <c r="I1061" s="1">
        <v>477718</v>
      </c>
      <c r="J1061" s="1">
        <v>1257086</v>
      </c>
      <c r="K1061" s="1">
        <v>740084</v>
      </c>
      <c r="L1061" s="1">
        <v>731604</v>
      </c>
      <c r="M1061" s="1">
        <v>301121</v>
      </c>
      <c r="O1061" s="1">
        <v>3223704</v>
      </c>
      <c r="P1061" s="1">
        <v>1753355</v>
      </c>
      <c r="Q1061" s="1">
        <v>450512</v>
      </c>
      <c r="R1061" s="1">
        <v>1.9</v>
      </c>
      <c r="T1061">
        <f>E1061/G1061</f>
        <v>6.5386014519761018E-2</v>
      </c>
      <c r="U1061">
        <f>D1061/C1061</f>
        <v>0.11336120437202306</v>
      </c>
      <c r="V1061">
        <f>(E1061-F1061)/O1061</f>
        <v>9.0883344128369112E-2</v>
      </c>
      <c r="W1061">
        <f>H1061/K1061</f>
        <v>1.3218661665432572</v>
      </c>
      <c r="X1061">
        <f>(H1061-I1061)/K1061</f>
        <v>0.67637457369703979</v>
      </c>
      <c r="Y1061">
        <f>(H1061-K1061)/G1061</f>
        <v>5.3162054012796847E-2</v>
      </c>
      <c r="Z1061" t="e">
        <f>J1061/N1061</f>
        <v>#DIV/0!</v>
      </c>
      <c r="AA1061">
        <f>J1061/G1061</f>
        <v>0.28055008157043737</v>
      </c>
      <c r="AB1061">
        <f>C1061/G1061</f>
        <v>0.593135808640887</v>
      </c>
      <c r="AC1061">
        <f>C1061/(G1061-K1061)</f>
        <v>0.71048540034955965</v>
      </c>
      <c r="AD1061">
        <f>Q1061/E1061</f>
        <v>1.5376833310009863</v>
      </c>
      <c r="AE1061">
        <f>Q1061/J1061</f>
        <v>0.35837802664256863</v>
      </c>
      <c r="AF1061">
        <f>Q1061/G1061</f>
        <v>0.10054298460762499</v>
      </c>
      <c r="AG1061">
        <f>Q1061/K1061</f>
        <v>0.60873090081666403</v>
      </c>
      <c r="AH1061">
        <f>Q1061/L1061</f>
        <v>0.61578668241289003</v>
      </c>
      <c r="AI1061" s="1">
        <f>R1061</f>
        <v>1.9</v>
      </c>
      <c r="AJ1061" s="1">
        <f>P1061</f>
        <v>1753355</v>
      </c>
    </row>
    <row r="1062" spans="1:36" x14ac:dyDescent="0.25">
      <c r="A1062" t="s">
        <v>170</v>
      </c>
      <c r="B1062">
        <v>2021</v>
      </c>
      <c r="C1062" s="1">
        <v>3642458</v>
      </c>
      <c r="D1062" s="1">
        <v>-5745</v>
      </c>
      <c r="E1062" s="1">
        <v>-93634</v>
      </c>
      <c r="G1062" s="1">
        <v>5908421</v>
      </c>
      <c r="H1062" s="1">
        <v>2167925</v>
      </c>
      <c r="I1062" s="1">
        <v>854033</v>
      </c>
      <c r="J1062" s="1">
        <v>2647008</v>
      </c>
      <c r="K1062" s="1">
        <v>2068067</v>
      </c>
      <c r="L1062" s="1">
        <v>1925724</v>
      </c>
      <c r="M1062" s="1">
        <v>293041</v>
      </c>
      <c r="O1062" s="1">
        <v>3261413</v>
      </c>
      <c r="P1062" s="1">
        <v>1610033</v>
      </c>
      <c r="Q1062" s="1">
        <v>-584866</v>
      </c>
      <c r="R1062" s="1">
        <v>3.5</v>
      </c>
      <c r="T1062">
        <f>E1062/G1062</f>
        <v>-1.5847550470760294E-2</v>
      </c>
      <c r="U1062">
        <f>D1062/C1062</f>
        <v>-1.5772316386352292E-3</v>
      </c>
      <c r="V1062">
        <f>(E1062-F1062)/O1062</f>
        <v>-2.8709642109110377E-2</v>
      </c>
      <c r="W1062">
        <f>H1062/K1062</f>
        <v>1.0482856696615728</v>
      </c>
      <c r="X1062">
        <f>(H1062-I1062)/K1062</f>
        <v>0.63532371049874115</v>
      </c>
      <c r="Y1062">
        <f>(H1062-K1062)/G1062</f>
        <v>1.6900962202930359E-2</v>
      </c>
      <c r="Z1062" t="e">
        <f>J1062/N1062</f>
        <v>#DIV/0!</v>
      </c>
      <c r="AA1062">
        <f>J1062/G1062</f>
        <v>0.448005990094477</v>
      </c>
      <c r="AB1062">
        <f>C1062/G1062</f>
        <v>0.61648585975847014</v>
      </c>
      <c r="AC1062">
        <f>C1062/(G1062-K1062)</f>
        <v>0.94846933381662213</v>
      </c>
      <c r="AD1062">
        <f>Q1062/E1062</f>
        <v>6.2462994211504368</v>
      </c>
      <c r="AE1062">
        <f>Q1062/J1062</f>
        <v>-0.22095362008728345</v>
      </c>
      <c r="AF1062">
        <f>Q1062/G1062</f>
        <v>-9.898854533216235E-2</v>
      </c>
      <c r="AG1062">
        <f>Q1062/K1062</f>
        <v>-0.28280805215691757</v>
      </c>
      <c r="AH1062">
        <f>Q1062/L1062</f>
        <v>-0.30371226613990376</v>
      </c>
      <c r="AI1062" s="1">
        <f>R1062</f>
        <v>3.5</v>
      </c>
      <c r="AJ1062" s="1">
        <f>P1062</f>
        <v>1610033</v>
      </c>
    </row>
    <row r="1063" spans="1:36" x14ac:dyDescent="0.25">
      <c r="A1063" t="s">
        <v>170</v>
      </c>
      <c r="B1063">
        <v>2022</v>
      </c>
      <c r="C1063" s="1">
        <v>5691234</v>
      </c>
      <c r="D1063" s="1">
        <v>609516</v>
      </c>
      <c r="E1063" s="1">
        <v>622569</v>
      </c>
      <c r="G1063" s="1">
        <v>7249308</v>
      </c>
      <c r="H1063" s="1">
        <v>2862131</v>
      </c>
      <c r="I1063" s="1">
        <v>1221622</v>
      </c>
      <c r="J1063" s="1">
        <v>3330931</v>
      </c>
      <c r="K1063" s="1">
        <v>2525372</v>
      </c>
      <c r="L1063" s="1">
        <v>2096187</v>
      </c>
      <c r="M1063" s="1">
        <v>449058</v>
      </c>
      <c r="O1063" s="1">
        <v>3918377</v>
      </c>
      <c r="P1063" s="1">
        <v>2225650</v>
      </c>
      <c r="Q1063" s="1">
        <v>682527</v>
      </c>
      <c r="R1063" s="1">
        <v>3.6</v>
      </c>
      <c r="T1063">
        <f>E1063/G1063</f>
        <v>8.5879783284142433E-2</v>
      </c>
      <c r="U1063">
        <f>D1063/C1063</f>
        <v>0.10709733600832438</v>
      </c>
      <c r="V1063">
        <f>(E1063-F1063)/O1063</f>
        <v>0.15888440545664698</v>
      </c>
      <c r="W1063">
        <f>H1063/K1063</f>
        <v>1.1333502549327386</v>
      </c>
      <c r="X1063">
        <f>(H1063-I1063)/K1063</f>
        <v>0.64961082961242933</v>
      </c>
      <c r="Y1063">
        <f>(H1063-K1063)/G1063</f>
        <v>4.6453951190927462E-2</v>
      </c>
      <c r="Z1063" t="e">
        <f>J1063/N1063</f>
        <v>#DIV/0!</v>
      </c>
      <c r="AA1063">
        <f>J1063/G1063</f>
        <v>0.45948261544412239</v>
      </c>
      <c r="AB1063">
        <f>C1063/G1063</f>
        <v>0.78507272694166119</v>
      </c>
      <c r="AC1063">
        <f>C1063/(G1063-K1063)</f>
        <v>1.2047652635429438</v>
      </c>
      <c r="AD1063">
        <f>Q1063/E1063</f>
        <v>1.0963073972523527</v>
      </c>
      <c r="AE1063">
        <f>Q1063/J1063</f>
        <v>0.2049057755924695</v>
      </c>
      <c r="AF1063">
        <f>Q1063/G1063</f>
        <v>9.4150641688834302E-2</v>
      </c>
      <c r="AG1063">
        <f>Q1063/K1063</f>
        <v>0.27026790508487464</v>
      </c>
      <c r="AH1063">
        <f>Q1063/L1063</f>
        <v>0.32560406108806134</v>
      </c>
      <c r="AI1063" s="1">
        <f>R1063</f>
        <v>3.6</v>
      </c>
      <c r="AJ1063" s="1">
        <f>P1063</f>
        <v>2225650</v>
      </c>
    </row>
    <row r="1064" spans="1:36" x14ac:dyDescent="0.25">
      <c r="A1064" t="s">
        <v>170</v>
      </c>
      <c r="B1064">
        <v>2023</v>
      </c>
      <c r="C1064" s="1">
        <v>7212003</v>
      </c>
      <c r="D1064" s="1">
        <v>1038849</v>
      </c>
      <c r="E1064" s="1">
        <v>498090</v>
      </c>
      <c r="G1064" s="1">
        <v>7918446</v>
      </c>
      <c r="H1064" s="1">
        <v>3566769</v>
      </c>
      <c r="I1064" s="1">
        <v>1643804</v>
      </c>
      <c r="J1064" s="1">
        <v>3638300</v>
      </c>
      <c r="K1064" s="1">
        <v>2882628</v>
      </c>
      <c r="L1064" s="1">
        <v>2102429</v>
      </c>
      <c r="M1064" s="1">
        <v>359721</v>
      </c>
      <c r="O1064" s="1">
        <v>4280146</v>
      </c>
      <c r="P1064" s="1">
        <v>2516689</v>
      </c>
      <c r="Q1064" s="1">
        <v>678994</v>
      </c>
      <c r="R1064" s="1">
        <v>5.2</v>
      </c>
      <c r="T1064">
        <f>E1064/G1064</f>
        <v>6.2902493746879118E-2</v>
      </c>
      <c r="U1064">
        <f>D1064/C1064</f>
        <v>0.14404444923275822</v>
      </c>
      <c r="V1064">
        <f>(E1064-F1064)/O1064</f>
        <v>0.11637219851846176</v>
      </c>
      <c r="W1064">
        <f>H1064/K1064</f>
        <v>1.237332392525154</v>
      </c>
      <c r="X1064">
        <f>(H1064-I1064)/K1064</f>
        <v>0.66708746324534418</v>
      </c>
      <c r="Y1064">
        <f>(H1064-K1064)/G1064</f>
        <v>8.6398391805664901E-2</v>
      </c>
      <c r="Z1064" t="e">
        <f>J1064/N1064</f>
        <v>#DIV/0!</v>
      </c>
      <c r="AA1064">
        <f>J1064/G1064</f>
        <v>0.45947146700249014</v>
      </c>
      <c r="AB1064">
        <f>C1064/G1064</f>
        <v>0.9107851464794986</v>
      </c>
      <c r="AC1064">
        <f>C1064/(G1064-K1064)</f>
        <v>1.4321413124938194</v>
      </c>
      <c r="AD1064">
        <f>Q1064/E1064</f>
        <v>1.363195406452649</v>
      </c>
      <c r="AE1064">
        <f>Q1064/J1064</f>
        <v>0.18662397273451886</v>
      </c>
      <c r="AF1064">
        <f>Q1064/G1064</f>
        <v>8.5748390530162102E-2</v>
      </c>
      <c r="AG1064">
        <f>Q1064/K1064</f>
        <v>0.23554686903755878</v>
      </c>
      <c r="AH1064">
        <f>Q1064/L1064</f>
        <v>0.32295692268323922</v>
      </c>
      <c r="AI1064" s="1">
        <f>R1064</f>
        <v>5.2</v>
      </c>
      <c r="AJ1064" s="1">
        <f>P1064</f>
        <v>2516689</v>
      </c>
    </row>
    <row r="1065" spans="1:36" x14ac:dyDescent="0.25">
      <c r="A1065" t="s">
        <v>170</v>
      </c>
      <c r="B1065">
        <v>2024</v>
      </c>
      <c r="C1065" s="1">
        <v>5517184</v>
      </c>
      <c r="D1065" s="1">
        <v>-324716</v>
      </c>
      <c r="E1065" s="1">
        <v>-656038</v>
      </c>
      <c r="G1065" s="1">
        <v>6936666</v>
      </c>
      <c r="H1065" s="1">
        <v>2635603</v>
      </c>
      <c r="I1065" s="1">
        <v>1169816</v>
      </c>
      <c r="J1065" s="1">
        <v>3351999</v>
      </c>
      <c r="K1065" s="1">
        <v>2785806</v>
      </c>
      <c r="L1065" s="1">
        <v>1941933</v>
      </c>
      <c r="M1065" s="1">
        <v>251388</v>
      </c>
      <c r="O1065" s="1">
        <v>3584667</v>
      </c>
      <c r="P1065" s="1">
        <v>1718866</v>
      </c>
      <c r="Q1065" s="1">
        <v>-370587</v>
      </c>
      <c r="R1065" s="1">
        <v>3.7</v>
      </c>
      <c r="T1065">
        <f>E1065/G1065</f>
        <v>-9.457540553343638E-2</v>
      </c>
      <c r="U1065">
        <f>D1065/C1065</f>
        <v>-5.88553870960258E-2</v>
      </c>
      <c r="V1065">
        <f>(E1065-F1065)/O1065</f>
        <v>-0.18301225748444694</v>
      </c>
      <c r="W1065">
        <f>H1065/K1065</f>
        <v>0.94608274948076065</v>
      </c>
      <c r="X1065">
        <f>(H1065-I1065)/K1065</f>
        <v>0.52616262582534468</v>
      </c>
      <c r="Y1065">
        <f>(H1065-K1065)/G1065</f>
        <v>-2.1653485983035653E-2</v>
      </c>
      <c r="Z1065" t="e">
        <f>J1065/N1065</f>
        <v>#DIV/0!</v>
      </c>
      <c r="AA1065">
        <f>J1065/G1065</f>
        <v>0.48322911900327908</v>
      </c>
      <c r="AB1065">
        <f>C1065/G1065</f>
        <v>0.79536538158244896</v>
      </c>
      <c r="AC1065">
        <f>C1065/(G1065-K1065)</f>
        <v>1.3291664859812184</v>
      </c>
      <c r="AD1065">
        <f>Q1065/E1065</f>
        <v>0.56488648523408702</v>
      </c>
      <c r="AE1065">
        <f>Q1065/J1065</f>
        <v>-0.11055701388932396</v>
      </c>
      <c r="AF1065">
        <f>Q1065/G1065</f>
        <v>-5.3424368421371306E-2</v>
      </c>
      <c r="AG1065">
        <f>Q1065/K1065</f>
        <v>-0.13302685111597864</v>
      </c>
      <c r="AH1065">
        <f>Q1065/L1065</f>
        <v>-0.19083408129940632</v>
      </c>
      <c r="AI1065" s="1">
        <f>R1065</f>
        <v>3.7</v>
      </c>
      <c r="AJ1065" s="1">
        <f>P1065</f>
        <v>1718866</v>
      </c>
    </row>
    <row r="1066" spans="1:36" x14ac:dyDescent="0.25">
      <c r="A1066" t="s">
        <v>174</v>
      </c>
      <c r="B1066">
        <v>2018</v>
      </c>
      <c r="C1066" s="1">
        <v>481213</v>
      </c>
      <c r="D1066" s="1">
        <v>348441</v>
      </c>
      <c r="E1066" s="1">
        <v>868513</v>
      </c>
      <c r="G1066" s="1">
        <v>8267371</v>
      </c>
      <c r="H1066" s="1">
        <v>3515160</v>
      </c>
      <c r="I1066" s="1">
        <v>5425</v>
      </c>
      <c r="J1066" s="1">
        <v>147459</v>
      </c>
      <c r="K1066" s="1">
        <v>75637</v>
      </c>
      <c r="L1066" s="1">
        <v>0</v>
      </c>
      <c r="M1066" s="1">
        <v>0</v>
      </c>
      <c r="O1066" s="1">
        <v>8119912</v>
      </c>
      <c r="P1066" s="1">
        <v>492329</v>
      </c>
      <c r="Q1066" s="1">
        <v>-31352</v>
      </c>
      <c r="R1066" s="1">
        <v>85</v>
      </c>
      <c r="T1066">
        <f>E1066/G1066</f>
        <v>0.10505310575756187</v>
      </c>
      <c r="U1066">
        <f>D1066/C1066</f>
        <v>0.72408891696608357</v>
      </c>
      <c r="V1066">
        <f>(E1066-F1066)/O1066</f>
        <v>0.10696088824607951</v>
      </c>
      <c r="W1066">
        <f>H1066/K1066</f>
        <v>46.474080145960308</v>
      </c>
      <c r="X1066">
        <f>(H1066-I1066)/K1066</f>
        <v>46.402355989793357</v>
      </c>
      <c r="Y1066">
        <f>(H1066-K1066)/G1066</f>
        <v>0.41603588371684297</v>
      </c>
      <c r="Z1066" t="e">
        <f>J1066/N1066</f>
        <v>#DIV/0!</v>
      </c>
      <c r="AA1066">
        <f>J1066/G1066</f>
        <v>1.7836262579724559E-2</v>
      </c>
      <c r="AB1066">
        <f>C1066/G1066</f>
        <v>5.8206290730148678E-2</v>
      </c>
      <c r="AC1066">
        <f>C1066/(G1066-K1066)</f>
        <v>5.8743728739238846E-2</v>
      </c>
      <c r="AD1066">
        <f>Q1066/E1066</f>
        <v>-3.6098480966893991E-2</v>
      </c>
      <c r="AE1066">
        <f>Q1066/J1066</f>
        <v>-0.21261503197498965</v>
      </c>
      <c r="AF1066">
        <f>Q1066/G1066</f>
        <v>-3.7922575387024484E-3</v>
      </c>
      <c r="AG1066">
        <f>Q1066/K1066</f>
        <v>-0.41450612795325037</v>
      </c>
      <c r="AH1066" t="e">
        <f>Q1066/L1066</f>
        <v>#DIV/0!</v>
      </c>
      <c r="AI1066" s="1">
        <f>R1066</f>
        <v>85</v>
      </c>
      <c r="AJ1066" s="1">
        <f>P1066</f>
        <v>492329</v>
      </c>
    </row>
    <row r="1067" spans="1:36" x14ac:dyDescent="0.25">
      <c r="A1067" t="s">
        <v>174</v>
      </c>
      <c r="B1067">
        <v>2019</v>
      </c>
      <c r="C1067" s="1">
        <v>486939</v>
      </c>
      <c r="D1067" s="1">
        <v>183282</v>
      </c>
      <c r="E1067" s="1">
        <v>696505</v>
      </c>
      <c r="G1067" s="1">
        <v>7647522</v>
      </c>
      <c r="H1067" s="1">
        <v>4009271</v>
      </c>
      <c r="I1067" s="1">
        <v>5697</v>
      </c>
      <c r="J1067" s="1">
        <v>237572</v>
      </c>
      <c r="K1067" s="1">
        <v>130726</v>
      </c>
      <c r="L1067" s="1">
        <v>0</v>
      </c>
      <c r="M1067" s="1">
        <v>0</v>
      </c>
      <c r="O1067" s="1">
        <v>7409950</v>
      </c>
      <c r="P1067" s="1">
        <v>243810</v>
      </c>
      <c r="Q1067" s="1">
        <v>124246</v>
      </c>
      <c r="R1067" s="1">
        <v>59.7</v>
      </c>
      <c r="T1067">
        <f>E1067/G1067</f>
        <v>9.1075906679313895E-2</v>
      </c>
      <c r="U1067">
        <f>D1067/C1067</f>
        <v>0.37639622211406359</v>
      </c>
      <c r="V1067">
        <f>(E1067-F1067)/O1067</f>
        <v>9.399591090358235E-2</v>
      </c>
      <c r="W1067">
        <f>H1067/K1067</f>
        <v>30.669270076342887</v>
      </c>
      <c r="X1067">
        <f>(H1067-I1067)/K1067</f>
        <v>30.625690375288773</v>
      </c>
      <c r="Y1067">
        <f>(H1067-K1067)/G1067</f>
        <v>0.50716362764304568</v>
      </c>
      <c r="Z1067" t="e">
        <f>J1067/N1067</f>
        <v>#DIV/0!</v>
      </c>
      <c r="AA1067">
        <f>J1067/G1067</f>
        <v>3.1065226095459419E-2</v>
      </c>
      <c r="AB1067">
        <f>C1067/G1067</f>
        <v>6.367278185012086E-2</v>
      </c>
      <c r="AC1067">
        <f>C1067/(G1067-K1067)</f>
        <v>6.4780127064775997E-2</v>
      </c>
      <c r="AD1067">
        <f>Q1067/E1067</f>
        <v>0.17838493621725615</v>
      </c>
      <c r="AE1067">
        <f>Q1067/J1067</f>
        <v>0.52298250635596788</v>
      </c>
      <c r="AF1067">
        <f>Q1067/G1067</f>
        <v>1.6246569803918184E-2</v>
      </c>
      <c r="AG1067">
        <f>Q1067/K1067</f>
        <v>0.95043067178679064</v>
      </c>
      <c r="AH1067" t="e">
        <f>Q1067/L1067</f>
        <v>#DIV/0!</v>
      </c>
      <c r="AI1067" s="1">
        <f>R1067</f>
        <v>59.7</v>
      </c>
      <c r="AJ1067" s="1">
        <f>P1067</f>
        <v>243810</v>
      </c>
    </row>
    <row r="1068" spans="1:36" x14ac:dyDescent="0.25">
      <c r="A1068" t="s">
        <v>174</v>
      </c>
      <c r="B1068">
        <v>2020</v>
      </c>
      <c r="C1068" s="1">
        <v>317460</v>
      </c>
      <c r="D1068" s="1">
        <v>63487</v>
      </c>
      <c r="E1068" s="1">
        <v>553363</v>
      </c>
      <c r="G1068" s="1">
        <v>8564407</v>
      </c>
      <c r="H1068" s="1">
        <v>4609230</v>
      </c>
      <c r="I1068" s="1">
        <v>3792</v>
      </c>
      <c r="J1068" s="1">
        <v>248476</v>
      </c>
      <c r="K1068" s="1">
        <v>131388</v>
      </c>
      <c r="L1068" s="1">
        <v>0</v>
      </c>
      <c r="M1068" s="1">
        <v>0</v>
      </c>
      <c r="O1068" s="1">
        <v>8315931</v>
      </c>
      <c r="P1068" s="1">
        <v>642363</v>
      </c>
      <c r="Q1068" s="1">
        <v>2291468</v>
      </c>
      <c r="R1068" s="1">
        <v>40</v>
      </c>
      <c r="T1068">
        <f>E1068/G1068</f>
        <v>6.4611945695714837E-2</v>
      </c>
      <c r="U1068">
        <f>D1068/C1068</f>
        <v>0.19998424998424999</v>
      </c>
      <c r="V1068">
        <f>(E1068-F1068)/O1068</f>
        <v>6.6542519412438605E-2</v>
      </c>
      <c r="W1068">
        <f>H1068/K1068</f>
        <v>35.081057630833868</v>
      </c>
      <c r="X1068">
        <f>(H1068-I1068)/K1068</f>
        <v>35.052196547629919</v>
      </c>
      <c r="Y1068">
        <f>(H1068-K1068)/G1068</f>
        <v>0.52284320443902299</v>
      </c>
      <c r="Z1068" t="e">
        <f>J1068/N1068</f>
        <v>#DIV/0!</v>
      </c>
      <c r="AA1068">
        <f>J1068/G1068</f>
        <v>2.9012633332348638E-2</v>
      </c>
      <c r="AB1068">
        <f>C1068/G1068</f>
        <v>3.7067364967592033E-2</v>
      </c>
      <c r="AC1068">
        <f>C1068/(G1068-K1068)</f>
        <v>3.7644881388266764E-2</v>
      </c>
      <c r="AD1068">
        <f>Q1068/E1068</f>
        <v>4.140985212238621</v>
      </c>
      <c r="AE1068">
        <f>Q1068/J1068</f>
        <v>9.2220898597852514</v>
      </c>
      <c r="AF1068">
        <f>Q1068/G1068</f>
        <v>0.26755711165991997</v>
      </c>
      <c r="AG1068">
        <f>Q1068/K1068</f>
        <v>17.440466404846713</v>
      </c>
      <c r="AH1068" t="e">
        <f>Q1068/L1068</f>
        <v>#DIV/0!</v>
      </c>
      <c r="AI1068" s="1">
        <f>R1068</f>
        <v>40</v>
      </c>
      <c r="AJ1068" s="1">
        <f>P1068</f>
        <v>642363</v>
      </c>
    </row>
    <row r="1069" spans="1:36" x14ac:dyDescent="0.25">
      <c r="A1069" t="s">
        <v>174</v>
      </c>
      <c r="B1069">
        <v>2021</v>
      </c>
      <c r="C1069" s="1">
        <v>57670</v>
      </c>
      <c r="D1069" s="1">
        <v>-13485</v>
      </c>
      <c r="E1069" s="1">
        <v>535866</v>
      </c>
      <c r="G1069" s="1">
        <v>8633229</v>
      </c>
      <c r="H1069" s="1">
        <v>690743</v>
      </c>
      <c r="I1069" s="1">
        <v>2404</v>
      </c>
      <c r="J1069" s="1">
        <v>128944</v>
      </c>
      <c r="K1069" s="1">
        <v>51315</v>
      </c>
      <c r="L1069" s="1">
        <v>0</v>
      </c>
      <c r="M1069" s="1">
        <v>0</v>
      </c>
      <c r="O1069" s="1">
        <v>8504285</v>
      </c>
      <c r="P1069" s="1">
        <v>1020901</v>
      </c>
      <c r="Q1069" s="1">
        <v>44400</v>
      </c>
      <c r="R1069" s="1">
        <v>39</v>
      </c>
      <c r="T1069">
        <f>E1069/G1069</f>
        <v>6.2070170963842153E-2</v>
      </c>
      <c r="U1069">
        <f>D1069/C1069</f>
        <v>-0.23383041442691174</v>
      </c>
      <c r="V1069">
        <f>(E1069-F1069)/O1069</f>
        <v>6.3011293718401959E-2</v>
      </c>
      <c r="W1069">
        <f>H1069/K1069</f>
        <v>13.460839910357596</v>
      </c>
      <c r="X1069">
        <f>(H1069-I1069)/K1069</f>
        <v>13.413992010133489</v>
      </c>
      <c r="Y1069">
        <f>(H1069-K1069)/G1069</f>
        <v>7.4065914387305143E-2</v>
      </c>
      <c r="Z1069" t="e">
        <f>J1069/N1069</f>
        <v>#DIV/0!</v>
      </c>
      <c r="AA1069">
        <f>J1069/G1069</f>
        <v>1.4935778953622103E-2</v>
      </c>
      <c r="AB1069">
        <f>C1069/G1069</f>
        <v>6.6800035073782942E-3</v>
      </c>
      <c r="AC1069">
        <f>C1069/(G1069-K1069)</f>
        <v>6.7199461565333792E-3</v>
      </c>
      <c r="AD1069">
        <f>Q1069/E1069</f>
        <v>8.2856535029279713E-2</v>
      </c>
      <c r="AE1069">
        <f>Q1069/J1069</f>
        <v>0.34433552549944163</v>
      </c>
      <c r="AF1069">
        <f>Q1069/G1069</f>
        <v>5.1429192947389669E-3</v>
      </c>
      <c r="AG1069">
        <f>Q1069/K1069</f>
        <v>0.86524408067816427</v>
      </c>
      <c r="AH1069" t="e">
        <f>Q1069/L1069</f>
        <v>#DIV/0!</v>
      </c>
      <c r="AI1069" s="1">
        <f>R1069</f>
        <v>39</v>
      </c>
      <c r="AJ1069" s="1">
        <f>P1069</f>
        <v>1020901</v>
      </c>
    </row>
    <row r="1070" spans="1:36" x14ac:dyDescent="0.25">
      <c r="A1070" t="s">
        <v>174</v>
      </c>
      <c r="B1070">
        <v>2022</v>
      </c>
      <c r="C1070" s="1">
        <v>214147</v>
      </c>
      <c r="D1070" s="1">
        <v>141545</v>
      </c>
      <c r="E1070" s="1">
        <v>2474519</v>
      </c>
      <c r="G1070" s="1">
        <v>10713578</v>
      </c>
      <c r="H1070" s="1">
        <v>1388530</v>
      </c>
      <c r="I1070" s="1">
        <v>4106</v>
      </c>
      <c r="J1070" s="1">
        <v>143469</v>
      </c>
      <c r="K1070" s="1">
        <v>65144</v>
      </c>
      <c r="L1070" s="1">
        <v>0</v>
      </c>
      <c r="M1070" s="1">
        <v>0</v>
      </c>
      <c r="O1070" s="1">
        <v>10570109</v>
      </c>
      <c r="P1070" s="1">
        <v>2787518</v>
      </c>
      <c r="Q1070" s="1">
        <v>1939265</v>
      </c>
      <c r="R1070" s="1">
        <v>68.900000000000006</v>
      </c>
      <c r="T1070">
        <f>E1070/G1070</f>
        <v>0.23097036302904594</v>
      </c>
      <c r="U1070">
        <f>D1070/C1070</f>
        <v>0.66097120202477733</v>
      </c>
      <c r="V1070">
        <f>(E1070-F1070)/O1070</f>
        <v>0.23410534366296507</v>
      </c>
      <c r="W1070">
        <f>H1070/K1070</f>
        <v>21.314779565270786</v>
      </c>
      <c r="X1070">
        <f>(H1070-I1070)/K1070</f>
        <v>21.251749969298785</v>
      </c>
      <c r="Y1070">
        <f>(H1070-K1070)/G1070</f>
        <v>0.12352418585088941</v>
      </c>
      <c r="Z1070" t="e">
        <f>J1070/N1070</f>
        <v>#DIV/0!</v>
      </c>
      <c r="AA1070">
        <f>J1070/G1070</f>
        <v>1.3391324541623723E-2</v>
      </c>
      <c r="AB1070">
        <f>C1070/G1070</f>
        <v>1.9988373632039643E-2</v>
      </c>
      <c r="AC1070">
        <f>C1070/(G1070-K1070)</f>
        <v>2.0110656646789564E-2</v>
      </c>
      <c r="AD1070">
        <f>Q1070/E1070</f>
        <v>0.78369371987040715</v>
      </c>
      <c r="AE1070">
        <f>Q1070/J1070</f>
        <v>13.516961852386229</v>
      </c>
      <c r="AF1070">
        <f>Q1070/G1070</f>
        <v>0.18101002298205138</v>
      </c>
      <c r="AG1070">
        <f>Q1070/K1070</f>
        <v>29.768896598305293</v>
      </c>
      <c r="AH1070" t="e">
        <f>Q1070/L1070</f>
        <v>#DIV/0!</v>
      </c>
      <c r="AI1070" s="1">
        <f>R1070</f>
        <v>68.900000000000006</v>
      </c>
      <c r="AJ1070" s="1">
        <f>P1070</f>
        <v>2787518</v>
      </c>
    </row>
    <row r="1071" spans="1:36" x14ac:dyDescent="0.25">
      <c r="A1071" t="s">
        <v>174</v>
      </c>
      <c r="B1071">
        <v>2023</v>
      </c>
      <c r="C1071" s="1">
        <v>274750</v>
      </c>
      <c r="D1071" s="1">
        <v>436487</v>
      </c>
      <c r="E1071" s="1">
        <v>1999211</v>
      </c>
      <c r="G1071" s="1">
        <v>12695473</v>
      </c>
      <c r="H1071" s="1">
        <v>2493880</v>
      </c>
      <c r="I1071" s="1">
        <v>6429</v>
      </c>
      <c r="J1071" s="1">
        <v>161376</v>
      </c>
      <c r="K1071" s="1">
        <v>79097</v>
      </c>
      <c r="L1071" s="1">
        <v>0</v>
      </c>
      <c r="M1071" s="1">
        <v>0</v>
      </c>
      <c r="O1071" s="1">
        <v>12534097</v>
      </c>
      <c r="P1071" s="1">
        <v>10105543</v>
      </c>
      <c r="Q1071" s="1">
        <v>1107699</v>
      </c>
      <c r="R1071" s="1">
        <v>70</v>
      </c>
      <c r="T1071">
        <f>E1071/G1071</f>
        <v>0.15747432175232856</v>
      </c>
      <c r="U1071">
        <f>D1071/C1071</f>
        <v>1.5886696997270247</v>
      </c>
      <c r="V1071">
        <f>(E1071-F1071)/O1071</f>
        <v>0.15950179737718639</v>
      </c>
      <c r="W1071">
        <f>H1071/K1071</f>
        <v>31.529387966673831</v>
      </c>
      <c r="X1071">
        <f>(H1071-I1071)/K1071</f>
        <v>31.448108019267483</v>
      </c>
      <c r="Y1071">
        <f>(H1071-K1071)/G1071</f>
        <v>0.19020819468482977</v>
      </c>
      <c r="Z1071" t="e">
        <f>J1071/N1071</f>
        <v>#DIV/0!</v>
      </c>
      <c r="AA1071">
        <f>J1071/G1071</f>
        <v>1.2711302682460119E-2</v>
      </c>
      <c r="AB1071">
        <f>C1071/G1071</f>
        <v>2.1641572551097544E-2</v>
      </c>
      <c r="AC1071">
        <f>C1071/(G1071-K1071)</f>
        <v>2.1777252041315191E-2</v>
      </c>
      <c r="AD1071">
        <f>Q1071/E1071</f>
        <v>0.55406807985750384</v>
      </c>
      <c r="AE1071">
        <f>Q1071/J1071</f>
        <v>6.8640875966686492</v>
      </c>
      <c r="AF1071">
        <f>Q1071/G1071</f>
        <v>8.7251495080175434E-2</v>
      </c>
      <c r="AG1071">
        <f>Q1071/K1071</f>
        <v>14.004311162243827</v>
      </c>
      <c r="AH1071" t="e">
        <f>Q1071/L1071</f>
        <v>#DIV/0!</v>
      </c>
      <c r="AI1071" s="1">
        <f>R1071</f>
        <v>70</v>
      </c>
      <c r="AJ1071" s="1">
        <f>P1071</f>
        <v>10105543</v>
      </c>
    </row>
    <row r="1072" spans="1:36" x14ac:dyDescent="0.25">
      <c r="A1072" t="s">
        <v>174</v>
      </c>
      <c r="B1072">
        <v>2024</v>
      </c>
      <c r="C1072" s="1">
        <v>487704</v>
      </c>
      <c r="D1072" s="1">
        <v>245424</v>
      </c>
      <c r="E1072" s="1">
        <v>608523</v>
      </c>
      <c r="G1072" s="1">
        <v>14638077</v>
      </c>
      <c r="H1072" s="1">
        <v>9126409</v>
      </c>
      <c r="I1072" s="1">
        <v>5481</v>
      </c>
      <c r="J1072" s="1">
        <v>284972</v>
      </c>
      <c r="K1072" s="1">
        <v>173862</v>
      </c>
      <c r="L1072" s="1">
        <v>0</v>
      </c>
      <c r="M1072" s="1">
        <v>0</v>
      </c>
      <c r="O1072" s="1">
        <v>14353105</v>
      </c>
      <c r="P1072" s="1">
        <v>10812120</v>
      </c>
      <c r="Q1072" s="1">
        <v>121238</v>
      </c>
      <c r="R1072" s="1">
        <v>86.6</v>
      </c>
      <c r="T1072">
        <f>E1072/G1072</f>
        <v>4.1571239173014321E-2</v>
      </c>
      <c r="U1072">
        <f>D1072/C1072</f>
        <v>0.50322326657152694</v>
      </c>
      <c r="V1072">
        <f>(E1072-F1072)/O1072</f>
        <v>4.2396610350164649E-2</v>
      </c>
      <c r="W1072">
        <f>H1072/K1072</f>
        <v>52.492258227789854</v>
      </c>
      <c r="X1072">
        <f>(H1072-I1072)/K1072</f>
        <v>52.460733225201594</v>
      </c>
      <c r="Y1072">
        <f>(H1072-K1072)/G1072</f>
        <v>0.61159310748262907</v>
      </c>
      <c r="Z1072" t="e">
        <f>J1072/N1072</f>
        <v>#DIV/0!</v>
      </c>
      <c r="AA1072">
        <f>J1072/G1072</f>
        <v>1.9467857697428426E-2</v>
      </c>
      <c r="AB1072">
        <f>C1072/G1072</f>
        <v>3.3317491088481088E-2</v>
      </c>
      <c r="AC1072">
        <f>C1072/(G1072-K1072)</f>
        <v>3.3717972250827302E-2</v>
      </c>
      <c r="AD1072">
        <f>Q1072/E1072</f>
        <v>0.19923322536699517</v>
      </c>
      <c r="AE1072">
        <f>Q1072/J1072</f>
        <v>0.42543828867397498</v>
      </c>
      <c r="AF1072">
        <f>Q1072/G1072</f>
        <v>8.28237206294242E-3</v>
      </c>
      <c r="AG1072">
        <f>Q1072/K1072</f>
        <v>0.69732316434873631</v>
      </c>
      <c r="AH1072" t="e">
        <f>Q1072/L1072</f>
        <v>#DIV/0!</v>
      </c>
      <c r="AI1072" s="1">
        <f>R1072</f>
        <v>86.6</v>
      </c>
      <c r="AJ1072" s="1">
        <f>P1072</f>
        <v>10812120</v>
      </c>
    </row>
    <row r="1073" spans="1:36" x14ac:dyDescent="0.25">
      <c r="A1073" t="s">
        <v>178</v>
      </c>
      <c r="B1073">
        <v>2018</v>
      </c>
      <c r="C1073" s="1">
        <v>3452289</v>
      </c>
      <c r="D1073" s="1">
        <v>2672951</v>
      </c>
      <c r="E1073" s="1">
        <v>2028803</v>
      </c>
      <c r="G1073" s="1">
        <v>19150539</v>
      </c>
      <c r="H1073" s="1">
        <v>2801554</v>
      </c>
      <c r="I1073" s="1">
        <v>1393557</v>
      </c>
      <c r="J1073" s="1">
        <v>3958965</v>
      </c>
      <c r="K1073" s="1">
        <v>9484730</v>
      </c>
      <c r="L1073" s="1">
        <v>4980772</v>
      </c>
      <c r="M1073" s="1">
        <v>3314132</v>
      </c>
      <c r="O1073" s="1">
        <v>15191574</v>
      </c>
      <c r="P1073" s="1">
        <v>7466545</v>
      </c>
      <c r="Q1073" s="1" t="s">
        <v>239</v>
      </c>
      <c r="R1073" s="1">
        <v>105.4</v>
      </c>
      <c r="T1073">
        <f>E1073/G1073</f>
        <v>0.10593973360227615</v>
      </c>
      <c r="U1073">
        <f>D1073/C1073</f>
        <v>0.77425470463220203</v>
      </c>
      <c r="V1073">
        <f>(E1073-F1073)/O1073</f>
        <v>0.13354791281008802</v>
      </c>
      <c r="W1073">
        <f>H1073/K1073</f>
        <v>0.29537519781796634</v>
      </c>
      <c r="X1073">
        <f>(H1073-I1073)/K1073</f>
        <v>0.14844882247570568</v>
      </c>
      <c r="Y1073">
        <f>(H1073-K1073)/G1073</f>
        <v>-0.34898109134160665</v>
      </c>
      <c r="Z1073" t="e">
        <f>J1073/N1073</f>
        <v>#DIV/0!</v>
      </c>
      <c r="AA1073">
        <f>J1073/G1073</f>
        <v>0.206728646123224</v>
      </c>
      <c r="AB1073">
        <f>C1073/G1073</f>
        <v>0.18027111404018445</v>
      </c>
      <c r="AC1073">
        <f>C1073/(G1073-K1073)</f>
        <v>0.35716503398732585</v>
      </c>
      <c r="AD1073" t="e">
        <f>Q1073/E1073</f>
        <v>#VALUE!</v>
      </c>
      <c r="AE1073" t="e">
        <f>Q1073/J1073</f>
        <v>#VALUE!</v>
      </c>
      <c r="AF1073" t="e">
        <f>Q1073/G1073</f>
        <v>#VALUE!</v>
      </c>
      <c r="AG1073" t="e">
        <f>Q1073/K1073</f>
        <v>#VALUE!</v>
      </c>
      <c r="AH1073" t="e">
        <f>Q1073/L1073</f>
        <v>#VALUE!</v>
      </c>
      <c r="AI1073" s="1">
        <f>R1073</f>
        <v>105.4</v>
      </c>
      <c r="AJ1073" s="1">
        <f>P1073</f>
        <v>7466545</v>
      </c>
    </row>
    <row r="1074" spans="1:36" x14ac:dyDescent="0.25">
      <c r="A1074" t="s">
        <v>178</v>
      </c>
      <c r="B1074">
        <v>2019</v>
      </c>
      <c r="C1074" s="1">
        <v>3794578</v>
      </c>
      <c r="D1074" s="1">
        <v>815937</v>
      </c>
      <c r="E1074" s="1">
        <v>57719</v>
      </c>
      <c r="G1074" s="1">
        <v>20285041</v>
      </c>
      <c r="H1074" s="1">
        <v>3459721</v>
      </c>
      <c r="I1074" s="1">
        <v>1911791</v>
      </c>
      <c r="J1074" s="1">
        <v>3530994</v>
      </c>
      <c r="K1074" s="1">
        <v>10838412</v>
      </c>
      <c r="L1074" s="1">
        <v>4884263</v>
      </c>
      <c r="M1074" s="1">
        <v>2959239</v>
      </c>
      <c r="O1074" s="1">
        <v>16754047</v>
      </c>
      <c r="P1074" s="1">
        <v>7247365</v>
      </c>
      <c r="Q1074" s="1">
        <v>1036799</v>
      </c>
      <c r="R1074" s="1">
        <v>59</v>
      </c>
      <c r="T1074">
        <f>E1074/G1074</f>
        <v>2.8453972560370964E-3</v>
      </c>
      <c r="U1074">
        <f>D1074/C1074</f>
        <v>0.21502707283919317</v>
      </c>
      <c r="V1074">
        <f>(E1074-F1074)/O1074</f>
        <v>3.445078075762829E-3</v>
      </c>
      <c r="W1074">
        <f>H1074/K1074</f>
        <v>0.31920921625787985</v>
      </c>
      <c r="X1074">
        <f>(H1074-I1074)/K1074</f>
        <v>0.14281889265696857</v>
      </c>
      <c r="Y1074">
        <f>(H1074-K1074)/G1074</f>
        <v>-0.36375036165813024</v>
      </c>
      <c r="Z1074" t="e">
        <f>J1074/N1074</f>
        <v>#DIV/0!</v>
      </c>
      <c r="AA1074">
        <f>J1074/G1074</f>
        <v>0.1740688618770847</v>
      </c>
      <c r="AB1074">
        <f>C1074/G1074</f>
        <v>0.18706287061485358</v>
      </c>
      <c r="AC1074">
        <f>C1074/(G1074-K1074)</f>
        <v>0.4016859347392599</v>
      </c>
      <c r="AD1074">
        <f>Q1074/E1074</f>
        <v>17.962871844626552</v>
      </c>
      <c r="AE1074">
        <f>Q1074/J1074</f>
        <v>0.29362808319696948</v>
      </c>
      <c r="AF1074">
        <f>Q1074/G1074</f>
        <v>5.1111506257246413E-2</v>
      </c>
      <c r="AG1074">
        <f>Q1074/K1074</f>
        <v>9.5659677819961084E-2</v>
      </c>
      <c r="AH1074">
        <f>Q1074/L1074</f>
        <v>0.21227337676124319</v>
      </c>
      <c r="AI1074" s="1">
        <f>R1074</f>
        <v>59</v>
      </c>
      <c r="AJ1074" s="1">
        <f>P1074</f>
        <v>7247365</v>
      </c>
    </row>
    <row r="1075" spans="1:36" x14ac:dyDescent="0.25">
      <c r="A1075" t="s">
        <v>178</v>
      </c>
      <c r="B1075">
        <v>2020</v>
      </c>
      <c r="C1075" s="1">
        <v>6445391</v>
      </c>
      <c r="D1075" s="1">
        <v>1703780</v>
      </c>
      <c r="E1075" s="1">
        <v>646690</v>
      </c>
      <c r="G1075" s="1">
        <v>25773951</v>
      </c>
      <c r="H1075" s="1">
        <v>6289860</v>
      </c>
      <c r="I1075" s="1">
        <v>4623213</v>
      </c>
      <c r="J1075" s="1">
        <v>4042496</v>
      </c>
      <c r="K1075" s="1">
        <v>11189299</v>
      </c>
      <c r="L1075" s="1">
        <v>7719905</v>
      </c>
      <c r="M1075" s="1">
        <v>2931564</v>
      </c>
      <c r="O1075" s="1">
        <v>21731455</v>
      </c>
      <c r="P1075" s="1">
        <v>12023045</v>
      </c>
      <c r="Q1075" s="1">
        <v>1558544</v>
      </c>
      <c r="R1075" s="1">
        <v>55.9</v>
      </c>
      <c r="T1075">
        <f>E1075/G1075</f>
        <v>2.5090836868588755E-2</v>
      </c>
      <c r="U1075">
        <f>D1075/C1075</f>
        <v>0.26434082897375816</v>
      </c>
      <c r="V1075">
        <f>(E1075-F1075)/O1075</f>
        <v>2.9758246744177968E-2</v>
      </c>
      <c r="W1075">
        <f>H1075/K1075</f>
        <v>0.562131729610586</v>
      </c>
      <c r="X1075">
        <f>(H1075-I1075)/K1075</f>
        <v>0.14895008168072013</v>
      </c>
      <c r="Y1075">
        <f>(H1075-K1075)/G1075</f>
        <v>-0.19009266371306441</v>
      </c>
      <c r="Z1075" t="e">
        <f>J1075/N1075</f>
        <v>#DIV/0!</v>
      </c>
      <c r="AA1075">
        <f>J1075/G1075</f>
        <v>0.15684424945170417</v>
      </c>
      <c r="AB1075">
        <f>C1075/G1075</f>
        <v>0.25007384393646126</v>
      </c>
      <c r="AC1075">
        <f>C1075/(G1075-K1075)</f>
        <v>0.44192970802457265</v>
      </c>
      <c r="AD1075">
        <f>Q1075/E1075</f>
        <v>2.4100326276886919</v>
      </c>
      <c r="AE1075">
        <f>Q1075/J1075</f>
        <v>0.3855400227977962</v>
      </c>
      <c r="AF1075">
        <f>Q1075/G1075</f>
        <v>6.0469735509313262E-2</v>
      </c>
      <c r="AG1075">
        <f>Q1075/K1075</f>
        <v>0.13928879726960555</v>
      </c>
      <c r="AH1075">
        <f>Q1075/L1075</f>
        <v>0.20188642217747499</v>
      </c>
      <c r="AI1075" s="1">
        <f>R1075</f>
        <v>55.9</v>
      </c>
      <c r="AJ1075" s="1">
        <f>P1075</f>
        <v>12023045</v>
      </c>
    </row>
    <row r="1076" spans="1:36" x14ac:dyDescent="0.25">
      <c r="A1076" t="s">
        <v>178</v>
      </c>
      <c r="B1076">
        <v>2021</v>
      </c>
      <c r="C1076" s="1">
        <v>12524229</v>
      </c>
      <c r="D1076" s="1">
        <v>4473528</v>
      </c>
      <c r="E1076" s="1">
        <v>3285290</v>
      </c>
      <c r="G1076" s="1">
        <v>19037594</v>
      </c>
      <c r="H1076" s="1">
        <v>6356039</v>
      </c>
      <c r="I1076" s="1">
        <v>2991462</v>
      </c>
      <c r="J1076" s="1">
        <v>3389342</v>
      </c>
      <c r="K1076" s="1">
        <v>8881035</v>
      </c>
      <c r="L1076" s="1">
        <v>3777642</v>
      </c>
      <c r="M1076" s="1">
        <v>2219021</v>
      </c>
      <c r="O1076" s="1">
        <v>15648252</v>
      </c>
      <c r="P1076" s="1">
        <v>13783646</v>
      </c>
      <c r="Q1076" s="1">
        <v>6707481</v>
      </c>
      <c r="R1076" s="1">
        <v>257</v>
      </c>
      <c r="T1076">
        <f>E1076/G1076</f>
        <v>0.17256855041661251</v>
      </c>
      <c r="U1076">
        <f>D1076/C1076</f>
        <v>0.35718989168914111</v>
      </c>
      <c r="V1076">
        <f>(E1076-F1076)/O1076</f>
        <v>0.20994613328057346</v>
      </c>
      <c r="W1076">
        <f>H1076/K1076</f>
        <v>0.71568674146650701</v>
      </c>
      <c r="X1076">
        <f>(H1076-I1076)/K1076</f>
        <v>0.37884964984374003</v>
      </c>
      <c r="Y1076">
        <f>(H1076-K1076)/G1076</f>
        <v>-0.13263209626174399</v>
      </c>
      <c r="Z1076" t="e">
        <f>J1076/N1076</f>
        <v>#DIV/0!</v>
      </c>
      <c r="AA1076">
        <f>J1076/G1076</f>
        <v>0.17803415704736639</v>
      </c>
      <c r="AB1076">
        <f>C1076/G1076</f>
        <v>0.65786826843770274</v>
      </c>
      <c r="AC1076">
        <f>C1076/(G1076-K1076)</f>
        <v>1.2331173382638747</v>
      </c>
      <c r="AD1076">
        <f>Q1076/E1076</f>
        <v>2.0416709027209166</v>
      </c>
      <c r="AE1076">
        <f>Q1076/J1076</f>
        <v>1.9789920875497369</v>
      </c>
      <c r="AF1076">
        <f>Q1076/G1076</f>
        <v>0.35232818811032529</v>
      </c>
      <c r="AG1076">
        <f>Q1076/K1076</f>
        <v>0.7552589309691945</v>
      </c>
      <c r="AH1076">
        <f>Q1076/L1076</f>
        <v>1.7755734926708249</v>
      </c>
      <c r="AI1076" s="1">
        <f>R1076</f>
        <v>257</v>
      </c>
      <c r="AJ1076" s="1">
        <f>P1076</f>
        <v>13783646</v>
      </c>
    </row>
    <row r="1077" spans="1:36" x14ac:dyDescent="0.25">
      <c r="A1077" t="s">
        <v>178</v>
      </c>
      <c r="B1077">
        <v>2022</v>
      </c>
      <c r="C1077" s="1">
        <v>14374446</v>
      </c>
      <c r="D1077" s="1">
        <v>7763620</v>
      </c>
      <c r="E1077" s="1">
        <v>6387549</v>
      </c>
      <c r="G1077" s="1">
        <v>21120198</v>
      </c>
      <c r="H1077" s="1">
        <v>11307121</v>
      </c>
      <c r="I1077" s="1">
        <v>2908697</v>
      </c>
      <c r="J1077" s="1">
        <v>3167459</v>
      </c>
      <c r="K1077" s="1">
        <v>12765253</v>
      </c>
      <c r="L1077" s="1">
        <v>3178408</v>
      </c>
      <c r="M1077" s="1">
        <v>1652755</v>
      </c>
      <c r="O1077" s="1">
        <v>17952739</v>
      </c>
      <c r="P1077" s="1">
        <v>15534919</v>
      </c>
      <c r="Q1077" s="1">
        <v>8405879</v>
      </c>
      <c r="R1077" s="1">
        <v>40.700000000000003</v>
      </c>
      <c r="T1077">
        <f>E1077/G1077</f>
        <v>0.30243793168984495</v>
      </c>
      <c r="U1077">
        <f>D1077/C1077</f>
        <v>0.54009872797880354</v>
      </c>
      <c r="V1077">
        <f>(E1077-F1077)/O1077</f>
        <v>0.35579802056945181</v>
      </c>
      <c r="W1077">
        <f>H1077/K1077</f>
        <v>0.88577335678344959</v>
      </c>
      <c r="X1077">
        <f>(H1077-I1077)/K1077</f>
        <v>0.65791285139432798</v>
      </c>
      <c r="Y1077">
        <f>(H1077-K1077)/G1077</f>
        <v>-6.9039693661962831E-2</v>
      </c>
      <c r="Z1077" t="e">
        <f>J1077/N1077</f>
        <v>#DIV/0!</v>
      </c>
      <c r="AA1077">
        <f>J1077/G1077</f>
        <v>0.14997297847302379</v>
      </c>
      <c r="AB1077">
        <f>C1077/G1077</f>
        <v>0.6806018579939449</v>
      </c>
      <c r="AC1077">
        <f>C1077/(G1077-K1077)</f>
        <v>1.7204716488259348</v>
      </c>
      <c r="AD1077">
        <f>Q1077/E1077</f>
        <v>1.3159787893603634</v>
      </c>
      <c r="AE1077">
        <f>Q1077/J1077</f>
        <v>2.6538240905407142</v>
      </c>
      <c r="AF1077">
        <f>Q1077/G1077</f>
        <v>0.39800190320185447</v>
      </c>
      <c r="AG1077">
        <f>Q1077/K1077</f>
        <v>0.65849685862082008</v>
      </c>
      <c r="AH1077">
        <f>Q1077/L1077</f>
        <v>2.6446821805130116</v>
      </c>
      <c r="AI1077" s="1">
        <f>R1077</f>
        <v>40.700000000000003</v>
      </c>
      <c r="AJ1077" s="1">
        <f>P1077</f>
        <v>15534919</v>
      </c>
    </row>
    <row r="1078" spans="1:36" x14ac:dyDescent="0.25">
      <c r="A1078" t="s">
        <v>178</v>
      </c>
      <c r="B1078">
        <v>2023</v>
      </c>
      <c r="C1078" s="1">
        <v>16908567</v>
      </c>
      <c r="D1078" s="1">
        <v>6475349</v>
      </c>
      <c r="E1078" s="1">
        <v>4747350</v>
      </c>
      <c r="G1078" s="1">
        <v>22887057</v>
      </c>
      <c r="H1078" s="1">
        <v>10204972</v>
      </c>
      <c r="I1078" s="1">
        <v>6016179</v>
      </c>
      <c r="J1078" s="1">
        <v>4069834</v>
      </c>
      <c r="K1078" s="1">
        <v>12948398</v>
      </c>
      <c r="L1078" s="1">
        <v>5554111</v>
      </c>
      <c r="M1078" s="1">
        <v>1771352</v>
      </c>
      <c r="O1078" s="1">
        <v>18817223</v>
      </c>
      <c r="P1078" s="1">
        <v>16416950</v>
      </c>
      <c r="Q1078" s="1">
        <v>-5610807</v>
      </c>
      <c r="R1078" s="1">
        <v>27.6</v>
      </c>
      <c r="T1078">
        <f>E1078/G1078</f>
        <v>0.20742509620175281</v>
      </c>
      <c r="U1078">
        <f>D1078/C1078</f>
        <v>0.38296261297601386</v>
      </c>
      <c r="V1078">
        <f>(E1078-F1078)/O1078</f>
        <v>0.25228749215545782</v>
      </c>
      <c r="W1078">
        <f>H1078/K1078</f>
        <v>0.78812622225544815</v>
      </c>
      <c r="X1078">
        <f>(H1078-I1078)/K1078</f>
        <v>0.32349893786088441</v>
      </c>
      <c r="Y1078">
        <f>(H1078-K1078)/G1078</f>
        <v>-0.11986801098979218</v>
      </c>
      <c r="Z1078" t="e">
        <f>J1078/N1078</f>
        <v>#DIV/0!</v>
      </c>
      <c r="AA1078">
        <f>J1078/G1078</f>
        <v>0.17782251339698241</v>
      </c>
      <c r="AB1078">
        <f>C1078/G1078</f>
        <v>0.73878292870944484</v>
      </c>
      <c r="AC1078">
        <f>C1078/(G1078-K1078)</f>
        <v>1.7012925989311032</v>
      </c>
      <c r="AD1078">
        <f>Q1078/E1078</f>
        <v>-1.1818818920029068</v>
      </c>
      <c r="AE1078">
        <f>Q1078/J1078</f>
        <v>-1.3786328877295733</v>
      </c>
      <c r="AF1078">
        <f>Q1078/G1078</f>
        <v>-0.24515196514781259</v>
      </c>
      <c r="AG1078">
        <f>Q1078/K1078</f>
        <v>-0.43332055440371853</v>
      </c>
      <c r="AH1078">
        <f>Q1078/L1078</f>
        <v>-1.0102079342670682</v>
      </c>
      <c r="AI1078" s="1">
        <f>R1078</f>
        <v>27.6</v>
      </c>
      <c r="AJ1078" s="1">
        <f>P1078</f>
        <v>16416950</v>
      </c>
    </row>
    <row r="1079" spans="1:36" x14ac:dyDescent="0.25">
      <c r="A1079" t="s">
        <v>178</v>
      </c>
      <c r="B1079">
        <v>2024</v>
      </c>
      <c r="C1079" s="1">
        <v>17550480</v>
      </c>
      <c r="D1079" s="1">
        <v>6699475</v>
      </c>
      <c r="E1079" s="1">
        <v>4811687</v>
      </c>
      <c r="G1079" s="1">
        <v>23814263</v>
      </c>
      <c r="H1079" s="1">
        <v>11464907</v>
      </c>
      <c r="I1079" s="1">
        <v>7179019</v>
      </c>
      <c r="J1079" s="1">
        <v>4779709</v>
      </c>
      <c r="K1079" s="1">
        <v>12992822</v>
      </c>
      <c r="L1079" s="1">
        <v>7007173</v>
      </c>
      <c r="M1079" s="1">
        <v>2353861</v>
      </c>
      <c r="O1079" s="1">
        <v>19034554</v>
      </c>
      <c r="P1079" s="1">
        <v>18494207</v>
      </c>
      <c r="Q1079" s="1">
        <v>1549785</v>
      </c>
      <c r="R1079" s="1">
        <v>31.1</v>
      </c>
      <c r="T1079">
        <f>E1079/G1079</f>
        <v>0.20205063662898154</v>
      </c>
      <c r="U1079">
        <f>D1079/C1079</f>
        <v>0.38172602686650164</v>
      </c>
      <c r="V1079">
        <f>(E1079-F1079)/O1079</f>
        <v>0.25278695786620481</v>
      </c>
      <c r="W1079">
        <f>H1079/K1079</f>
        <v>0.88240314536749598</v>
      </c>
      <c r="X1079">
        <f>(H1079-I1079)/K1079</f>
        <v>0.329865828993886</v>
      </c>
      <c r="Y1079">
        <f>(H1079-K1079)/G1079</f>
        <v>-6.4159659276459655E-2</v>
      </c>
      <c r="Z1079" t="e">
        <f>J1079/N1079</f>
        <v>#DIV/0!</v>
      </c>
      <c r="AA1079">
        <f>J1079/G1079</f>
        <v>0.20070782790968589</v>
      </c>
      <c r="AB1079">
        <f>C1079/G1079</f>
        <v>0.73697346837901301</v>
      </c>
      <c r="AC1079">
        <f>C1079/(G1079-K1079)</f>
        <v>1.621824671963743</v>
      </c>
      <c r="AD1079">
        <f>Q1079/E1079</f>
        <v>0.32208765865277605</v>
      </c>
      <c r="AE1079">
        <f>Q1079/J1079</f>
        <v>0.32424254279915365</v>
      </c>
      <c r="AF1079">
        <f>Q1079/G1079</f>
        <v>6.5078016481131498E-2</v>
      </c>
      <c r="AG1079">
        <f>Q1079/K1079</f>
        <v>0.11928009173064943</v>
      </c>
      <c r="AH1079">
        <f>Q1079/L1079</f>
        <v>0.22117121983430407</v>
      </c>
      <c r="AI1079" s="1">
        <f>R1079</f>
        <v>31.1</v>
      </c>
      <c r="AJ1079" s="1">
        <f>P1079</f>
        <v>18494207</v>
      </c>
    </row>
    <row r="1080" spans="1:36" x14ac:dyDescent="0.25">
      <c r="A1080" t="s">
        <v>66</v>
      </c>
      <c r="B1080">
        <v>2018</v>
      </c>
      <c r="C1080" s="5">
        <v>1278950</v>
      </c>
      <c r="D1080" s="5">
        <v>38922</v>
      </c>
      <c r="E1080" s="5">
        <v>-131809</v>
      </c>
      <c r="F1080" s="5"/>
      <c r="G1080" s="5">
        <v>8852640</v>
      </c>
      <c r="H1080" s="5">
        <v>709488</v>
      </c>
      <c r="I1080" s="5">
        <v>28205</v>
      </c>
      <c r="J1080" s="1">
        <f>1959383+K1080</f>
        <v>4658420</v>
      </c>
      <c r="K1080" s="1">
        <v>2699037</v>
      </c>
      <c r="L1080" s="1">
        <f>1714008+M1080</f>
        <v>3265192</v>
      </c>
      <c r="M1080" s="1">
        <v>1551184</v>
      </c>
      <c r="N1080" s="1">
        <v>2678560</v>
      </c>
      <c r="O1080" s="1">
        <v>4194219</v>
      </c>
      <c r="P1080" s="1">
        <v>-429203</v>
      </c>
      <c r="Q1080" s="1">
        <v>-187155</v>
      </c>
      <c r="R1080" s="1">
        <v>7.5</v>
      </c>
      <c r="T1080">
        <f>E1080/G1080</f>
        <v>-1.4889230783133619E-2</v>
      </c>
      <c r="U1080">
        <f>D1080/C1080</f>
        <v>3.0432776887290354E-2</v>
      </c>
      <c r="V1080">
        <f>(E1080-F1080)/O1080</f>
        <v>-3.1426351366011171E-2</v>
      </c>
      <c r="W1080">
        <f>H1080/K1080</f>
        <v>0.26286708926183672</v>
      </c>
      <c r="X1080">
        <f>(H1080-I1080)/K1080</f>
        <v>0.25241706579050233</v>
      </c>
      <c r="Y1080">
        <f>(H1080-K1080)/G1080</f>
        <v>-0.22474075530011386</v>
      </c>
      <c r="Z1080">
        <f>J1080/N1080</f>
        <v>1.7391508870437846</v>
      </c>
      <c r="AA1080">
        <f>J1080/G1080</f>
        <v>0.52621816768783103</v>
      </c>
      <c r="AB1080">
        <f>C1080/G1080</f>
        <v>0.14447102785157873</v>
      </c>
      <c r="AC1080">
        <f>C1080/(G1080-K1080)</f>
        <v>0.20783758718266354</v>
      </c>
      <c r="AD1080">
        <f>Q1080/E1080</f>
        <v>1.4198954547868508</v>
      </c>
      <c r="AE1080">
        <f>Q1080/J1080</f>
        <v>-4.0175638950545461E-2</v>
      </c>
      <c r="AF1080">
        <f>Q1080/G1080</f>
        <v>-2.1141151114243886E-2</v>
      </c>
      <c r="AG1080">
        <f>Q1080/K1080</f>
        <v>-6.9341398432107446E-2</v>
      </c>
      <c r="AH1080">
        <f>Q1080/L1080</f>
        <v>-5.7318222021859662E-2</v>
      </c>
      <c r="AI1080" s="1">
        <f>R1080</f>
        <v>7.5</v>
      </c>
      <c r="AJ1080" s="1">
        <f>P1080</f>
        <v>-429203</v>
      </c>
    </row>
    <row r="1081" spans="1:36" x14ac:dyDescent="0.25">
      <c r="A1081" t="s">
        <v>66</v>
      </c>
      <c r="B1081">
        <v>2019</v>
      </c>
      <c r="C1081" s="5">
        <v>1454625</v>
      </c>
      <c r="D1081" s="5">
        <v>127989</v>
      </c>
      <c r="E1081" s="5">
        <v>-295990</v>
      </c>
      <c r="F1081" s="5"/>
      <c r="G1081" s="5">
        <v>8405192</v>
      </c>
      <c r="H1081" s="5">
        <v>359509</v>
      </c>
      <c r="I1081" s="5">
        <v>31389</v>
      </c>
      <c r="J1081" s="1">
        <f>3123767+K1081</f>
        <v>4501600</v>
      </c>
      <c r="K1081" s="1">
        <v>1377833</v>
      </c>
      <c r="L1081" s="1">
        <f>696420+M1081</f>
        <v>2755104</v>
      </c>
      <c r="M1081" s="1">
        <v>2058684</v>
      </c>
      <c r="N1081" s="1">
        <v>2444946</v>
      </c>
      <c r="O1081" s="1">
        <v>3903591</v>
      </c>
      <c r="P1081" s="1">
        <v>-668104</v>
      </c>
      <c r="Q1081" s="1">
        <v>-391395</v>
      </c>
      <c r="R1081" s="1">
        <v>4.2</v>
      </c>
      <c r="T1081">
        <f>E1081/G1081</f>
        <v>-3.5215138452518398E-2</v>
      </c>
      <c r="U1081">
        <f>D1081/C1081</f>
        <v>8.7987625676720804E-2</v>
      </c>
      <c r="V1081">
        <f>(E1081-F1081)/O1081</f>
        <v>-7.5825054417842444E-2</v>
      </c>
      <c r="W1081">
        <f>H1081/K1081</f>
        <v>0.26092349363094075</v>
      </c>
      <c r="X1081">
        <f>(H1081-I1081)/K1081</f>
        <v>0.2381420680154997</v>
      </c>
      <c r="Y1081">
        <f>(H1081-K1081)/G1081</f>
        <v>-0.12115416280794061</v>
      </c>
      <c r="Z1081">
        <f>J1081/N1081</f>
        <v>1.8411858585015783</v>
      </c>
      <c r="AA1081">
        <f>J1081/G1081</f>
        <v>0.53557372633486544</v>
      </c>
      <c r="AB1081">
        <f>C1081/G1081</f>
        <v>0.1730626736426723</v>
      </c>
      <c r="AC1081">
        <f>C1081/(G1081-K1081)</f>
        <v>0.20699454802294859</v>
      </c>
      <c r="AD1081">
        <f>Q1081/E1081</f>
        <v>1.322325078549951</v>
      </c>
      <c r="AE1081">
        <f>Q1081/J1081</f>
        <v>-8.6945752621290201E-2</v>
      </c>
      <c r="AF1081">
        <f>Q1081/G1081</f>
        <v>-4.6565860720373789E-2</v>
      </c>
      <c r="AG1081">
        <f>Q1081/K1081</f>
        <v>-0.28406563059528983</v>
      </c>
      <c r="AH1081">
        <f>Q1081/L1081</f>
        <v>-0.14206178786717308</v>
      </c>
      <c r="AI1081" s="1">
        <f>R1081</f>
        <v>4.2</v>
      </c>
      <c r="AJ1081" s="1">
        <f>P1081</f>
        <v>-668104</v>
      </c>
    </row>
    <row r="1082" spans="1:36" x14ac:dyDescent="0.25">
      <c r="A1082" t="s">
        <v>66</v>
      </c>
      <c r="B1082">
        <v>2020</v>
      </c>
      <c r="C1082" s="5">
        <v>1193500</v>
      </c>
      <c r="D1082" s="5">
        <v>-60042</v>
      </c>
      <c r="E1082" s="5">
        <v>-423139</v>
      </c>
      <c r="F1082" s="5"/>
      <c r="G1082" s="5">
        <v>8577190</v>
      </c>
      <c r="H1082" s="5">
        <v>292901</v>
      </c>
      <c r="I1082" s="5">
        <v>30651</v>
      </c>
      <c r="J1082" s="1">
        <f>G1082-O1082</f>
        <v>4250157</v>
      </c>
      <c r="K1082" s="1">
        <v>1157642</v>
      </c>
      <c r="L1082" s="1">
        <f>439928+M1082</f>
        <v>3060209</v>
      </c>
      <c r="M1082" s="1">
        <v>2620281</v>
      </c>
      <c r="N1082" s="1">
        <v>3400940</v>
      </c>
      <c r="O1082" s="1">
        <v>4327033</v>
      </c>
      <c r="P1082" s="1">
        <v>-561897</v>
      </c>
      <c r="Q1082" s="1">
        <v>101351</v>
      </c>
      <c r="R1082" s="1">
        <v>5.8</v>
      </c>
      <c r="T1082">
        <f>E1082/G1082</f>
        <v>-4.9333056630434913E-2</v>
      </c>
      <c r="U1082">
        <f>D1082/C1082</f>
        <v>-5.0307498952660241E-2</v>
      </c>
      <c r="V1082">
        <f>(E1082-F1082)/O1082</f>
        <v>-9.778964015296393E-2</v>
      </c>
      <c r="W1082">
        <f>H1082/K1082</f>
        <v>0.25301518085902203</v>
      </c>
      <c r="X1082">
        <f>(H1082-I1082)/K1082</f>
        <v>0.22653808344894191</v>
      </c>
      <c r="Y1082">
        <f>(H1082-K1082)/G1082</f>
        <v>-0.10081868304188202</v>
      </c>
      <c r="Z1082">
        <f>J1082/N1082</f>
        <v>1.2497006709909613</v>
      </c>
      <c r="AA1082">
        <f>J1082/G1082</f>
        <v>0.49551857892853018</v>
      </c>
      <c r="AB1082">
        <f>C1082/G1082</f>
        <v>0.1391481359279671</v>
      </c>
      <c r="AC1082">
        <f>C1082/(G1082-K1082)</f>
        <v>0.16085885555292587</v>
      </c>
      <c r="AD1082">
        <f>Q1082/E1082</f>
        <v>-0.23952176471561354</v>
      </c>
      <c r="AE1082">
        <f>Q1082/J1082</f>
        <v>2.3846413203088734E-2</v>
      </c>
      <c r="AF1082">
        <f>Q1082/G1082</f>
        <v>1.1816340782937069E-2</v>
      </c>
      <c r="AG1082">
        <f>Q1082/K1082</f>
        <v>8.7549518763140932E-2</v>
      </c>
      <c r="AH1082">
        <f>Q1082/L1082</f>
        <v>3.311897978209985E-2</v>
      </c>
      <c r="AI1082" s="1">
        <f>R1082</f>
        <v>5.8</v>
      </c>
      <c r="AJ1082" s="1">
        <f>P1082</f>
        <v>-561897</v>
      </c>
    </row>
    <row r="1083" spans="1:36" x14ac:dyDescent="0.25">
      <c r="A1083" t="s">
        <v>66</v>
      </c>
      <c r="B1083">
        <v>2021</v>
      </c>
      <c r="C1083" s="5">
        <v>494930</v>
      </c>
      <c r="D1083" s="5">
        <v>-403576</v>
      </c>
      <c r="E1083" s="5">
        <v>-715308</v>
      </c>
      <c r="F1083" s="5"/>
      <c r="G1083" s="5">
        <v>8807048</v>
      </c>
      <c r="H1083" s="5">
        <v>214143</v>
      </c>
      <c r="I1083" s="5">
        <v>27554</v>
      </c>
      <c r="J1083" s="1">
        <f>G1083-O1083</f>
        <v>4634598</v>
      </c>
      <c r="K1083" s="1">
        <v>1639408</v>
      </c>
      <c r="L1083" s="1">
        <f>744192+M1083</f>
        <v>3261512</v>
      </c>
      <c r="M1083" s="1">
        <v>2517320</v>
      </c>
      <c r="N1083" s="1">
        <v>3127848</v>
      </c>
      <c r="O1083" s="1">
        <v>4172450</v>
      </c>
      <c r="P1083" s="1">
        <v>-1076657</v>
      </c>
      <c r="Q1083" s="1">
        <v>-154516</v>
      </c>
      <c r="R1083" s="1">
        <v>8.3000000000000007</v>
      </c>
      <c r="T1083">
        <f>E1083/G1083</f>
        <v>-8.1219950203518812E-2</v>
      </c>
      <c r="U1083">
        <f>D1083/C1083</f>
        <v>-0.81542036247550154</v>
      </c>
      <c r="V1083">
        <f>(E1083-F1083)/O1083</f>
        <v>-0.17143596687797338</v>
      </c>
      <c r="W1083">
        <f>H1083/K1083</f>
        <v>0.13062215141075315</v>
      </c>
      <c r="X1083">
        <f>(H1083-I1083)/K1083</f>
        <v>0.11381486487805353</v>
      </c>
      <c r="Y1083">
        <f>(H1083-K1083)/G1083</f>
        <v>-0.16183231884281771</v>
      </c>
      <c r="Z1083">
        <f>J1083/N1083</f>
        <v>1.4817209787687893</v>
      </c>
      <c r="AA1083">
        <f>J1083/G1083</f>
        <v>0.5262373953224736</v>
      </c>
      <c r="AB1083">
        <f>C1083/G1083</f>
        <v>5.6197036736940688E-2</v>
      </c>
      <c r="AC1083">
        <f>C1083/(G1083-K1083)</f>
        <v>6.9050621962040509E-2</v>
      </c>
      <c r="AD1083">
        <f>Q1083/E1083</f>
        <v>0.21601324184826676</v>
      </c>
      <c r="AE1083">
        <f>Q1083/J1083</f>
        <v>-3.3339676925593115E-2</v>
      </c>
      <c r="AF1083">
        <f>Q1083/G1083</f>
        <v>-1.7544584746216892E-2</v>
      </c>
      <c r="AG1083">
        <f>Q1083/K1083</f>
        <v>-9.4251095517406278E-2</v>
      </c>
      <c r="AH1083">
        <f>Q1083/L1083</f>
        <v>-4.7375573047102083E-2</v>
      </c>
      <c r="AI1083" s="1">
        <f>R1083</f>
        <v>8.3000000000000007</v>
      </c>
      <c r="AJ1083" s="1">
        <f>P1083</f>
        <v>-1076657</v>
      </c>
    </row>
    <row r="1084" spans="1:36" x14ac:dyDescent="0.25">
      <c r="A1084" t="s">
        <v>66</v>
      </c>
      <c r="B1084">
        <v>2022</v>
      </c>
      <c r="C1084" s="5">
        <v>848527</v>
      </c>
      <c r="D1084" s="5">
        <v>-311378</v>
      </c>
      <c r="E1084" s="5">
        <v>-561822</v>
      </c>
      <c r="F1084" s="5"/>
      <c r="G1084" s="5">
        <v>9954988</v>
      </c>
      <c r="H1084" s="5">
        <v>329471</v>
      </c>
      <c r="I1084" s="5">
        <v>39208</v>
      </c>
      <c r="J1084" s="1">
        <f>G1084-O1084</f>
        <v>5211216</v>
      </c>
      <c r="K1084" s="1">
        <v>1887650</v>
      </c>
      <c r="L1084" s="1">
        <f>800230+M1084</f>
        <v>3585769</v>
      </c>
      <c r="M1084" s="1">
        <v>2785539</v>
      </c>
      <c r="N1084" s="1">
        <v>3409373</v>
      </c>
      <c r="O1084" s="1">
        <v>4743772</v>
      </c>
      <c r="P1084" s="1">
        <v>-1428454</v>
      </c>
      <c r="Q1084" s="1">
        <v>63533</v>
      </c>
      <c r="R1084" s="1">
        <v>5.8</v>
      </c>
      <c r="T1084">
        <f>E1084/G1084</f>
        <v>-5.6436230761905487E-2</v>
      </c>
      <c r="U1084">
        <f>D1084/C1084</f>
        <v>-0.3669629840888976</v>
      </c>
      <c r="V1084">
        <f>(E1084-F1084)/O1084</f>
        <v>-0.11843360094034873</v>
      </c>
      <c r="W1084">
        <f>H1084/K1084</f>
        <v>0.1745403014329987</v>
      </c>
      <c r="X1084">
        <f>(H1084-I1084)/K1084</f>
        <v>0.15376950176144943</v>
      </c>
      <c r="Y1084">
        <f>(H1084-K1084)/G1084</f>
        <v>-0.15652243880153346</v>
      </c>
      <c r="Z1084">
        <f>J1084/N1084</f>
        <v>1.5284968819780058</v>
      </c>
      <c r="AA1084">
        <f>J1084/G1084</f>
        <v>0.52347787862727713</v>
      </c>
      <c r="AB1084">
        <f>C1084/G1084</f>
        <v>8.5236365930325575E-2</v>
      </c>
      <c r="AC1084">
        <f>C1084/(G1084-K1084)</f>
        <v>0.10518054406546497</v>
      </c>
      <c r="AD1084">
        <f>Q1084/E1084</f>
        <v>-0.11308385930063258</v>
      </c>
      <c r="AE1084">
        <f>Q1084/J1084</f>
        <v>1.219158829724195E-2</v>
      </c>
      <c r="AF1084">
        <f>Q1084/G1084</f>
        <v>6.3820267789373528E-3</v>
      </c>
      <c r="AG1084">
        <f>Q1084/K1084</f>
        <v>3.3657192805869734E-2</v>
      </c>
      <c r="AH1084">
        <f>Q1084/L1084</f>
        <v>1.771809617407033E-2</v>
      </c>
      <c r="AI1084" s="1">
        <f>R1084</f>
        <v>5.8</v>
      </c>
      <c r="AJ1084" s="1">
        <f>P1084</f>
        <v>-1428454</v>
      </c>
    </row>
    <row r="1085" spans="1:36" x14ac:dyDescent="0.25">
      <c r="A1085" t="s">
        <v>66</v>
      </c>
      <c r="B1085">
        <v>2023</v>
      </c>
      <c r="C1085" s="5">
        <v>1625242</v>
      </c>
      <c r="D1085" s="5">
        <v>-277004</v>
      </c>
      <c r="E1085" s="5">
        <v>-1437263</v>
      </c>
      <c r="F1085" s="5"/>
      <c r="G1085" s="5">
        <v>9992190</v>
      </c>
      <c r="H1085" s="5">
        <v>461548</v>
      </c>
      <c r="I1085" s="5">
        <v>61315</v>
      </c>
      <c r="J1085" s="1">
        <f>G1085-O1085</f>
        <v>6631243</v>
      </c>
      <c r="K1085" s="1">
        <v>2625966</v>
      </c>
      <c r="L1085" s="1">
        <f>869536+M1085</f>
        <v>4091470</v>
      </c>
      <c r="M1085" s="1">
        <v>3221934</v>
      </c>
      <c r="N1085" s="1">
        <v>2311730</v>
      </c>
      <c r="O1085" s="1">
        <v>3360947</v>
      </c>
      <c r="P1085" s="1">
        <v>-2559954</v>
      </c>
      <c r="Q1085" s="1">
        <v>113468</v>
      </c>
      <c r="R1085" s="1">
        <v>5.8</v>
      </c>
      <c r="T1085">
        <f>E1085/G1085</f>
        <v>-0.14383863797625945</v>
      </c>
      <c r="U1085">
        <f>D1085/C1085</f>
        <v>-0.17043861775661717</v>
      </c>
      <c r="V1085">
        <f>(E1085-F1085)/O1085</f>
        <v>-0.42763631797823648</v>
      </c>
      <c r="W1085">
        <f>H1085/K1085</f>
        <v>0.1757631286924507</v>
      </c>
      <c r="X1085">
        <f>(H1085-I1085)/K1085</f>
        <v>0.15241362607132003</v>
      </c>
      <c r="Y1085">
        <f>(H1085-K1085)/G1085</f>
        <v>-0.2166109731700458</v>
      </c>
      <c r="Z1085">
        <f>J1085/N1085</f>
        <v>2.8685196800664436</v>
      </c>
      <c r="AA1085">
        <f>J1085/G1085</f>
        <v>0.66364260487440696</v>
      </c>
      <c r="AB1085">
        <f>C1085/G1085</f>
        <v>0.16265123061110728</v>
      </c>
      <c r="AC1085">
        <f>C1085/(G1085-K1085)</f>
        <v>0.22063434400039966</v>
      </c>
      <c r="AD1085">
        <f>Q1085/E1085</f>
        <v>-7.8947276872778333E-2</v>
      </c>
      <c r="AE1085">
        <f>Q1085/J1085</f>
        <v>1.7111120795905082E-2</v>
      </c>
      <c r="AF1085">
        <f>Q1085/G1085</f>
        <v>1.1355668777315083E-2</v>
      </c>
      <c r="AG1085">
        <f>Q1085/K1085</f>
        <v>4.3210003480623892E-2</v>
      </c>
      <c r="AH1085">
        <f>Q1085/L1085</f>
        <v>2.773281974449281E-2</v>
      </c>
      <c r="AI1085" s="1">
        <f>R1085</f>
        <v>5.8</v>
      </c>
      <c r="AJ1085" s="1">
        <f>P1085</f>
        <v>-2559954</v>
      </c>
    </row>
    <row r="1086" spans="1:36" x14ac:dyDescent="0.25">
      <c r="A1086" s="15" t="s">
        <v>66</v>
      </c>
      <c r="B1086" s="15">
        <v>2024</v>
      </c>
      <c r="C1086" s="11">
        <v>2186308</v>
      </c>
      <c r="D1086" s="11">
        <v>-64679</v>
      </c>
      <c r="E1086" s="11">
        <v>-846158</v>
      </c>
      <c r="F1086" s="11"/>
      <c r="G1086" s="11">
        <v>10843194</v>
      </c>
      <c r="H1086" s="11">
        <v>582715</v>
      </c>
      <c r="I1086" s="11">
        <v>68170</v>
      </c>
      <c r="J1086" s="6">
        <f>G1086-O1086</f>
        <v>8050890</v>
      </c>
      <c r="K1086" s="6">
        <v>4009100</v>
      </c>
      <c r="L1086" s="6">
        <f>1316350+M1086</f>
        <v>3915519</v>
      </c>
      <c r="M1086" s="6">
        <v>2599169</v>
      </c>
      <c r="N1086" s="6">
        <v>1849030</v>
      </c>
      <c r="O1086" s="6">
        <v>2792304</v>
      </c>
      <c r="P1086" s="6">
        <v>-3236783</v>
      </c>
      <c r="Q1086" s="6">
        <v>303931</v>
      </c>
      <c r="R1086" s="6">
        <v>5</v>
      </c>
      <c r="S1086" s="15"/>
      <c r="T1086" s="15">
        <f>E1086/G1086</f>
        <v>-7.8035862864761066E-2</v>
      </c>
      <c r="U1086" s="15">
        <f>D1086/C1086</f>
        <v>-2.958366341796307E-2</v>
      </c>
      <c r="V1086" s="15">
        <f>(E1086-F1086)/O1086</f>
        <v>-0.30303219133733289</v>
      </c>
      <c r="W1086" s="15">
        <f>H1086/K1086</f>
        <v>0.14534808311092265</v>
      </c>
      <c r="X1086" s="15">
        <f>(H1086-I1086)/K1086</f>
        <v>0.12834426679304581</v>
      </c>
      <c r="Y1086" s="15">
        <f>(H1086-K1086)/G1086</f>
        <v>-0.31599406964405508</v>
      </c>
      <c r="Z1086" s="15">
        <f>J1086/N1086</f>
        <v>4.3541154010481176</v>
      </c>
      <c r="AA1086" s="15">
        <f>J1086/G1086</f>
        <v>0.74248325723951814</v>
      </c>
      <c r="AB1086" s="15">
        <f>C1086/G1086</f>
        <v>0.20162951986287436</v>
      </c>
      <c r="AC1086" s="15">
        <f>C1086/(G1086-K1086)</f>
        <v>0.31991190053868152</v>
      </c>
      <c r="AD1086" s="15">
        <f>Q1086/E1086</f>
        <v>-0.35918941852467268</v>
      </c>
      <c r="AE1086" s="15">
        <f>Q1086/J1086</f>
        <v>3.7751229988237323E-2</v>
      </c>
      <c r="AF1086" s="15">
        <f>Q1086/G1086</f>
        <v>2.8029656206464627E-2</v>
      </c>
      <c r="AG1086" s="15">
        <f>Q1086/K1086</f>
        <v>7.5810281609338753E-2</v>
      </c>
      <c r="AH1086" s="15">
        <f>Q1086/L1086</f>
        <v>7.7622149196568832E-2</v>
      </c>
      <c r="AI1086" s="6">
        <f>R1086</f>
        <v>5</v>
      </c>
      <c r="AJ1086" s="6">
        <f>P1086</f>
        <v>-3236783</v>
      </c>
    </row>
    <row r="1087" spans="1:36" x14ac:dyDescent="0.25">
      <c r="A1087" t="s">
        <v>171</v>
      </c>
      <c r="B1087">
        <v>2018</v>
      </c>
      <c r="C1087" s="1">
        <v>256496</v>
      </c>
      <c r="D1087" s="1">
        <v>169205</v>
      </c>
      <c r="E1087" s="1">
        <v>343746</v>
      </c>
      <c r="G1087" s="1">
        <v>4669209</v>
      </c>
      <c r="H1087" s="1">
        <v>2752143</v>
      </c>
      <c r="I1087" s="1">
        <v>857</v>
      </c>
      <c r="J1087" s="1">
        <v>84577</v>
      </c>
      <c r="K1087" s="1">
        <v>49499</v>
      </c>
      <c r="L1087" s="1">
        <v>0</v>
      </c>
      <c r="M1087" s="1">
        <v>0</v>
      </c>
      <c r="O1087" s="1">
        <v>4584632</v>
      </c>
      <c r="P1087" s="1">
        <v>445771</v>
      </c>
      <c r="Q1087" s="1">
        <v>125665</v>
      </c>
      <c r="R1087" s="1">
        <v>267.7</v>
      </c>
      <c r="T1087">
        <f>E1087/G1087</f>
        <v>7.3619750154683583E-2</v>
      </c>
      <c r="U1087">
        <f>D1087/C1087</f>
        <v>0.65967890337471147</v>
      </c>
      <c r="V1087">
        <f>(E1087-F1087)/O1087</f>
        <v>7.4977882630492473E-2</v>
      </c>
      <c r="W1087">
        <f>H1087/K1087</f>
        <v>55.599971716600336</v>
      </c>
      <c r="X1087">
        <f>(H1087-I1087)/K1087</f>
        <v>55.582658235519908</v>
      </c>
      <c r="Y1087">
        <f>(H1087-K1087)/G1087</f>
        <v>0.57882266568063245</v>
      </c>
      <c r="Z1087" t="e">
        <f>J1087/N1087</f>
        <v>#DIV/0!</v>
      </c>
      <c r="AA1087">
        <f>J1087/G1087</f>
        <v>1.8113774731437382E-2</v>
      </c>
      <c r="AB1087">
        <f>C1087/G1087</f>
        <v>5.4933501584529629E-2</v>
      </c>
      <c r="AC1087">
        <f>C1087/(G1087-K1087)</f>
        <v>5.5522099872069894E-2</v>
      </c>
      <c r="AD1087">
        <f>Q1087/E1087</f>
        <v>0.36557516305644283</v>
      </c>
      <c r="AE1087">
        <f>Q1087/J1087</f>
        <v>1.4858058337373046</v>
      </c>
      <c r="AF1087">
        <f>Q1087/G1087</f>
        <v>2.6913552166973036E-2</v>
      </c>
      <c r="AG1087">
        <f>Q1087/K1087</f>
        <v>2.5387381563263904</v>
      </c>
      <c r="AH1087" t="e">
        <f>Q1087/L1087</f>
        <v>#DIV/0!</v>
      </c>
      <c r="AI1087" s="1">
        <f>R1087</f>
        <v>267.7</v>
      </c>
      <c r="AJ1087" s="1">
        <f>P1087</f>
        <v>445771</v>
      </c>
    </row>
    <row r="1088" spans="1:36" x14ac:dyDescent="0.25">
      <c r="A1088" t="s">
        <v>171</v>
      </c>
      <c r="B1088">
        <v>2019</v>
      </c>
      <c r="C1088" s="1">
        <v>243955</v>
      </c>
      <c r="D1088" s="1">
        <v>121552</v>
      </c>
      <c r="E1088" s="1">
        <v>547683</v>
      </c>
      <c r="G1088" s="1">
        <v>4709105</v>
      </c>
      <c r="H1088" s="1">
        <v>3293447</v>
      </c>
      <c r="I1088" s="1">
        <v>820</v>
      </c>
      <c r="J1088" s="1">
        <v>176194</v>
      </c>
      <c r="K1088" s="1">
        <v>105971</v>
      </c>
      <c r="L1088" s="1">
        <v>0</v>
      </c>
      <c r="M1088" s="1">
        <v>0</v>
      </c>
      <c r="O1088" s="1">
        <v>4532911</v>
      </c>
      <c r="P1088" s="1">
        <v>422994</v>
      </c>
      <c r="Q1088" s="1">
        <v>454245</v>
      </c>
      <c r="R1088" s="1">
        <v>250</v>
      </c>
      <c r="T1088">
        <f>E1088/G1088</f>
        <v>0.11630299175745709</v>
      </c>
      <c r="U1088">
        <f>D1088/C1088</f>
        <v>0.4982558258695251</v>
      </c>
      <c r="V1088">
        <f>(E1088-F1088)/O1088</f>
        <v>0.1208236826180792</v>
      </c>
      <c r="W1088">
        <f>H1088/K1088</f>
        <v>31.07875739589133</v>
      </c>
      <c r="X1088">
        <f>(H1088-I1088)/K1088</f>
        <v>31.071019429844014</v>
      </c>
      <c r="Y1088">
        <f>(H1088-K1088)/G1088</f>
        <v>0.67687511745862539</v>
      </c>
      <c r="Z1088" t="e">
        <f>J1088/N1088</f>
        <v>#DIV/0!</v>
      </c>
      <c r="AA1088">
        <f>J1088/G1088</f>
        <v>3.7415602327830873E-2</v>
      </c>
      <c r="AB1088">
        <f>C1088/G1088</f>
        <v>5.1804960815271694E-2</v>
      </c>
      <c r="AC1088">
        <f>C1088/(G1088-K1088)</f>
        <v>5.299758816493285E-2</v>
      </c>
      <c r="AD1088">
        <f>Q1088/E1088</f>
        <v>0.82939401076900321</v>
      </c>
      <c r="AE1088">
        <f>Q1088/J1088</f>
        <v>2.5780957353825897</v>
      </c>
      <c r="AF1088">
        <f>Q1088/G1088</f>
        <v>9.6461004798151659E-2</v>
      </c>
      <c r="AG1088">
        <f>Q1088/K1088</f>
        <v>4.2865029111738115</v>
      </c>
      <c r="AH1088" t="e">
        <f>Q1088/L1088</f>
        <v>#DIV/0!</v>
      </c>
      <c r="AI1088" s="1">
        <f>R1088</f>
        <v>250</v>
      </c>
      <c r="AJ1088" s="1">
        <f>P1088</f>
        <v>422994</v>
      </c>
    </row>
    <row r="1089" spans="1:36" x14ac:dyDescent="0.25">
      <c r="A1089" t="s">
        <v>171</v>
      </c>
      <c r="B1089">
        <v>2020</v>
      </c>
      <c r="C1089" s="1">
        <v>148091</v>
      </c>
      <c r="D1089" s="1">
        <v>22931</v>
      </c>
      <c r="E1089" s="1">
        <v>443937</v>
      </c>
      <c r="G1089" s="1">
        <v>5325883</v>
      </c>
      <c r="H1089" s="1">
        <v>3754788</v>
      </c>
      <c r="I1089" s="1">
        <v>693</v>
      </c>
      <c r="J1089" s="1">
        <v>180005</v>
      </c>
      <c r="K1089" s="1">
        <v>107367</v>
      </c>
      <c r="L1089" s="1">
        <v>0</v>
      </c>
      <c r="M1089" s="1">
        <v>0</v>
      </c>
      <c r="O1089" s="1">
        <v>5145878</v>
      </c>
      <c r="P1089" s="1">
        <v>869356</v>
      </c>
      <c r="Q1089" s="1">
        <v>220441</v>
      </c>
      <c r="R1089" s="1">
        <v>191</v>
      </c>
      <c r="T1089">
        <f>E1089/G1089</f>
        <v>8.3354628706638886E-2</v>
      </c>
      <c r="U1089">
        <f>D1089/C1089</f>
        <v>0.15484398106569608</v>
      </c>
      <c r="V1089">
        <f>(E1089-F1089)/O1089</f>
        <v>8.6270409053615341E-2</v>
      </c>
      <c r="W1089">
        <f>H1089/K1089</f>
        <v>34.97152756433541</v>
      </c>
      <c r="X1089">
        <f>(H1089-I1089)/K1089</f>
        <v>34.965073067143535</v>
      </c>
      <c r="Y1089">
        <f>(H1089-K1089)/G1089</f>
        <v>0.68484812753115309</v>
      </c>
      <c r="Z1089" t="e">
        <f>J1089/N1089</f>
        <v>#DIV/0!</v>
      </c>
      <c r="AA1089">
        <f>J1089/G1089</f>
        <v>3.3798151405128499E-2</v>
      </c>
      <c r="AB1089">
        <f>C1089/G1089</f>
        <v>2.7805905612271243E-2</v>
      </c>
      <c r="AC1089">
        <f>C1089/(G1089-K1089)</f>
        <v>2.8377990984410129E-2</v>
      </c>
      <c r="AD1089">
        <f>Q1089/E1089</f>
        <v>0.49655919646256114</v>
      </c>
      <c r="AE1089">
        <f>Q1089/J1089</f>
        <v>1.2246382044943196</v>
      </c>
      <c r="AF1089">
        <f>Q1089/G1089</f>
        <v>4.1390507452003733E-2</v>
      </c>
      <c r="AG1089">
        <f>Q1089/K1089</f>
        <v>2.0531541348831577</v>
      </c>
      <c r="AH1089" t="e">
        <f>Q1089/L1089</f>
        <v>#DIV/0!</v>
      </c>
      <c r="AI1089" s="1">
        <f>R1089</f>
        <v>191</v>
      </c>
      <c r="AJ1089" s="1">
        <f>P1089</f>
        <v>869356</v>
      </c>
    </row>
    <row r="1090" spans="1:36" x14ac:dyDescent="0.25">
      <c r="A1090" t="s">
        <v>171</v>
      </c>
      <c r="B1090">
        <v>2021</v>
      </c>
      <c r="C1090" s="1">
        <v>16339</v>
      </c>
      <c r="D1090" s="1">
        <v>-19499</v>
      </c>
      <c r="E1090" s="1">
        <v>447341</v>
      </c>
      <c r="G1090" s="1">
        <v>5460837</v>
      </c>
      <c r="H1090" s="1">
        <v>183460</v>
      </c>
      <c r="I1090" s="1">
        <v>586</v>
      </c>
      <c r="J1090" s="1">
        <v>84692</v>
      </c>
      <c r="K1090" s="1">
        <v>44993</v>
      </c>
      <c r="L1090" s="1">
        <v>13776</v>
      </c>
      <c r="M1090" s="1">
        <v>3432</v>
      </c>
      <c r="O1090" s="1">
        <v>5376145</v>
      </c>
      <c r="P1090" s="1">
        <v>1318016</v>
      </c>
      <c r="Q1090" s="1">
        <v>101800</v>
      </c>
      <c r="R1090" s="1">
        <v>226.25</v>
      </c>
      <c r="T1090">
        <f>E1090/G1090</f>
        <v>8.1918028316904534E-2</v>
      </c>
      <c r="U1090">
        <f>D1090/C1090</f>
        <v>-1.1934022890017748</v>
      </c>
      <c r="V1090">
        <f>(E1090-F1090)/O1090</f>
        <v>8.320850721102202E-2</v>
      </c>
      <c r="W1090">
        <f>H1090/K1090</f>
        <v>4.0775231702709309</v>
      </c>
      <c r="X1090">
        <f>(H1090-I1090)/K1090</f>
        <v>4.0644989220545416</v>
      </c>
      <c r="Y1090">
        <f>(H1090-K1090)/G1090</f>
        <v>2.5356369362425576E-2</v>
      </c>
      <c r="Z1090" t="e">
        <f>J1090/N1090</f>
        <v>#DIV/0!</v>
      </c>
      <c r="AA1090">
        <f>J1090/G1090</f>
        <v>1.5508977836181524E-2</v>
      </c>
      <c r="AB1090">
        <f>C1090/G1090</f>
        <v>2.9920321738224377E-3</v>
      </c>
      <c r="AC1090">
        <f>C1090/(G1090-K1090)</f>
        <v>3.0168889650440448E-3</v>
      </c>
      <c r="AD1090">
        <f>Q1090/E1090</f>
        <v>0.2275668896881797</v>
      </c>
      <c r="AE1090">
        <f>Q1090/J1090</f>
        <v>1.2020025504179852</v>
      </c>
      <c r="AF1090">
        <f>Q1090/G1090</f>
        <v>1.8641830913466197E-2</v>
      </c>
      <c r="AG1090">
        <f>Q1090/K1090</f>
        <v>2.2625741782054987</v>
      </c>
      <c r="AH1090">
        <f>Q1090/L1090</f>
        <v>7.3896631823461094</v>
      </c>
      <c r="AI1090" s="1">
        <f>R1090</f>
        <v>226.25</v>
      </c>
      <c r="AJ1090" s="1">
        <f>P1090</f>
        <v>1318016</v>
      </c>
    </row>
    <row r="1091" spans="1:36" x14ac:dyDescent="0.25">
      <c r="A1091" t="s">
        <v>171</v>
      </c>
      <c r="B1091">
        <v>2022</v>
      </c>
      <c r="C1091" s="1">
        <v>95172</v>
      </c>
      <c r="D1091" s="1">
        <v>40784</v>
      </c>
      <c r="E1091" s="1">
        <v>3326228</v>
      </c>
      <c r="G1091" s="1">
        <v>7629406</v>
      </c>
      <c r="H1091" s="1">
        <v>576414</v>
      </c>
      <c r="I1091" s="1">
        <v>424</v>
      </c>
      <c r="J1091" s="1">
        <v>81553</v>
      </c>
      <c r="K1091" s="1">
        <v>36112</v>
      </c>
      <c r="L1091" s="1">
        <v>3432</v>
      </c>
      <c r="M1091" s="1">
        <v>0</v>
      </c>
      <c r="O1091" s="1">
        <v>7547853</v>
      </c>
      <c r="P1091" s="1">
        <v>3646198</v>
      </c>
      <c r="Q1091" s="1">
        <v>1986355</v>
      </c>
      <c r="R1091" s="1">
        <v>294</v>
      </c>
      <c r="T1091">
        <f>E1091/G1091</f>
        <v>0.43597470104487818</v>
      </c>
      <c r="U1091">
        <f>D1091/C1091</f>
        <v>0.4285293994031858</v>
      </c>
      <c r="V1091">
        <f>(E1091-F1091)/O1091</f>
        <v>0.44068531806329564</v>
      </c>
      <c r="W1091">
        <f>H1091/K1091</f>
        <v>15.961840939299956</v>
      </c>
      <c r="X1091">
        <f>(H1091-I1091)/K1091</f>
        <v>15.950099689853788</v>
      </c>
      <c r="Y1091">
        <f>(H1091-K1091)/G1091</f>
        <v>7.081835728757914E-2</v>
      </c>
      <c r="Z1091" t="e">
        <f>J1091/N1091</f>
        <v>#DIV/0!</v>
      </c>
      <c r="AA1091">
        <f>J1091/G1091</f>
        <v>1.0689298747504065E-2</v>
      </c>
      <c r="AB1091">
        <f>C1091/G1091</f>
        <v>1.2474365632134402E-2</v>
      </c>
      <c r="AC1091">
        <f>C1091/(G1091-K1091)</f>
        <v>1.2533690912007359E-2</v>
      </c>
      <c r="AD1091">
        <f>Q1091/E1091</f>
        <v>0.59717944771074016</v>
      </c>
      <c r="AE1091">
        <f>Q1091/J1091</f>
        <v>24.356614716809926</v>
      </c>
      <c r="AF1091">
        <f>Q1091/G1091</f>
        <v>0.26035513118583542</v>
      </c>
      <c r="AG1091">
        <f>Q1091/K1091</f>
        <v>55.005399867080193</v>
      </c>
      <c r="AH1091">
        <f>Q1091/L1091</f>
        <v>578.77476689976686</v>
      </c>
      <c r="AI1091" s="1">
        <f>R1091</f>
        <v>294</v>
      </c>
      <c r="AJ1091" s="1">
        <f>P1091</f>
        <v>3646198</v>
      </c>
    </row>
    <row r="1092" spans="1:36" x14ac:dyDescent="0.25">
      <c r="A1092" t="s">
        <v>171</v>
      </c>
      <c r="B1092">
        <v>2023</v>
      </c>
      <c r="C1092" s="1">
        <v>128077</v>
      </c>
      <c r="D1092" s="1">
        <v>1341785</v>
      </c>
      <c r="E1092" s="1">
        <v>1338212</v>
      </c>
      <c r="G1092" s="1">
        <v>8918809</v>
      </c>
      <c r="H1092" s="1">
        <v>1314928</v>
      </c>
      <c r="I1092" s="1">
        <v>1824</v>
      </c>
      <c r="J1092" s="1">
        <v>71512</v>
      </c>
      <c r="K1092" s="1">
        <v>29562</v>
      </c>
      <c r="L1092" s="1">
        <v>0</v>
      </c>
      <c r="M1092" s="1">
        <v>0</v>
      </c>
      <c r="O1092" s="1">
        <v>8847297</v>
      </c>
      <c r="P1092" s="1">
        <v>8886728</v>
      </c>
      <c r="Q1092" s="1">
        <v>550918</v>
      </c>
      <c r="R1092" s="1">
        <v>366.25</v>
      </c>
      <c r="T1092">
        <f>E1092/G1092</f>
        <v>0.1500438006913255</v>
      </c>
      <c r="U1092">
        <f>D1092/C1092</f>
        <v>10.476393107271408</v>
      </c>
      <c r="V1092">
        <f>(E1092-F1092)/O1092</f>
        <v>0.15125659283281662</v>
      </c>
      <c r="W1092">
        <f>H1092/K1092</f>
        <v>44.480346390636626</v>
      </c>
      <c r="X1092">
        <f>(H1092-I1092)/K1092</f>
        <v>44.418645558487249</v>
      </c>
      <c r="Y1092">
        <f>(H1092-K1092)/G1092</f>
        <v>0.14411857009158957</v>
      </c>
      <c r="Z1092" t="e">
        <f>J1092/N1092</f>
        <v>#DIV/0!</v>
      </c>
      <c r="AA1092">
        <f>J1092/G1092</f>
        <v>8.0181109383551108E-3</v>
      </c>
      <c r="AB1092">
        <f>C1092/G1092</f>
        <v>1.4360325464980806E-2</v>
      </c>
      <c r="AC1092">
        <f>C1092/(G1092-K1092)</f>
        <v>1.440808203439504E-2</v>
      </c>
      <c r="AD1092">
        <f>Q1092/E1092</f>
        <v>0.41168215499487376</v>
      </c>
      <c r="AE1092">
        <f>Q1092/J1092</f>
        <v>7.7038538986463809</v>
      </c>
      <c r="AF1092">
        <f>Q1092/G1092</f>
        <v>6.1770355212226208E-2</v>
      </c>
      <c r="AG1092">
        <f>Q1092/K1092</f>
        <v>18.636019213855626</v>
      </c>
      <c r="AH1092" t="e">
        <f>Q1092/L1092</f>
        <v>#DIV/0!</v>
      </c>
      <c r="AI1092" s="1">
        <f>R1092</f>
        <v>366.25</v>
      </c>
      <c r="AJ1092" s="1">
        <f>P1092</f>
        <v>8886728</v>
      </c>
    </row>
    <row r="1093" spans="1:36" x14ac:dyDescent="0.25">
      <c r="A1093" t="s">
        <v>171</v>
      </c>
      <c r="B1093">
        <v>2024</v>
      </c>
      <c r="C1093" s="1">
        <v>257198</v>
      </c>
      <c r="D1093" s="1">
        <v>289052</v>
      </c>
      <c r="E1093" s="1">
        <v>263217</v>
      </c>
      <c r="G1093" s="1">
        <v>9622123</v>
      </c>
      <c r="H1093" s="1">
        <v>8005422</v>
      </c>
      <c r="I1093" s="1">
        <v>803</v>
      </c>
      <c r="J1093" s="1">
        <v>121883</v>
      </c>
      <c r="K1093" s="1">
        <v>52497</v>
      </c>
      <c r="L1093" s="1">
        <v>0</v>
      </c>
      <c r="M1093" s="1">
        <v>0</v>
      </c>
      <c r="O1093" s="1">
        <v>9500240</v>
      </c>
      <c r="P1093" s="1">
        <v>9135005</v>
      </c>
      <c r="Q1093" s="1">
        <v>-486830</v>
      </c>
      <c r="R1093" s="1">
        <v>360</v>
      </c>
      <c r="T1093">
        <f>E1093/G1093</f>
        <v>2.7355397556235769E-2</v>
      </c>
      <c r="U1093">
        <f>D1093/C1093</f>
        <v>1.1238501076991267</v>
      </c>
      <c r="V1093">
        <f>(E1093-F1093)/O1093</f>
        <v>2.7706352681616465E-2</v>
      </c>
      <c r="W1093">
        <f>H1093/K1093</f>
        <v>152.49294245385451</v>
      </c>
      <c r="X1093">
        <f>(H1093-I1093)/K1093</f>
        <v>152.4776463416957</v>
      </c>
      <c r="Y1093">
        <f>(H1093-K1093)/G1093</f>
        <v>0.82652497790768209</v>
      </c>
      <c r="Z1093" t="e">
        <f>J1093/N1093</f>
        <v>#DIV/0!</v>
      </c>
      <c r="AA1093">
        <f>J1093/G1093</f>
        <v>1.2666955099202119E-2</v>
      </c>
      <c r="AB1093">
        <f>C1093/G1093</f>
        <v>2.6729859928001337E-2</v>
      </c>
      <c r="AC1093">
        <f>C1093/(G1093-K1093)</f>
        <v>2.687649444189355E-2</v>
      </c>
      <c r="AD1093">
        <f>Q1093/E1093</f>
        <v>-1.8495385936318702</v>
      </c>
      <c r="AE1093">
        <f>Q1093/J1093</f>
        <v>-3.9942403780674911</v>
      </c>
      <c r="AF1093">
        <f>Q1093/G1093</f>
        <v>-5.0594863524401006E-2</v>
      </c>
      <c r="AG1093">
        <f>Q1093/K1093</f>
        <v>-9.2734822942263371</v>
      </c>
      <c r="AH1093" t="e">
        <f>Q1093/L1093</f>
        <v>#DIV/0!</v>
      </c>
      <c r="AI1093" s="1">
        <f>R1093</f>
        <v>360</v>
      </c>
      <c r="AJ1093" s="1">
        <f>P1093</f>
        <v>9135005</v>
      </c>
    </row>
    <row r="1094" spans="1:36" x14ac:dyDescent="0.25">
      <c r="A1094" t="s">
        <v>177</v>
      </c>
      <c r="B1094">
        <v>2018</v>
      </c>
      <c r="C1094" s="1">
        <v>4271727</v>
      </c>
      <c r="D1094" s="1">
        <v>846347</v>
      </c>
      <c r="E1094" s="1">
        <v>713107</v>
      </c>
      <c r="G1094" s="1">
        <v>3341898</v>
      </c>
      <c r="H1094" s="1">
        <v>2310451</v>
      </c>
      <c r="I1094" s="1">
        <v>511613</v>
      </c>
      <c r="J1094" s="1">
        <v>1294829</v>
      </c>
      <c r="K1094" s="1">
        <v>1062924</v>
      </c>
      <c r="L1094" s="1">
        <v>733642</v>
      </c>
      <c r="M1094" s="1">
        <v>90814</v>
      </c>
      <c r="O1094" s="1">
        <v>2047069</v>
      </c>
      <c r="P1094" s="1">
        <v>873386</v>
      </c>
      <c r="Q1094" s="1">
        <v>128828</v>
      </c>
      <c r="R1094" s="1">
        <v>168</v>
      </c>
      <c r="T1094">
        <f>E1094/G1094</f>
        <v>0.21338383158313032</v>
      </c>
      <c r="U1094">
        <f>D1094/C1094</f>
        <v>0.19812759570075522</v>
      </c>
      <c r="V1094">
        <f>(E1094-F1094)/O1094</f>
        <v>0.34835513605061674</v>
      </c>
      <c r="W1094">
        <f>H1094/K1094</f>
        <v>2.1736746935811029</v>
      </c>
      <c r="X1094">
        <f>(H1094-I1094)/K1094</f>
        <v>1.6923486533373977</v>
      </c>
      <c r="Y1094">
        <f>(H1094-K1094)/G1094</f>
        <v>0.37329894568894684</v>
      </c>
      <c r="Z1094" t="e">
        <f>J1094/N1094</f>
        <v>#DIV/0!</v>
      </c>
      <c r="AA1094">
        <f>J1094/G1094</f>
        <v>0.38745317780494798</v>
      </c>
      <c r="AB1094">
        <f>C1094/G1094</f>
        <v>1.2782338060587128</v>
      </c>
      <c r="AC1094">
        <f>C1094/(G1094-K1094)</f>
        <v>1.8744079572649797</v>
      </c>
      <c r="AD1094">
        <f>Q1094/E1094</f>
        <v>0.1806573207106367</v>
      </c>
      <c r="AE1094">
        <f>Q1094/J1094</f>
        <v>9.9494218927750303E-2</v>
      </c>
      <c r="AF1094">
        <f>Q1094/G1094</f>
        <v>3.8549351296778056E-2</v>
      </c>
      <c r="AG1094">
        <f>Q1094/K1094</f>
        <v>0.12120151581862862</v>
      </c>
      <c r="AH1094">
        <f>Q1094/L1094</f>
        <v>0.17560063355151423</v>
      </c>
      <c r="AI1094" s="1">
        <f>R1094</f>
        <v>168</v>
      </c>
      <c r="AJ1094" s="1">
        <f>P1094</f>
        <v>873386</v>
      </c>
    </row>
    <row r="1095" spans="1:36" x14ac:dyDescent="0.25">
      <c r="A1095" t="s">
        <v>177</v>
      </c>
      <c r="B1095">
        <v>2019</v>
      </c>
      <c r="C1095" s="1">
        <v>5182356</v>
      </c>
      <c r="D1095" s="1">
        <v>1165105</v>
      </c>
      <c r="E1095" s="1">
        <v>980362</v>
      </c>
      <c r="G1095" s="1">
        <v>4028373</v>
      </c>
      <c r="H1095" s="1">
        <v>2661770</v>
      </c>
      <c r="I1095" s="1">
        <v>508994</v>
      </c>
      <c r="J1095" s="1">
        <v>1429012</v>
      </c>
      <c r="K1095" s="1">
        <v>1225475</v>
      </c>
      <c r="L1095" s="1">
        <v>319766</v>
      </c>
      <c r="M1095" s="1">
        <v>43875</v>
      </c>
      <c r="O1095" s="1">
        <v>2599361</v>
      </c>
      <c r="P1095" s="1">
        <v>1246265</v>
      </c>
      <c r="Q1095" s="1">
        <v>1649231</v>
      </c>
      <c r="R1095" s="1">
        <v>212</v>
      </c>
      <c r="T1095">
        <f>E1095/G1095</f>
        <v>0.24336425648766885</v>
      </c>
      <c r="U1095">
        <f>D1095/C1095</f>
        <v>0.22482149045723604</v>
      </c>
      <c r="V1095">
        <f>(E1095-F1095)/O1095</f>
        <v>0.37715500078673181</v>
      </c>
      <c r="W1095">
        <f>H1095/K1095</f>
        <v>2.1720312531875394</v>
      </c>
      <c r="X1095">
        <f>(H1095-I1095)/K1095</f>
        <v>1.7566869989187865</v>
      </c>
      <c r="Y1095">
        <f>(H1095-K1095)/G1095</f>
        <v>0.35654468938204081</v>
      </c>
      <c r="Z1095" t="e">
        <f>J1095/N1095</f>
        <v>#DIV/0!</v>
      </c>
      <c r="AA1095">
        <f>J1095/G1095</f>
        <v>0.35473676345263955</v>
      </c>
      <c r="AB1095">
        <f>C1095/G1095</f>
        <v>1.2864637907165002</v>
      </c>
      <c r="AC1095">
        <f>C1095/(G1095-K1095)</f>
        <v>1.8489277883105271</v>
      </c>
      <c r="AD1095">
        <f>Q1095/E1095</f>
        <v>1.682267366544195</v>
      </c>
      <c r="AE1095">
        <f>Q1095/J1095</f>
        <v>1.1541057737793665</v>
      </c>
      <c r="AF1095">
        <f>Q1095/G1095</f>
        <v>0.40940374687249664</v>
      </c>
      <c r="AG1095">
        <f>Q1095/K1095</f>
        <v>1.3457891837858789</v>
      </c>
      <c r="AH1095">
        <f>Q1095/L1095</f>
        <v>5.1576183834428928</v>
      </c>
      <c r="AI1095" s="1">
        <f>R1095</f>
        <v>212</v>
      </c>
      <c r="AJ1095" s="1">
        <f>P1095</f>
        <v>1246265</v>
      </c>
    </row>
    <row r="1096" spans="1:36" x14ac:dyDescent="0.25">
      <c r="A1096" t="s">
        <v>177</v>
      </c>
      <c r="B1096">
        <v>2020</v>
      </c>
      <c r="C1096" s="1">
        <v>5211556</v>
      </c>
      <c r="D1096" s="1">
        <v>1229146</v>
      </c>
      <c r="E1096" s="1">
        <v>1040340</v>
      </c>
      <c r="G1096" s="1">
        <v>4524302</v>
      </c>
      <c r="H1096" s="1">
        <v>2967091</v>
      </c>
      <c r="I1096" s="1">
        <v>552293</v>
      </c>
      <c r="J1096" s="1">
        <v>1346003</v>
      </c>
      <c r="K1096" s="1">
        <v>1128436</v>
      </c>
      <c r="L1096" s="1">
        <v>515207</v>
      </c>
      <c r="M1096" s="1">
        <v>0</v>
      </c>
      <c r="O1096" s="1">
        <v>3178299</v>
      </c>
      <c r="P1096" s="1">
        <v>1578391</v>
      </c>
      <c r="Q1096" s="1">
        <v>240888</v>
      </c>
      <c r="R1096" s="1">
        <v>191</v>
      </c>
      <c r="T1096">
        <f>E1096/G1096</f>
        <v>0.22994486221299992</v>
      </c>
      <c r="U1096">
        <f>D1096/C1096</f>
        <v>0.2358500992793707</v>
      </c>
      <c r="V1096">
        <f>(E1096-F1096)/O1096</f>
        <v>0.32732603194350185</v>
      </c>
      <c r="W1096">
        <f>H1096/K1096</f>
        <v>2.6293835007036286</v>
      </c>
      <c r="X1096">
        <f>(H1096-I1096)/K1096</f>
        <v>2.1399512245266901</v>
      </c>
      <c r="Y1096">
        <f>(H1096-K1096)/G1096</f>
        <v>0.4063952848417281</v>
      </c>
      <c r="Z1096" t="e">
        <f>J1096/N1096</f>
        <v>#DIV/0!</v>
      </c>
      <c r="AA1096">
        <f>J1096/G1096</f>
        <v>0.29750511791653167</v>
      </c>
      <c r="AB1096">
        <f>C1096/G1096</f>
        <v>1.1519027686480698</v>
      </c>
      <c r="AC1096">
        <f>C1096/(G1096-K1096)</f>
        <v>1.5346765743995787</v>
      </c>
      <c r="AD1096">
        <f>Q1096/E1096</f>
        <v>0.23154737874156525</v>
      </c>
      <c r="AE1096">
        <f>Q1096/J1096</f>
        <v>0.17896542578285488</v>
      </c>
      <c r="AF1096">
        <f>Q1096/G1096</f>
        <v>5.324313010051053E-2</v>
      </c>
      <c r="AG1096">
        <f>Q1096/K1096</f>
        <v>0.21347067977271197</v>
      </c>
      <c r="AH1096">
        <f>Q1096/L1096</f>
        <v>0.46755575914147129</v>
      </c>
      <c r="AI1096" s="1">
        <f>R1096</f>
        <v>191</v>
      </c>
      <c r="AJ1096" s="1">
        <f>P1096</f>
        <v>1578391</v>
      </c>
    </row>
    <row r="1097" spans="1:36" x14ac:dyDescent="0.25">
      <c r="A1097" t="s">
        <v>177</v>
      </c>
      <c r="B1097">
        <v>2021</v>
      </c>
      <c r="C1097" s="1">
        <v>5362310</v>
      </c>
      <c r="D1097" s="1">
        <v>1252980</v>
      </c>
      <c r="E1097" s="1">
        <v>1040263</v>
      </c>
      <c r="G1097" s="1">
        <v>4944581</v>
      </c>
      <c r="H1097" s="1">
        <v>3193717</v>
      </c>
      <c r="I1097" s="1">
        <v>623804</v>
      </c>
      <c r="J1097" s="1">
        <v>1268845</v>
      </c>
      <c r="K1097" s="1">
        <v>995061</v>
      </c>
      <c r="L1097" s="1">
        <v>20033</v>
      </c>
      <c r="M1097" s="1">
        <v>2778</v>
      </c>
      <c r="O1097" s="1">
        <v>3675736</v>
      </c>
      <c r="P1097" s="1">
        <v>1919611</v>
      </c>
      <c r="Q1097" s="1">
        <v>1631824</v>
      </c>
      <c r="R1097" s="1">
        <v>374</v>
      </c>
      <c r="T1097">
        <f>E1097/G1097</f>
        <v>0.21038445926965299</v>
      </c>
      <c r="U1097">
        <f>D1097/C1097</f>
        <v>0.23366422306804344</v>
      </c>
      <c r="V1097">
        <f>(E1097-F1097)/O1097</f>
        <v>0.28300808327910382</v>
      </c>
      <c r="W1097">
        <f>H1097/K1097</f>
        <v>3.2095690615952188</v>
      </c>
      <c r="X1097">
        <f>(H1097-I1097)/K1097</f>
        <v>2.5826688012091723</v>
      </c>
      <c r="Y1097">
        <f>(H1097-K1097)/G1097</f>
        <v>0.44465971939786203</v>
      </c>
      <c r="Z1097" t="e">
        <f>J1097/N1097</f>
        <v>#DIV/0!</v>
      </c>
      <c r="AA1097">
        <f>J1097/G1097</f>
        <v>0.25661324993968143</v>
      </c>
      <c r="AB1097">
        <f>C1097/G1097</f>
        <v>1.0844821836268836</v>
      </c>
      <c r="AC1097">
        <f>C1097/(G1097-K1097)</f>
        <v>1.3577118232088963</v>
      </c>
      <c r="AD1097">
        <f>Q1097/E1097</f>
        <v>1.5686648472549731</v>
      </c>
      <c r="AE1097">
        <f>Q1097/J1097</f>
        <v>1.2860704026102479</v>
      </c>
      <c r="AF1097">
        <f>Q1097/G1097</f>
        <v>0.33002270566505026</v>
      </c>
      <c r="AG1097">
        <f>Q1097/K1097</f>
        <v>1.6399235825743346</v>
      </c>
      <c r="AH1097">
        <f>Q1097/L1097</f>
        <v>81.456796286127883</v>
      </c>
      <c r="AI1097" s="1">
        <f>R1097</f>
        <v>374</v>
      </c>
      <c r="AJ1097" s="1">
        <f>P1097</f>
        <v>1919611</v>
      </c>
    </row>
    <row r="1098" spans="1:36" x14ac:dyDescent="0.25">
      <c r="A1098" t="s">
        <v>177</v>
      </c>
      <c r="B1098">
        <v>2022</v>
      </c>
      <c r="C1098" s="1">
        <v>6536932</v>
      </c>
      <c r="D1098" s="1">
        <v>1895470</v>
      </c>
      <c r="E1098" s="1">
        <v>1657892</v>
      </c>
      <c r="G1098" s="1">
        <v>7745243</v>
      </c>
      <c r="H1098" s="1">
        <v>5147906</v>
      </c>
      <c r="I1098" s="1">
        <v>752757</v>
      </c>
      <c r="J1098" s="1">
        <v>2613662</v>
      </c>
      <c r="K1098" s="1">
        <v>2125211</v>
      </c>
      <c r="L1098" s="1">
        <v>1065684</v>
      </c>
      <c r="M1098" s="1">
        <v>150000</v>
      </c>
      <c r="O1098" s="1">
        <v>5131581</v>
      </c>
      <c r="P1098" s="1">
        <v>2899207</v>
      </c>
      <c r="Q1098" s="1">
        <v>1186271</v>
      </c>
      <c r="R1098" s="1">
        <v>609</v>
      </c>
      <c r="T1098">
        <f>E1098/G1098</f>
        <v>0.21405293545986873</v>
      </c>
      <c r="U1098">
        <f>D1098/C1098</f>
        <v>0.28996324269550305</v>
      </c>
      <c r="V1098">
        <f>(E1098-F1098)/O1098</f>
        <v>0.32307626051308552</v>
      </c>
      <c r="W1098">
        <f>H1098/K1098</f>
        <v>2.4223034795133285</v>
      </c>
      <c r="X1098">
        <f>(H1098-I1098)/K1098</f>
        <v>2.068100061593884</v>
      </c>
      <c r="Y1098">
        <f>(H1098-K1098)/G1098</f>
        <v>0.39026470828610543</v>
      </c>
      <c r="Z1098" t="e">
        <f>J1098/N1098</f>
        <v>#DIV/0!</v>
      </c>
      <c r="AA1098">
        <f>J1098/G1098</f>
        <v>0.33745384102216031</v>
      </c>
      <c r="AB1098">
        <f>C1098/G1098</f>
        <v>0.84399314521184166</v>
      </c>
      <c r="AC1098">
        <f>C1098/(G1098-K1098)</f>
        <v>1.1631485372325283</v>
      </c>
      <c r="AD1098">
        <f>Q1098/E1098</f>
        <v>0.71552972087445987</v>
      </c>
      <c r="AE1098">
        <f>Q1098/J1098</f>
        <v>0.45387314809642565</v>
      </c>
      <c r="AF1098">
        <f>Q1098/G1098</f>
        <v>0.15316123716195865</v>
      </c>
      <c r="AG1098">
        <f>Q1098/K1098</f>
        <v>0.55818975151173222</v>
      </c>
      <c r="AH1098">
        <f>Q1098/L1098</f>
        <v>1.1131545561348393</v>
      </c>
      <c r="AI1098" s="1">
        <f>R1098</f>
        <v>609</v>
      </c>
      <c r="AJ1098" s="1">
        <f>P1098</f>
        <v>2899207</v>
      </c>
    </row>
    <row r="1099" spans="1:36" x14ac:dyDescent="0.25">
      <c r="A1099" t="s">
        <v>177</v>
      </c>
      <c r="B1099">
        <v>2023</v>
      </c>
      <c r="C1099" s="1">
        <v>9040796</v>
      </c>
      <c r="D1099" s="1">
        <v>1287317</v>
      </c>
      <c r="E1099" s="1">
        <v>1047057</v>
      </c>
      <c r="G1099" s="1">
        <v>8313737</v>
      </c>
      <c r="H1099" s="1">
        <v>4894009</v>
      </c>
      <c r="I1099" s="1">
        <v>1225805</v>
      </c>
      <c r="J1099" s="1">
        <v>2640019</v>
      </c>
      <c r="K1099" s="1">
        <v>2413006</v>
      </c>
      <c r="L1099" s="1">
        <v>1164411</v>
      </c>
      <c r="M1099" s="1">
        <v>50000</v>
      </c>
      <c r="O1099" s="1">
        <v>5673718</v>
      </c>
      <c r="P1099" s="1">
        <v>3298080</v>
      </c>
      <c r="Q1099" s="1">
        <v>468859</v>
      </c>
      <c r="R1099" s="1">
        <v>558</v>
      </c>
      <c r="T1099">
        <f>E1099/G1099</f>
        <v>0.12594300252702245</v>
      </c>
      <c r="U1099">
        <f>D1099/C1099</f>
        <v>0.14238978514723705</v>
      </c>
      <c r="V1099">
        <f>(E1099-F1099)/O1099</f>
        <v>0.18454512543626594</v>
      </c>
      <c r="W1099">
        <f>H1099/K1099</f>
        <v>2.0281793746057821</v>
      </c>
      <c r="X1099">
        <f>(H1099-I1099)/K1099</f>
        <v>1.5201802233396851</v>
      </c>
      <c r="Y1099">
        <f>(H1099-K1099)/G1099</f>
        <v>0.2984221175146628</v>
      </c>
      <c r="Z1099" t="e">
        <f>J1099/N1099</f>
        <v>#DIV/0!</v>
      </c>
      <c r="AA1099">
        <f>J1099/G1099</f>
        <v>0.31754901556303744</v>
      </c>
      <c r="AB1099">
        <f>C1099/G1099</f>
        <v>1.0874527303425643</v>
      </c>
      <c r="AC1099">
        <f>C1099/(G1099-K1099)</f>
        <v>1.5321484744856189</v>
      </c>
      <c r="AD1099">
        <f>Q1099/E1099</f>
        <v>0.44778746524783275</v>
      </c>
      <c r="AE1099">
        <f>Q1099/J1099</f>
        <v>0.17759682790161738</v>
      </c>
      <c r="AF1099">
        <f>Q1099/G1099</f>
        <v>5.6395697867276773E-2</v>
      </c>
      <c r="AG1099">
        <f>Q1099/K1099</f>
        <v>0.19430494578132007</v>
      </c>
      <c r="AH1099">
        <f>Q1099/L1099</f>
        <v>0.40265765266731418</v>
      </c>
      <c r="AI1099" s="1">
        <f>R1099</f>
        <v>558</v>
      </c>
      <c r="AJ1099" s="1">
        <f>P1099</f>
        <v>3298080</v>
      </c>
    </row>
    <row r="1100" spans="1:36" x14ac:dyDescent="0.25">
      <c r="A1100" t="s">
        <v>177</v>
      </c>
      <c r="B1100">
        <v>2024</v>
      </c>
      <c r="C1100" s="1">
        <v>7120443</v>
      </c>
      <c r="D1100" s="1">
        <v>84631</v>
      </c>
      <c r="E1100" s="1">
        <v>34136</v>
      </c>
      <c r="G1100" s="1">
        <v>9741087</v>
      </c>
      <c r="H1100" s="1">
        <v>5763375</v>
      </c>
      <c r="I1100" s="1">
        <v>1491335</v>
      </c>
      <c r="J1100" s="1">
        <v>4326235</v>
      </c>
      <c r="K1100" s="1">
        <v>4099222</v>
      </c>
      <c r="L1100" s="1">
        <v>2267385</v>
      </c>
      <c r="M1100" s="1">
        <v>0</v>
      </c>
      <c r="O1100" s="1">
        <v>5414852</v>
      </c>
      <c r="P1100" s="1">
        <v>3205775</v>
      </c>
      <c r="Q1100" s="1">
        <v>-40332</v>
      </c>
      <c r="R1100" s="1">
        <v>438</v>
      </c>
      <c r="T1100">
        <f>E1100/G1100</f>
        <v>3.5043317034330972E-3</v>
      </c>
      <c r="U1100">
        <f>D1100/C1100</f>
        <v>1.1885636890850752E-2</v>
      </c>
      <c r="V1100">
        <f>(E1100-F1100)/O1100</f>
        <v>6.304142754040184E-3</v>
      </c>
      <c r="W1100">
        <f>H1100/K1100</f>
        <v>1.405968010515166</v>
      </c>
      <c r="X1100">
        <f>(H1100-I1100)/K1100</f>
        <v>1.0421587315837004</v>
      </c>
      <c r="Y1100">
        <f>(H1100-K1100)/G1100</f>
        <v>0.17083853167516111</v>
      </c>
      <c r="Z1100" t="e">
        <f>J1100/N1100</f>
        <v>#DIV/0!</v>
      </c>
      <c r="AA1100">
        <f>J1100/G1100</f>
        <v>0.444122406462441</v>
      </c>
      <c r="AB1100">
        <f>C1100/G1100</f>
        <v>0.73097006525041819</v>
      </c>
      <c r="AC1100">
        <f>C1100/(G1100-K1100)</f>
        <v>1.2620725593398636</v>
      </c>
      <c r="AD1100">
        <f>Q1100/E1100</f>
        <v>-1.18150925708929</v>
      </c>
      <c r="AE1100">
        <f>Q1100/J1100</f>
        <v>-9.3226558427824662E-3</v>
      </c>
      <c r="AF1100">
        <f>Q1100/G1100</f>
        <v>-4.1404003475176846E-3</v>
      </c>
      <c r="AG1100">
        <f>Q1100/K1100</f>
        <v>-9.8389401696224316E-3</v>
      </c>
      <c r="AH1100">
        <f>Q1100/L1100</f>
        <v>-1.778789221945104E-2</v>
      </c>
      <c r="AI1100" s="1">
        <f>R1100</f>
        <v>438</v>
      </c>
      <c r="AJ1100" s="1">
        <f>P1100</f>
        <v>3205775</v>
      </c>
    </row>
    <row r="1101" spans="1:36" x14ac:dyDescent="0.25">
      <c r="A1101" t="s">
        <v>169</v>
      </c>
      <c r="B1101">
        <v>2018</v>
      </c>
      <c r="C1101" s="1">
        <v>127305</v>
      </c>
      <c r="D1101" s="1">
        <v>24221</v>
      </c>
      <c r="E1101" s="1">
        <v>18236</v>
      </c>
      <c r="G1101" s="1">
        <v>486093</v>
      </c>
      <c r="H1101" s="1">
        <v>39290</v>
      </c>
      <c r="I1101" s="1">
        <v>3230</v>
      </c>
      <c r="J1101" s="1">
        <v>86914</v>
      </c>
      <c r="K1101" s="1">
        <v>25926</v>
      </c>
      <c r="L1101" s="1">
        <v>11287</v>
      </c>
      <c r="M1101" s="1">
        <v>6159</v>
      </c>
      <c r="O1101" s="1">
        <v>399179</v>
      </c>
      <c r="P1101" s="1">
        <v>89945</v>
      </c>
      <c r="Q1101" s="1">
        <v>30229</v>
      </c>
      <c r="R1101" s="1">
        <v>21.4</v>
      </c>
      <c r="T1101">
        <f>E1101/G1101</f>
        <v>3.751545486151827E-2</v>
      </c>
      <c r="U1101">
        <f>D1101/C1101</f>
        <v>0.19025961274105493</v>
      </c>
      <c r="V1101">
        <f>(E1101-F1101)/O1101</f>
        <v>4.5683765929570443E-2</v>
      </c>
      <c r="W1101">
        <f>H1101/K1101</f>
        <v>1.5154670986654324</v>
      </c>
      <c r="X1101">
        <f>(H1101-I1101)/K1101</f>
        <v>1.3908817403378848</v>
      </c>
      <c r="Y1101">
        <f>(H1101-K1101)/G1101</f>
        <v>2.749268144161714E-2</v>
      </c>
      <c r="Z1101" t="e">
        <f>J1101/N1101</f>
        <v>#DIV/0!</v>
      </c>
      <c r="AA1101">
        <f>J1101/G1101</f>
        <v>0.17880117590666805</v>
      </c>
      <c r="AB1101">
        <f>C1101/G1101</f>
        <v>0.26189432886299535</v>
      </c>
      <c r="AC1101">
        <f>C1101/(G1101-K1101)</f>
        <v>0.27664956417996073</v>
      </c>
      <c r="AD1101">
        <f>Q1101/E1101</f>
        <v>1.6576551875411274</v>
      </c>
      <c r="AE1101">
        <f>Q1101/J1101</f>
        <v>0.34780357594863887</v>
      </c>
      <c r="AF1101">
        <f>Q1101/G1101</f>
        <v>6.2187688364160769E-2</v>
      </c>
      <c r="AG1101">
        <f>Q1101/K1101</f>
        <v>1.1659723829360487</v>
      </c>
      <c r="AH1101">
        <f>Q1101/L1101</f>
        <v>2.6782138743687427</v>
      </c>
      <c r="AI1101" s="1">
        <f>R1101</f>
        <v>21.4</v>
      </c>
      <c r="AJ1101" s="1">
        <f>P1101</f>
        <v>89945</v>
      </c>
    </row>
    <row r="1102" spans="1:36" x14ac:dyDescent="0.25">
      <c r="A1102" t="s">
        <v>169</v>
      </c>
      <c r="B1102">
        <v>2019</v>
      </c>
      <c r="C1102" s="1">
        <v>141449</v>
      </c>
      <c r="D1102" s="1">
        <v>33351</v>
      </c>
      <c r="E1102" s="1">
        <v>25147</v>
      </c>
      <c r="G1102" s="1">
        <v>505504</v>
      </c>
      <c r="H1102" s="1">
        <v>50520</v>
      </c>
      <c r="I1102" s="1">
        <v>4096</v>
      </c>
      <c r="J1102" s="1">
        <v>85334</v>
      </c>
      <c r="K1102" s="1">
        <v>24593</v>
      </c>
      <c r="L1102" s="1">
        <v>6264</v>
      </c>
      <c r="M1102" s="1">
        <v>2667</v>
      </c>
      <c r="O1102" s="1">
        <v>420170</v>
      </c>
      <c r="P1102" s="1">
        <v>105336</v>
      </c>
      <c r="Q1102" s="1">
        <v>-18702</v>
      </c>
      <c r="R1102" s="1">
        <v>19</v>
      </c>
      <c r="T1102">
        <f>E1102/G1102</f>
        <v>4.9746391719946825E-2</v>
      </c>
      <c r="U1102">
        <f>D1102/C1102</f>
        <v>0.23578109424598265</v>
      </c>
      <c r="V1102">
        <f>(E1102-F1102)/O1102</f>
        <v>5.9849584691910415E-2</v>
      </c>
      <c r="W1102">
        <f>H1102/K1102</f>
        <v>2.0542430772984184</v>
      </c>
      <c r="X1102">
        <f>(H1102-I1102)/K1102</f>
        <v>1.8876916195665434</v>
      </c>
      <c r="Y1102">
        <f>(H1102-K1102)/G1102</f>
        <v>5.1289406216370195E-2</v>
      </c>
      <c r="Z1102" t="e">
        <f>J1102/N1102</f>
        <v>#DIV/0!</v>
      </c>
      <c r="AA1102">
        <f>J1102/G1102</f>
        <v>0.16880974235614357</v>
      </c>
      <c r="AB1102">
        <f>C1102/G1102</f>
        <v>0.27981776603152497</v>
      </c>
      <c r="AC1102">
        <f>C1102/(G1102-K1102)</f>
        <v>0.29412718777486896</v>
      </c>
      <c r="AD1102">
        <f>Q1102/E1102</f>
        <v>-0.74370700282339841</v>
      </c>
      <c r="AE1102">
        <f>Q1102/J1102</f>
        <v>-0.21916235029413833</v>
      </c>
      <c r="AF1102">
        <f>Q1102/G1102</f>
        <v>-3.6996739887320378E-2</v>
      </c>
      <c r="AG1102">
        <f>Q1102/K1102</f>
        <v>-0.76046029357947387</v>
      </c>
      <c r="AH1102">
        <f>Q1102/L1102</f>
        <v>-2.985632183908046</v>
      </c>
      <c r="AI1102" s="1">
        <f>R1102</f>
        <v>19</v>
      </c>
      <c r="AJ1102" s="1">
        <f>P1102</f>
        <v>105336</v>
      </c>
    </row>
    <row r="1103" spans="1:36" x14ac:dyDescent="0.25">
      <c r="A1103" t="s">
        <v>169</v>
      </c>
      <c r="B1103">
        <v>2020</v>
      </c>
      <c r="C1103" s="1">
        <v>110235</v>
      </c>
      <c r="D1103" s="1">
        <v>12769</v>
      </c>
      <c r="E1103" s="1">
        <v>8097</v>
      </c>
      <c r="G1103" s="1">
        <v>499471</v>
      </c>
      <c r="H1103" s="1">
        <v>24477</v>
      </c>
      <c r="I1103" s="1">
        <v>2045</v>
      </c>
      <c r="J1103" s="1">
        <v>92515</v>
      </c>
      <c r="K1103" s="1">
        <v>28861</v>
      </c>
      <c r="L1103" s="1">
        <v>5777</v>
      </c>
      <c r="M1103" s="1">
        <v>2476</v>
      </c>
      <c r="O1103" s="1">
        <v>406956</v>
      </c>
      <c r="P1103" s="1">
        <v>105756</v>
      </c>
      <c r="Q1103" s="1">
        <v>-28680</v>
      </c>
      <c r="R1103" s="1">
        <v>15.6</v>
      </c>
      <c r="T1103">
        <f>E1103/G1103</f>
        <v>1.6211151398179274E-2</v>
      </c>
      <c r="U1103">
        <f>D1103/C1103</f>
        <v>0.11583435388034653</v>
      </c>
      <c r="V1103">
        <f>(E1103-F1103)/O1103</f>
        <v>1.9896499867307522E-2</v>
      </c>
      <c r="W1103">
        <f>H1103/K1103</f>
        <v>0.84809951145143969</v>
      </c>
      <c r="X1103">
        <f>(H1103-I1103)/K1103</f>
        <v>0.77724264578496938</v>
      </c>
      <c r="Y1103">
        <f>(H1103-K1103)/G1103</f>
        <v>-8.7772863689783796E-3</v>
      </c>
      <c r="Z1103" t="e">
        <f>J1103/N1103</f>
        <v>#DIV/0!</v>
      </c>
      <c r="AA1103">
        <f>J1103/G1103</f>
        <v>0.18522596907528166</v>
      </c>
      <c r="AB1103">
        <f>C1103/G1103</f>
        <v>0.22070350430755739</v>
      </c>
      <c r="AC1103">
        <f>C1103/(G1103-K1103)</f>
        <v>0.23423854146745712</v>
      </c>
      <c r="AD1103">
        <f>Q1103/E1103</f>
        <v>-3.5420526120785478</v>
      </c>
      <c r="AE1103">
        <f>Q1103/J1103</f>
        <v>-0.3100037831702967</v>
      </c>
      <c r="AF1103">
        <f>Q1103/G1103</f>
        <v>-5.7420751154721693E-2</v>
      </c>
      <c r="AG1103">
        <f>Q1103/K1103</f>
        <v>-0.99372856103392115</v>
      </c>
      <c r="AH1103">
        <f>Q1103/L1103</f>
        <v>-4.96451445386879</v>
      </c>
      <c r="AI1103" s="1">
        <f>R1103</f>
        <v>15.6</v>
      </c>
      <c r="AJ1103" s="1">
        <f>P1103</f>
        <v>105756</v>
      </c>
    </row>
    <row r="1104" spans="1:36" x14ac:dyDescent="0.25">
      <c r="A1104" t="s">
        <v>169</v>
      </c>
      <c r="B1104">
        <v>2021</v>
      </c>
      <c r="C1104" s="1">
        <v>14025</v>
      </c>
      <c r="D1104" s="1">
        <v>-25861</v>
      </c>
      <c r="E1104" s="1">
        <v>-24095</v>
      </c>
      <c r="G1104" s="1">
        <v>476310</v>
      </c>
      <c r="H1104" s="1">
        <v>9849</v>
      </c>
      <c r="I1104" s="1">
        <v>904</v>
      </c>
      <c r="J1104" s="1">
        <v>84961</v>
      </c>
      <c r="K1104" s="1">
        <v>21243</v>
      </c>
      <c r="L1104" s="1">
        <v>11822</v>
      </c>
      <c r="M1104" s="1">
        <v>4856</v>
      </c>
      <c r="O1104" s="1">
        <v>391349</v>
      </c>
      <c r="P1104" s="1">
        <v>82288</v>
      </c>
      <c r="Q1104" s="1">
        <v>-6377</v>
      </c>
      <c r="R1104" s="1">
        <v>16.100000000000001</v>
      </c>
      <c r="T1104">
        <f>E1104/G1104</f>
        <v>-5.0586802712519155E-2</v>
      </c>
      <c r="U1104">
        <f>D1104/C1104</f>
        <v>-1.843921568627451</v>
      </c>
      <c r="V1104">
        <f>(E1104-F1104)/O1104</f>
        <v>-6.1569085394366667E-2</v>
      </c>
      <c r="W1104">
        <f>H1104/K1104</f>
        <v>0.46363507979098995</v>
      </c>
      <c r="X1104">
        <f>(H1104-I1104)/K1104</f>
        <v>0.42107988513863392</v>
      </c>
      <c r="Y1104">
        <f>(H1104-K1104)/G1104</f>
        <v>-2.3921395729671852E-2</v>
      </c>
      <c r="Z1104" t="e">
        <f>J1104/N1104</f>
        <v>#DIV/0!</v>
      </c>
      <c r="AA1104">
        <f>J1104/G1104</f>
        <v>0.17837332829459807</v>
      </c>
      <c r="AB1104">
        <f>C1104/G1104</f>
        <v>2.9445109277571331E-2</v>
      </c>
      <c r="AC1104">
        <f>C1104/(G1104-K1104)</f>
        <v>3.0819637547877567E-2</v>
      </c>
      <c r="AD1104">
        <f>Q1104/E1104</f>
        <v>0.26466071799128449</v>
      </c>
      <c r="AE1104">
        <f>Q1104/J1104</f>
        <v>-7.5057967773448989E-2</v>
      </c>
      <c r="AF1104">
        <f>Q1104/G1104</f>
        <v>-1.3388339526778778E-2</v>
      </c>
      <c r="AG1104">
        <f>Q1104/K1104</f>
        <v>-0.30019300475450739</v>
      </c>
      <c r="AH1104">
        <f>Q1104/L1104</f>
        <v>-0.5394180341735747</v>
      </c>
      <c r="AI1104" s="1">
        <f>R1104</f>
        <v>16.100000000000001</v>
      </c>
      <c r="AJ1104" s="1">
        <f>P1104</f>
        <v>82288</v>
      </c>
    </row>
    <row r="1105" spans="1:36" x14ac:dyDescent="0.25">
      <c r="A1105" t="s">
        <v>169</v>
      </c>
      <c r="B1105">
        <v>2022</v>
      </c>
      <c r="C1105" s="1">
        <v>47565</v>
      </c>
      <c r="D1105" s="1">
        <v>1979</v>
      </c>
      <c r="E1105" s="1">
        <v>3480</v>
      </c>
      <c r="G1105" s="1">
        <v>693009</v>
      </c>
      <c r="H1105" s="1">
        <v>18916</v>
      </c>
      <c r="I1105" s="1">
        <v>2965</v>
      </c>
      <c r="J1105" s="1">
        <v>112148</v>
      </c>
      <c r="K1105" s="1">
        <v>21487</v>
      </c>
      <c r="L1105" s="1">
        <v>10933</v>
      </c>
      <c r="M1105" s="1">
        <v>5384</v>
      </c>
      <c r="O1105" s="1">
        <v>580861</v>
      </c>
      <c r="P1105" s="1">
        <v>85945</v>
      </c>
      <c r="Q1105" s="1">
        <v>8500</v>
      </c>
      <c r="R1105" s="1">
        <v>16</v>
      </c>
      <c r="T1105">
        <f>E1105/G1105</f>
        <v>5.0215798063228618E-3</v>
      </c>
      <c r="U1105">
        <f>D1105/C1105</f>
        <v>4.1606223063176705E-2</v>
      </c>
      <c r="V1105">
        <f>(E1105-F1105)/O1105</f>
        <v>5.9911063059837032E-3</v>
      </c>
      <c r="W1105">
        <f>H1105/K1105</f>
        <v>0.88034625587564574</v>
      </c>
      <c r="X1105">
        <f>(H1105-I1105)/K1105</f>
        <v>0.74235584306790148</v>
      </c>
      <c r="Y1105">
        <f>(H1105-K1105)/G1105</f>
        <v>-3.709908529326459E-3</v>
      </c>
      <c r="Z1105" t="e">
        <f>J1105/N1105</f>
        <v>#DIV/0!</v>
      </c>
      <c r="AA1105">
        <f>J1105/G1105</f>
        <v>0.16182762417226904</v>
      </c>
      <c r="AB1105">
        <f>C1105/G1105</f>
        <v>6.8635472266593944E-2</v>
      </c>
      <c r="AC1105">
        <f>C1105/(G1105-K1105)</f>
        <v>7.0831633215293024E-2</v>
      </c>
      <c r="AD1105">
        <f>Q1105/E1105</f>
        <v>2.4425287356321839</v>
      </c>
      <c r="AE1105">
        <f>Q1105/J1105</f>
        <v>7.5792702500267498E-2</v>
      </c>
      <c r="AF1105">
        <f>Q1105/G1105</f>
        <v>1.2265352975213886E-2</v>
      </c>
      <c r="AG1105">
        <f>Q1105/K1105</f>
        <v>0.39558802997161074</v>
      </c>
      <c r="AH1105">
        <f>Q1105/L1105</f>
        <v>0.7774627275221806</v>
      </c>
      <c r="AI1105" s="1">
        <f>R1105</f>
        <v>16</v>
      </c>
      <c r="AJ1105" s="1">
        <f>P1105</f>
        <v>85945</v>
      </c>
    </row>
    <row r="1106" spans="1:36" x14ac:dyDescent="0.25">
      <c r="A1106" t="s">
        <v>169</v>
      </c>
      <c r="B1106">
        <v>2023</v>
      </c>
      <c r="C1106" s="1">
        <v>122300</v>
      </c>
      <c r="D1106" s="1">
        <v>7543</v>
      </c>
      <c r="E1106" s="1">
        <v>-11751</v>
      </c>
      <c r="G1106" s="1">
        <v>705187</v>
      </c>
      <c r="H1106" s="1">
        <v>51331</v>
      </c>
      <c r="I1106" s="1">
        <v>6038</v>
      </c>
      <c r="J1106" s="1">
        <v>200544</v>
      </c>
      <c r="K1106" s="1">
        <v>22128</v>
      </c>
      <c r="L1106" s="1">
        <v>5706</v>
      </c>
      <c r="M1106" s="1">
        <v>1900</v>
      </c>
      <c r="O1106" s="1">
        <v>504643</v>
      </c>
      <c r="P1106" s="1">
        <v>74664</v>
      </c>
      <c r="Q1106" s="1">
        <v>25592</v>
      </c>
      <c r="R1106" s="1">
        <v>26.8</v>
      </c>
      <c r="T1106">
        <f>E1106/G1106</f>
        <v>-1.6663665098761039E-2</v>
      </c>
      <c r="U1106">
        <f>D1106/C1106</f>
        <v>6.1676206050695015E-2</v>
      </c>
      <c r="V1106">
        <f>(E1106-F1106)/O1106</f>
        <v>-2.3285768355054959E-2</v>
      </c>
      <c r="W1106">
        <f>H1106/K1106</f>
        <v>2.3197306579898771</v>
      </c>
      <c r="X1106">
        <f>(H1106-I1106)/K1106</f>
        <v>2.0468637020968909</v>
      </c>
      <c r="Y1106">
        <f>(H1106-K1106)/G1106</f>
        <v>4.1411710652635401E-2</v>
      </c>
      <c r="Z1106" t="e">
        <f>J1106/N1106</f>
        <v>#DIV/0!</v>
      </c>
      <c r="AA1106">
        <f>J1106/G1106</f>
        <v>0.28438414207862595</v>
      </c>
      <c r="AB1106">
        <f>C1106/G1106</f>
        <v>0.17342917552365542</v>
      </c>
      <c r="AC1106">
        <f>C1106/(G1106-K1106)</f>
        <v>0.17904749077312501</v>
      </c>
      <c r="AD1106">
        <f>Q1106/E1106</f>
        <v>-2.177857203642243</v>
      </c>
      <c r="AE1106">
        <f>Q1106/J1106</f>
        <v>0.12761289293122707</v>
      </c>
      <c r="AF1106">
        <f>Q1106/G1106</f>
        <v>3.6291083074418556E-2</v>
      </c>
      <c r="AG1106">
        <f>Q1106/K1106</f>
        <v>1.1565437454808387</v>
      </c>
      <c r="AH1106">
        <f>Q1106/L1106</f>
        <v>4.4851033999298986</v>
      </c>
      <c r="AI1106" s="1">
        <f>R1106</f>
        <v>26.8</v>
      </c>
      <c r="AJ1106" s="1">
        <f>P1106</f>
        <v>74664</v>
      </c>
    </row>
    <row r="1107" spans="1:36" x14ac:dyDescent="0.25">
      <c r="A1107" t="s">
        <v>169</v>
      </c>
      <c r="B1107">
        <v>2024</v>
      </c>
      <c r="C1107" s="1">
        <v>198984</v>
      </c>
      <c r="D1107" s="1">
        <v>25871</v>
      </c>
      <c r="E1107" s="1">
        <v>16649</v>
      </c>
      <c r="G1107" s="1">
        <v>731015</v>
      </c>
      <c r="H1107" s="1">
        <v>79296</v>
      </c>
      <c r="I1107" s="1">
        <v>7784</v>
      </c>
      <c r="J1107" s="1">
        <v>208182</v>
      </c>
      <c r="K1107" s="1">
        <v>31186</v>
      </c>
      <c r="L1107" s="1">
        <v>1441</v>
      </c>
      <c r="M1107" s="1">
        <v>583</v>
      </c>
      <c r="O1107" s="1">
        <v>522833</v>
      </c>
      <c r="P1107" s="1">
        <v>90887</v>
      </c>
      <c r="Q1107" s="1">
        <v>45100</v>
      </c>
      <c r="R1107" s="1">
        <v>27.1</v>
      </c>
      <c r="T1107">
        <f>E1107/G1107</f>
        <v>2.2775182451796473E-2</v>
      </c>
      <c r="U1107">
        <f>D1107/C1107</f>
        <v>0.13001547863144775</v>
      </c>
      <c r="V1107">
        <f>(E1107-F1107)/O1107</f>
        <v>3.1843820110819328E-2</v>
      </c>
      <c r="W1107">
        <f>H1107/K1107</f>
        <v>2.5426794074264092</v>
      </c>
      <c r="X1107">
        <f>(H1107-I1107)/K1107</f>
        <v>2.293080228307574</v>
      </c>
      <c r="Y1107">
        <f>(H1107-K1107)/G1107</f>
        <v>6.5812603024561739E-2</v>
      </c>
      <c r="Z1107" t="e">
        <f>J1107/N1107</f>
        <v>#DIV/0!</v>
      </c>
      <c r="AA1107">
        <f>J1107/G1107</f>
        <v>0.28478485393596575</v>
      </c>
      <c r="AB1107">
        <f>C1107/G1107</f>
        <v>0.27220234878901256</v>
      </c>
      <c r="AC1107">
        <f>C1107/(G1107-K1107)</f>
        <v>0.2843323154656352</v>
      </c>
      <c r="AD1107">
        <f>Q1107/E1107</f>
        <v>2.7088714036879091</v>
      </c>
      <c r="AE1107">
        <f>Q1107/J1107</f>
        <v>0.21663736538221365</v>
      </c>
      <c r="AF1107">
        <f>Q1107/G1107</f>
        <v>6.1695040457446157E-2</v>
      </c>
      <c r="AG1107">
        <f>Q1107/K1107</f>
        <v>1.4461617392419674</v>
      </c>
      <c r="AH1107">
        <f>Q1107/L1107</f>
        <v>31.297709923664122</v>
      </c>
      <c r="AI1107" s="1">
        <f>R1107</f>
        <v>27.1</v>
      </c>
      <c r="AJ1107" s="1">
        <f>P1107</f>
        <v>90887</v>
      </c>
    </row>
    <row r="1108" spans="1:36" x14ac:dyDescent="0.25">
      <c r="A1108" t="s">
        <v>167</v>
      </c>
      <c r="B1108">
        <v>2018</v>
      </c>
      <c r="C1108" s="1">
        <v>73293</v>
      </c>
      <c r="D1108" s="1">
        <v>-3956</v>
      </c>
      <c r="E1108" s="1">
        <v>-3956</v>
      </c>
      <c r="G1108" s="1">
        <v>84347</v>
      </c>
      <c r="H1108" s="1">
        <v>9086</v>
      </c>
      <c r="I1108" s="1">
        <v>3577</v>
      </c>
      <c r="J1108" s="1">
        <v>58378</v>
      </c>
      <c r="K1108" s="1">
        <v>25208</v>
      </c>
      <c r="L1108" s="1">
        <v>32037</v>
      </c>
      <c r="M1108" s="1">
        <v>26402</v>
      </c>
      <c r="O1108" s="1">
        <v>25969</v>
      </c>
      <c r="P1108" s="1">
        <v>-110420</v>
      </c>
      <c r="Q1108" s="1">
        <v>12948</v>
      </c>
      <c r="R1108" s="1">
        <v>21</v>
      </c>
      <c r="T1108">
        <f>E1108/G1108</f>
        <v>-4.6901490272327408E-2</v>
      </c>
      <c r="U1108">
        <f>D1108/C1108</f>
        <v>-5.397514087293466E-2</v>
      </c>
      <c r="V1108">
        <f>(E1108-F1108)/O1108</f>
        <v>-0.152335476914783</v>
      </c>
      <c r="W1108">
        <f>H1108/K1108</f>
        <v>0.36044112980006349</v>
      </c>
      <c r="X1108">
        <f>(H1108-I1108)/K1108</f>
        <v>0.2185417327832434</v>
      </c>
      <c r="Y1108">
        <f>(H1108-K1108)/G1108</f>
        <v>-0.19113898538181559</v>
      </c>
      <c r="Z1108" t="e">
        <f>J1108/N1108</f>
        <v>#DIV/0!</v>
      </c>
      <c r="AA1108">
        <f>J1108/G1108</f>
        <v>0.69211708774467384</v>
      </c>
      <c r="AB1108">
        <f>C1108/G1108</f>
        <v>0.86894613916321861</v>
      </c>
      <c r="AC1108">
        <f>C1108/(G1108-K1108)</f>
        <v>1.239334449348146</v>
      </c>
      <c r="AD1108">
        <f>Q1108/E1108</f>
        <v>-3.2730030333670372</v>
      </c>
      <c r="AE1108">
        <f>Q1108/J1108</f>
        <v>0.22179588201034636</v>
      </c>
      <c r="AF1108">
        <f>Q1108/G1108</f>
        <v>0.15350871993076221</v>
      </c>
      <c r="AG1108">
        <f>Q1108/K1108</f>
        <v>0.51364646144081239</v>
      </c>
      <c r="AH1108">
        <f>Q1108/L1108</f>
        <v>0.40415769266785279</v>
      </c>
      <c r="AI1108" s="1">
        <f>R1108</f>
        <v>21</v>
      </c>
      <c r="AJ1108" s="1">
        <f>P1108</f>
        <v>-110420</v>
      </c>
    </row>
    <row r="1109" spans="1:36" x14ac:dyDescent="0.25">
      <c r="A1109" t="s">
        <v>167</v>
      </c>
      <c r="B1109">
        <v>2019</v>
      </c>
      <c r="C1109" s="1">
        <v>64505</v>
      </c>
      <c r="D1109" s="1">
        <v>-16198</v>
      </c>
      <c r="E1109" s="1">
        <v>-16198</v>
      </c>
      <c r="G1109" s="1">
        <v>74262</v>
      </c>
      <c r="H1109" s="1">
        <v>13301</v>
      </c>
      <c r="I1109" s="1">
        <v>3576</v>
      </c>
      <c r="J1109" s="1">
        <v>64547</v>
      </c>
      <c r="K1109" s="1">
        <v>28800</v>
      </c>
      <c r="L1109" s="1">
        <v>33985</v>
      </c>
      <c r="M1109" s="1">
        <v>26841</v>
      </c>
      <c r="O1109" s="1">
        <v>9715</v>
      </c>
      <c r="P1109" s="1">
        <v>-116334.538</v>
      </c>
      <c r="Q1109" s="1">
        <v>-20463</v>
      </c>
      <c r="R1109" s="1">
        <v>16.100000000000001</v>
      </c>
      <c r="T1109">
        <f>E1109/G1109</f>
        <v>-0.21811963049742802</v>
      </c>
      <c r="U1109">
        <f>D1109/C1109</f>
        <v>-0.2511123168746609</v>
      </c>
      <c r="V1109">
        <f>(E1109-F1109)/O1109</f>
        <v>-1.667318579516212</v>
      </c>
      <c r="W1109">
        <f>H1109/K1109</f>
        <v>0.46184027777777775</v>
      </c>
      <c r="X1109">
        <f>(H1109-I1109)/K1109</f>
        <v>0.3376736111111111</v>
      </c>
      <c r="Y1109">
        <f>(H1109-K1109)/G1109</f>
        <v>-0.20870701031483127</v>
      </c>
      <c r="Z1109" t="e">
        <f>J1109/N1109</f>
        <v>#DIV/0!</v>
      </c>
      <c r="AA1109">
        <f>J1109/G1109</f>
        <v>0.86917939188279336</v>
      </c>
      <c r="AB1109">
        <f>C1109/G1109</f>
        <v>0.86861382672160725</v>
      </c>
      <c r="AC1109">
        <f>C1109/(G1109-K1109)</f>
        <v>1.4188773041221239</v>
      </c>
      <c r="AD1109">
        <f>Q1109/E1109</f>
        <v>1.2633041116187183</v>
      </c>
      <c r="AE1109">
        <f>Q1109/J1109</f>
        <v>-0.31702480363146235</v>
      </c>
      <c r="AF1109">
        <f>Q1109/G1109</f>
        <v>-0.27555142603215643</v>
      </c>
      <c r="AG1109">
        <f>Q1109/K1109</f>
        <v>-0.71052083333333338</v>
      </c>
      <c r="AH1109">
        <f>Q1109/L1109</f>
        <v>-0.60211858172723265</v>
      </c>
      <c r="AI1109" s="1">
        <f>R1109</f>
        <v>16.100000000000001</v>
      </c>
      <c r="AJ1109" s="1">
        <f>P1109</f>
        <v>-116334.538</v>
      </c>
    </row>
    <row r="1110" spans="1:36" x14ac:dyDescent="0.25">
      <c r="A1110" t="s">
        <v>167</v>
      </c>
      <c r="B1110">
        <v>2020</v>
      </c>
      <c r="C1110" s="1">
        <v>80807</v>
      </c>
      <c r="D1110" s="1">
        <v>-1777</v>
      </c>
      <c r="E1110" s="1">
        <v>-1777</v>
      </c>
      <c r="G1110" s="1">
        <v>73370</v>
      </c>
      <c r="H1110" s="1">
        <v>13657</v>
      </c>
      <c r="I1110" s="1">
        <v>4031.5659999999998</v>
      </c>
      <c r="J1110" s="1">
        <v>65546</v>
      </c>
      <c r="K1110" s="1">
        <v>20451</v>
      </c>
      <c r="L1110" s="1">
        <v>37310</v>
      </c>
      <c r="M1110" s="1">
        <v>33402</v>
      </c>
      <c r="O1110" s="1">
        <v>7824</v>
      </c>
      <c r="P1110" s="1">
        <v>-118224.649</v>
      </c>
      <c r="Q1110" s="1">
        <v>5407</v>
      </c>
      <c r="R1110" s="1">
        <v>19</v>
      </c>
      <c r="T1110">
        <f>E1110/G1110</f>
        <v>-2.4219708327654355E-2</v>
      </c>
      <c r="U1110">
        <f>D1110/C1110</f>
        <v>-2.199066912519955E-2</v>
      </c>
      <c r="V1110">
        <f>(E1110-F1110)/O1110</f>
        <v>-0.22712167689161555</v>
      </c>
      <c r="W1110">
        <f>H1110/K1110</f>
        <v>0.66779130604860393</v>
      </c>
      <c r="X1110">
        <f>(H1110-I1110)/K1110</f>
        <v>0.4706583541147133</v>
      </c>
      <c r="Y1110">
        <f>(H1110-K1110)/G1110</f>
        <v>-9.2599154967970554E-2</v>
      </c>
      <c r="Z1110" t="e">
        <f>J1110/N1110</f>
        <v>#DIV/0!</v>
      </c>
      <c r="AA1110">
        <f>J1110/G1110</f>
        <v>0.89336240970423875</v>
      </c>
      <c r="AB1110">
        <f>C1110/G1110</f>
        <v>1.1013629548861932</v>
      </c>
      <c r="AC1110">
        <f>C1110/(G1110-K1110)</f>
        <v>1.5269940853001758</v>
      </c>
      <c r="AD1110">
        <f>Q1110/E1110</f>
        <v>-3.0427687113111985</v>
      </c>
      <c r="AE1110">
        <f>Q1110/J1110</f>
        <v>8.249168522869435E-2</v>
      </c>
      <c r="AF1110">
        <f>Q1110/G1110</f>
        <v>7.369497069646995E-2</v>
      </c>
      <c r="AG1110">
        <f>Q1110/K1110</f>
        <v>0.2643880494841328</v>
      </c>
      <c r="AH1110">
        <f>Q1110/L1110</f>
        <v>0.14492093272581077</v>
      </c>
      <c r="AI1110" s="1">
        <f>R1110</f>
        <v>19</v>
      </c>
      <c r="AJ1110" s="1">
        <f>P1110</f>
        <v>-118224.649</v>
      </c>
    </row>
    <row r="1111" spans="1:36" x14ac:dyDescent="0.25">
      <c r="A1111" t="s">
        <v>167</v>
      </c>
      <c r="B1111">
        <v>2021</v>
      </c>
      <c r="C1111" s="1">
        <v>72269</v>
      </c>
      <c r="D1111" s="1">
        <v>-11567</v>
      </c>
      <c r="E1111" s="1">
        <v>-11567</v>
      </c>
      <c r="G1111" s="1">
        <v>75411</v>
      </c>
      <c r="H1111" s="1">
        <v>12391</v>
      </c>
      <c r="I1111" s="1">
        <v>4275</v>
      </c>
      <c r="J1111" s="1">
        <v>80012</v>
      </c>
      <c r="K1111" s="1">
        <v>29569</v>
      </c>
      <c r="L1111" s="1">
        <v>47380</v>
      </c>
      <c r="M1111" s="1">
        <v>40736</v>
      </c>
      <c r="O1111" s="1">
        <v>-4601</v>
      </c>
      <c r="P1111" s="1">
        <v>-130369.092</v>
      </c>
      <c r="Q1111" s="1">
        <v>-2758</v>
      </c>
      <c r="R1111" s="1">
        <v>24.5</v>
      </c>
      <c r="T1111">
        <f>E1111/G1111</f>
        <v>-0.15338611077959449</v>
      </c>
      <c r="U1111">
        <f>D1111/C1111</f>
        <v>-0.16005479527875022</v>
      </c>
      <c r="V1111">
        <f>(E1111-F1111)/O1111</f>
        <v>2.514018691588785</v>
      </c>
      <c r="W1111">
        <f>H1111/K1111</f>
        <v>0.41905373871284113</v>
      </c>
      <c r="X1111">
        <f>(H1111-I1111)/K1111</f>
        <v>0.27447664784064391</v>
      </c>
      <c r="Y1111">
        <f>(H1111-K1111)/G1111</f>
        <v>-0.22779170147591199</v>
      </c>
      <c r="Z1111" t="e">
        <f>J1111/N1111</f>
        <v>#DIV/0!</v>
      </c>
      <c r="AA1111">
        <f>J1111/G1111</f>
        <v>1.0610123191576826</v>
      </c>
      <c r="AB1111">
        <f>C1111/G1111</f>
        <v>0.95833499091644458</v>
      </c>
      <c r="AC1111">
        <f>C1111/(G1111-K1111)</f>
        <v>1.5764800837659787</v>
      </c>
      <c r="AD1111">
        <f>Q1111/E1111</f>
        <v>0.23843693265323765</v>
      </c>
      <c r="AE1111">
        <f>Q1111/J1111</f>
        <v>-3.4469829525571163E-2</v>
      </c>
      <c r="AF1111">
        <f>Q1111/G1111</f>
        <v>-3.657291376589622E-2</v>
      </c>
      <c r="AG1111">
        <f>Q1111/K1111</f>
        <v>-9.3273360614156725E-2</v>
      </c>
      <c r="AH1111">
        <f>Q1111/L1111</f>
        <v>-5.821021528070916E-2</v>
      </c>
      <c r="AI1111" s="1">
        <f>R1111</f>
        <v>24.5</v>
      </c>
      <c r="AJ1111" s="1">
        <f>P1111</f>
        <v>-130369.092</v>
      </c>
    </row>
    <row r="1112" spans="1:36" x14ac:dyDescent="0.25">
      <c r="A1112" t="s">
        <v>167</v>
      </c>
      <c r="B1112">
        <v>2022</v>
      </c>
      <c r="C1112" s="1">
        <v>105741</v>
      </c>
      <c r="D1112" s="1">
        <v>-19950</v>
      </c>
      <c r="E1112" s="1">
        <v>-19950</v>
      </c>
      <c r="G1112" s="1">
        <v>87482</v>
      </c>
      <c r="H1112" s="1">
        <v>24273</v>
      </c>
      <c r="I1112" s="1">
        <v>442</v>
      </c>
      <c r="J1112" s="1">
        <v>113073</v>
      </c>
      <c r="K1112" s="1">
        <v>35860</v>
      </c>
      <c r="L1112" s="1">
        <v>66249</v>
      </c>
      <c r="M1112" s="1">
        <v>58528</v>
      </c>
      <c r="O1112" s="1">
        <v>-25591</v>
      </c>
      <c r="P1112" s="1">
        <v>-150673.29199999999</v>
      </c>
      <c r="Q1112" s="1">
        <v>12494</v>
      </c>
      <c r="R1112" s="1">
        <v>19</v>
      </c>
      <c r="T1112">
        <f>E1112/G1112</f>
        <v>-0.22804691250771586</v>
      </c>
      <c r="U1112">
        <f>D1112/C1112</f>
        <v>-0.18866853916645387</v>
      </c>
      <c r="V1112">
        <f>(E1112-F1112)/O1112</f>
        <v>0.7795709429096167</v>
      </c>
      <c r="W1112">
        <f>H1112/K1112</f>
        <v>0.67688232013385385</v>
      </c>
      <c r="X1112">
        <f>(H1112-I1112)/K1112</f>
        <v>0.66455660903513669</v>
      </c>
      <c r="Y1112">
        <f>(H1112-K1112)/G1112</f>
        <v>-0.1324501040213987</v>
      </c>
      <c r="Z1112" t="e">
        <f>J1112/N1112</f>
        <v>#DIV/0!</v>
      </c>
      <c r="AA1112">
        <f>J1112/G1112</f>
        <v>1.2925287487711759</v>
      </c>
      <c r="AB1112">
        <f>C1112/G1112</f>
        <v>1.2087172218284905</v>
      </c>
      <c r="AC1112">
        <f>C1112/(G1112-K1112)</f>
        <v>2.0483708496377515</v>
      </c>
      <c r="AD1112">
        <f>Q1112/E1112</f>
        <v>-0.62626566416040097</v>
      </c>
      <c r="AE1112">
        <f>Q1112/J1112</f>
        <v>0.11049498996223678</v>
      </c>
      <c r="AF1112">
        <f>Q1112/G1112</f>
        <v>0.14281795112137355</v>
      </c>
      <c r="AG1112">
        <f>Q1112/K1112</f>
        <v>0.34841048522030116</v>
      </c>
      <c r="AH1112">
        <f>Q1112/L1112</f>
        <v>0.18859152590982506</v>
      </c>
      <c r="AI1112" s="1">
        <f>R1112</f>
        <v>19</v>
      </c>
      <c r="AJ1112" s="1">
        <f>P1112</f>
        <v>-150673.29199999999</v>
      </c>
    </row>
    <row r="1113" spans="1:36" x14ac:dyDescent="0.25">
      <c r="A1113" t="s">
        <v>167</v>
      </c>
      <c r="B1113">
        <v>2023</v>
      </c>
      <c r="C1113" s="1">
        <v>241290</v>
      </c>
      <c r="D1113" s="1">
        <v>42063</v>
      </c>
      <c r="E1113" s="1">
        <v>42063</v>
      </c>
      <c r="G1113" s="1">
        <v>182040</v>
      </c>
      <c r="H1113" s="1">
        <v>51036</v>
      </c>
      <c r="I1113" s="1">
        <v>3441</v>
      </c>
      <c r="J1113" s="1">
        <v>106717</v>
      </c>
      <c r="K1113" s="1">
        <v>28062</v>
      </c>
      <c r="L1113" s="1">
        <v>67850</v>
      </c>
      <c r="M1113" s="1">
        <v>58180</v>
      </c>
      <c r="O1113" s="1">
        <v>75323</v>
      </c>
      <c r="P1113" s="1">
        <v>-100422.54399999999</v>
      </c>
      <c r="Q1113" s="1">
        <v>46064</v>
      </c>
      <c r="R1113" s="1">
        <v>28.3</v>
      </c>
      <c r="T1113">
        <f>E1113/G1113</f>
        <v>0.23106460118655239</v>
      </c>
      <c r="U1113">
        <f>D1113/C1113</f>
        <v>0.17432550043516101</v>
      </c>
      <c r="V1113">
        <f>(E1113-F1113)/O1113</f>
        <v>0.55843500657169787</v>
      </c>
      <c r="W1113">
        <f>H1113/K1113</f>
        <v>1.8186871926448578</v>
      </c>
      <c r="X1113">
        <f>(H1113-I1113)/K1113</f>
        <v>1.69606585418003</v>
      </c>
      <c r="Y1113">
        <f>(H1113-K1113)/G1113</f>
        <v>0.12620303230059327</v>
      </c>
      <c r="Z1113" t="e">
        <f>J1113/N1113</f>
        <v>#DIV/0!</v>
      </c>
      <c r="AA1113">
        <f>J1113/G1113</f>
        <v>0.58622830147220395</v>
      </c>
      <c r="AB1113">
        <f>C1113/G1113</f>
        <v>1.3254779169413315</v>
      </c>
      <c r="AC1113">
        <f>C1113/(G1113-K1113)</f>
        <v>1.5670420449674629</v>
      </c>
      <c r="AD1113">
        <f>Q1113/E1113</f>
        <v>1.0951192259230202</v>
      </c>
      <c r="AE1113">
        <f>Q1113/J1113</f>
        <v>0.43164631689421556</v>
      </c>
      <c r="AF1113">
        <f>Q1113/G1113</f>
        <v>0.25304328718962865</v>
      </c>
      <c r="AG1113">
        <f>Q1113/K1113</f>
        <v>1.6415080892309886</v>
      </c>
      <c r="AH1113">
        <f>Q1113/L1113</f>
        <v>0.67890935887988213</v>
      </c>
      <c r="AI1113" s="1">
        <f>R1113</f>
        <v>28.3</v>
      </c>
      <c r="AJ1113" s="1">
        <f>P1113</f>
        <v>-100422.54399999999</v>
      </c>
    </row>
    <row r="1114" spans="1:36" x14ac:dyDescent="0.25">
      <c r="A1114" t="s">
        <v>167</v>
      </c>
      <c r="B1114">
        <v>2024</v>
      </c>
      <c r="C1114" s="1">
        <v>234414</v>
      </c>
      <c r="D1114" s="1">
        <v>-220</v>
      </c>
      <c r="E1114" s="1">
        <v>-220</v>
      </c>
      <c r="G1114" s="1">
        <v>203614</v>
      </c>
      <c r="H1114" s="1">
        <v>52029</v>
      </c>
      <c r="I1114" s="1">
        <v>2265</v>
      </c>
      <c r="J1114" s="1">
        <v>127099</v>
      </c>
      <c r="K1114" s="1">
        <v>44715</v>
      </c>
      <c r="L1114" s="1">
        <v>61401</v>
      </c>
      <c r="M1114" s="1">
        <v>50563</v>
      </c>
      <c r="O1114" s="1">
        <v>76515</v>
      </c>
      <c r="P1114" s="1">
        <v>-93301.394</v>
      </c>
      <c r="Q1114" s="1">
        <v>36618</v>
      </c>
      <c r="R1114" s="1">
        <v>84</v>
      </c>
      <c r="T1114">
        <f>E1114/G1114</f>
        <v>-1.0804758022532831E-3</v>
      </c>
      <c r="U1114">
        <f>D1114/C1114</f>
        <v>-9.3851049851971296E-4</v>
      </c>
      <c r="V1114">
        <f>(E1114-F1114)/O1114</f>
        <v>-2.8752532183232045E-3</v>
      </c>
      <c r="W1114">
        <f>H1114/K1114</f>
        <v>1.1635692720563569</v>
      </c>
      <c r="X1114">
        <f>(H1114-I1114)/K1114</f>
        <v>1.1129151291512915</v>
      </c>
      <c r="Y1114">
        <f>(H1114-K1114)/G1114</f>
        <v>3.5920909171275058E-2</v>
      </c>
      <c r="Z1114" t="e">
        <f>J1114/N1114</f>
        <v>#DIV/0!</v>
      </c>
      <c r="AA1114">
        <f>J1114/G1114</f>
        <v>0.62421542722995471</v>
      </c>
      <c r="AB1114">
        <f>C1114/G1114</f>
        <v>1.1512666123154596</v>
      </c>
      <c r="AC1114">
        <f>C1114/(G1114-K1114)</f>
        <v>1.4752389882881578</v>
      </c>
      <c r="AD1114">
        <f>Q1114/E1114</f>
        <v>-166.44545454545454</v>
      </c>
      <c r="AE1114">
        <f>Q1114/J1114</f>
        <v>0.28810612199938629</v>
      </c>
      <c r="AF1114">
        <f>Q1114/G1114</f>
        <v>0.17984028603141239</v>
      </c>
      <c r="AG1114">
        <f>Q1114/K1114</f>
        <v>0.81891982556189202</v>
      </c>
      <c r="AH1114">
        <f>Q1114/L1114</f>
        <v>0.59637465187863392</v>
      </c>
      <c r="AI1114" s="1">
        <f>R1114</f>
        <v>84</v>
      </c>
      <c r="AJ1114" s="1">
        <f>P1114</f>
        <v>-93301.394</v>
      </c>
    </row>
    <row r="1115" spans="1:36" x14ac:dyDescent="0.25">
      <c r="A1115" t="s">
        <v>173</v>
      </c>
      <c r="B1115">
        <v>2018</v>
      </c>
      <c r="C1115" s="1">
        <v>8703564</v>
      </c>
      <c r="D1115" s="1">
        <v>509064</v>
      </c>
      <c r="E1115" s="1">
        <v>523945</v>
      </c>
      <c r="G1115" s="1">
        <v>13051356</v>
      </c>
      <c r="H1115" s="1">
        <v>5349018</v>
      </c>
      <c r="I1115" s="1">
        <v>1315834</v>
      </c>
      <c r="J1115" s="1">
        <v>4278837</v>
      </c>
      <c r="K1115" s="1">
        <v>3176684</v>
      </c>
      <c r="L1115" s="1">
        <v>2390673</v>
      </c>
      <c r="M1115" s="1">
        <v>357744</v>
      </c>
      <c r="O1115" s="1">
        <v>8772519</v>
      </c>
      <c r="P1115" s="1">
        <v>3919517</v>
      </c>
      <c r="Q1115" s="1">
        <v>234243</v>
      </c>
      <c r="R1115" s="1">
        <v>20</v>
      </c>
      <c r="T1115">
        <f>E1115/G1115</f>
        <v>4.0144870770516108E-2</v>
      </c>
      <c r="U1115">
        <f>D1115/C1115</f>
        <v>5.848914306828789E-2</v>
      </c>
      <c r="V1115">
        <f>(E1115-F1115)/O1115</f>
        <v>5.9725718462393752E-2</v>
      </c>
      <c r="W1115">
        <f>H1115/K1115</f>
        <v>1.6838369822116395</v>
      </c>
      <c r="X1115">
        <f>(H1115-I1115)/K1115</f>
        <v>1.2696207743672332</v>
      </c>
      <c r="Y1115">
        <f>(H1115-K1115)/G1115</f>
        <v>0.16644508049585038</v>
      </c>
      <c r="Z1115" t="e">
        <f>J1115/N1115</f>
        <v>#DIV/0!</v>
      </c>
      <c r="AA1115">
        <f>J1115/G1115</f>
        <v>0.32784616403077199</v>
      </c>
      <c r="AB1115">
        <f>C1115/G1115</f>
        <v>0.66687047690676737</v>
      </c>
      <c r="AC1115">
        <f>C1115/(G1115-K1115)</f>
        <v>0.88140284558312421</v>
      </c>
      <c r="AD1115">
        <f>Q1115/E1115</f>
        <v>0.44707555182318753</v>
      </c>
      <c r="AE1115">
        <f>Q1115/J1115</f>
        <v>5.4744548577101676E-2</v>
      </c>
      <c r="AF1115">
        <f>Q1115/G1115</f>
        <v>1.7947790252599041E-2</v>
      </c>
      <c r="AG1115">
        <f>Q1115/K1115</f>
        <v>7.3738212551201193E-2</v>
      </c>
      <c r="AH1115">
        <f>Q1115/L1115</f>
        <v>9.7982032674481204E-2</v>
      </c>
      <c r="AI1115" s="1">
        <f>R1115</f>
        <v>20</v>
      </c>
      <c r="AJ1115" s="1">
        <f>P1115</f>
        <v>3919517</v>
      </c>
    </row>
    <row r="1116" spans="1:36" x14ac:dyDescent="0.25">
      <c r="A1116" t="s">
        <v>173</v>
      </c>
      <c r="B1116">
        <v>2019</v>
      </c>
      <c r="C1116" s="1">
        <v>8965407</v>
      </c>
      <c r="D1116" s="1">
        <v>636815</v>
      </c>
      <c r="E1116" s="1">
        <v>234436</v>
      </c>
      <c r="G1116" s="1">
        <v>12900422</v>
      </c>
      <c r="H1116" s="1">
        <v>4521035</v>
      </c>
      <c r="I1116" s="1">
        <v>1323596</v>
      </c>
      <c r="J1116" s="1">
        <v>3668520</v>
      </c>
      <c r="K1116" s="1">
        <v>2704013</v>
      </c>
      <c r="L1116" s="1">
        <v>1598014</v>
      </c>
      <c r="M1116" s="1">
        <v>76751</v>
      </c>
      <c r="O1116" s="1">
        <v>9231902</v>
      </c>
      <c r="P1116" s="1">
        <v>4278525</v>
      </c>
      <c r="Q1116" s="1">
        <v>901441</v>
      </c>
      <c r="R1116" s="1">
        <v>13.4</v>
      </c>
      <c r="T1116">
        <f>E1116/G1116</f>
        <v>1.8172738845287386E-2</v>
      </c>
      <c r="U1116">
        <f>D1116/C1116</f>
        <v>7.1030238783359193E-2</v>
      </c>
      <c r="V1116">
        <f>(E1116-F1116)/O1116</f>
        <v>2.5394117051935776E-2</v>
      </c>
      <c r="W1116">
        <f>H1116/K1116</f>
        <v>1.6719723610796249</v>
      </c>
      <c r="X1116">
        <f>(H1116-I1116)/K1116</f>
        <v>1.182479152282182</v>
      </c>
      <c r="Y1116">
        <f>(H1116-K1116)/G1116</f>
        <v>0.14084981095967247</v>
      </c>
      <c r="Z1116" t="e">
        <f>J1116/N1116</f>
        <v>#DIV/0!</v>
      </c>
      <c r="AA1116">
        <f>J1116/G1116</f>
        <v>0.28437209263386887</v>
      </c>
      <c r="AB1116">
        <f>C1116/G1116</f>
        <v>0.69497005601832251</v>
      </c>
      <c r="AC1116">
        <f>C1116/(G1116-K1116)</f>
        <v>0.8792710257111106</v>
      </c>
      <c r="AD1116">
        <f>Q1116/E1116</f>
        <v>3.845147502943234</v>
      </c>
      <c r="AE1116">
        <f>Q1116/J1116</f>
        <v>0.2457233434736624</v>
      </c>
      <c r="AF1116">
        <f>Q1116/G1116</f>
        <v>6.9876861392596301E-2</v>
      </c>
      <c r="AG1116">
        <f>Q1116/K1116</f>
        <v>0.33337154813974634</v>
      </c>
      <c r="AH1116">
        <f>Q1116/L1116</f>
        <v>0.56410081513678856</v>
      </c>
      <c r="AI1116" s="1">
        <f>R1116</f>
        <v>13.4</v>
      </c>
      <c r="AJ1116" s="1">
        <f>P1116</f>
        <v>4278525</v>
      </c>
    </row>
    <row r="1117" spans="1:36" x14ac:dyDescent="0.25">
      <c r="A1117" t="s">
        <v>173</v>
      </c>
      <c r="B1117">
        <v>2020</v>
      </c>
      <c r="C1117" s="1">
        <v>7849081</v>
      </c>
      <c r="D1117" s="1">
        <v>424406</v>
      </c>
      <c r="E1117" s="1">
        <v>363643</v>
      </c>
      <c r="G1117" s="1">
        <v>13970246</v>
      </c>
      <c r="H1117" s="1">
        <v>4414588</v>
      </c>
      <c r="I1117" s="1">
        <v>1285707</v>
      </c>
      <c r="J1117" s="1">
        <v>3795441</v>
      </c>
      <c r="K1117" s="1">
        <v>2458592</v>
      </c>
      <c r="L1117" s="1">
        <v>1465514</v>
      </c>
      <c r="M1117" s="1">
        <v>325688</v>
      </c>
      <c r="O1117" s="1">
        <v>10174805</v>
      </c>
      <c r="P1117" s="1">
        <v>4500908</v>
      </c>
      <c r="Q1117" s="1">
        <v>316922</v>
      </c>
      <c r="R1117" s="1">
        <v>13.5</v>
      </c>
      <c r="T1117">
        <f>E1117/G1117</f>
        <v>2.6029820806305056E-2</v>
      </c>
      <c r="U1117">
        <f>D1117/C1117</f>
        <v>5.4070788669399641E-2</v>
      </c>
      <c r="V1117">
        <f>(E1117-F1117)/O1117</f>
        <v>3.5739554713824985E-2</v>
      </c>
      <c r="W1117">
        <f>H1117/K1117</f>
        <v>1.7955756790878681</v>
      </c>
      <c r="X1117">
        <f>(H1117-I1117)/K1117</f>
        <v>1.2726312458512841</v>
      </c>
      <c r="Y1117">
        <f>(H1117-K1117)/G1117</f>
        <v>0.14001156457803249</v>
      </c>
      <c r="Z1117" t="e">
        <f>J1117/N1117</f>
        <v>#DIV/0!</v>
      </c>
      <c r="AA1117">
        <f>J1117/G1117</f>
        <v>0.27168032688901828</v>
      </c>
      <c r="AB1117">
        <f>C1117/G1117</f>
        <v>0.56184271916185302</v>
      </c>
      <c r="AC1117">
        <f>C1117/(G1117-K1117)</f>
        <v>0.68183781409691435</v>
      </c>
      <c r="AD1117">
        <f>Q1117/E1117</f>
        <v>0.87151959476739549</v>
      </c>
      <c r="AE1117">
        <f>Q1117/J1117</f>
        <v>8.3500705188145466E-2</v>
      </c>
      <c r="AF1117">
        <f>Q1117/G1117</f>
        <v>2.2685498880978903E-2</v>
      </c>
      <c r="AG1117">
        <f>Q1117/K1117</f>
        <v>0.12890386042092383</v>
      </c>
      <c r="AH1117">
        <f>Q1117/L1117</f>
        <v>0.21625313712458563</v>
      </c>
      <c r="AI1117" s="1">
        <f>R1117</f>
        <v>13.5</v>
      </c>
      <c r="AJ1117" s="1">
        <f>P1117</f>
        <v>4500908</v>
      </c>
    </row>
    <row r="1118" spans="1:36" x14ac:dyDescent="0.25">
      <c r="A1118" t="s">
        <v>173</v>
      </c>
      <c r="B1118">
        <v>2021</v>
      </c>
      <c r="C1118" s="1">
        <v>8697769</v>
      </c>
      <c r="D1118" s="1">
        <v>493932</v>
      </c>
      <c r="E1118" s="1">
        <v>378971</v>
      </c>
      <c r="G1118" s="1">
        <v>15365030</v>
      </c>
      <c r="H1118" s="1">
        <v>6270980</v>
      </c>
      <c r="I1118" s="1">
        <v>1351013</v>
      </c>
      <c r="J1118" s="1">
        <v>4283614</v>
      </c>
      <c r="K1118" s="1">
        <v>3074306</v>
      </c>
      <c r="L1118" s="1">
        <v>2285224</v>
      </c>
      <c r="M1118" s="1">
        <v>293041</v>
      </c>
      <c r="O1118" s="1">
        <v>11081416</v>
      </c>
      <c r="P1118" s="1">
        <v>4806733</v>
      </c>
      <c r="Q1118" s="1">
        <v>-738434</v>
      </c>
      <c r="R1118" s="1">
        <v>14.4</v>
      </c>
      <c r="T1118">
        <f>E1118/G1118</f>
        <v>2.4664514159751072E-2</v>
      </c>
      <c r="U1118">
        <f>D1118/C1118</f>
        <v>5.678835572662369E-2</v>
      </c>
      <c r="V1118">
        <f>(E1118-F1118)/O1118</f>
        <v>3.4198788313695654E-2</v>
      </c>
      <c r="W1118">
        <f>H1118/K1118</f>
        <v>2.0398034548285042</v>
      </c>
      <c r="X1118">
        <f>(H1118-I1118)/K1118</f>
        <v>1.6003504530778654</v>
      </c>
      <c r="Y1118">
        <f>(H1118-K1118)/G1118</f>
        <v>0.20804866635470284</v>
      </c>
      <c r="Z1118" t="e">
        <f>J1118/N1118</f>
        <v>#DIV/0!</v>
      </c>
      <c r="AA1118">
        <f>J1118/G1118</f>
        <v>0.27878982338465985</v>
      </c>
      <c r="AB1118">
        <f>C1118/G1118</f>
        <v>0.56607562757768781</v>
      </c>
      <c r="AC1118">
        <f>C1118/(G1118-K1118)</f>
        <v>0.70766937732878876</v>
      </c>
      <c r="AD1118">
        <f>Q1118/E1118</f>
        <v>-1.9485237656707242</v>
      </c>
      <c r="AE1118">
        <f>Q1118/J1118</f>
        <v>-0.17238574717516564</v>
      </c>
      <c r="AF1118">
        <f>Q1118/G1118</f>
        <v>-4.8059392008997052E-2</v>
      </c>
      <c r="AG1118">
        <f>Q1118/K1118</f>
        <v>-0.24019534815337185</v>
      </c>
      <c r="AH1118">
        <f>Q1118/L1118</f>
        <v>-0.32313418728317223</v>
      </c>
      <c r="AI1118" s="1">
        <f>R1118</f>
        <v>14.4</v>
      </c>
      <c r="AJ1118" s="1">
        <f>P1118</f>
        <v>4806733</v>
      </c>
    </row>
    <row r="1119" spans="1:36" x14ac:dyDescent="0.25">
      <c r="A1119" t="s">
        <v>173</v>
      </c>
      <c r="B1119">
        <v>2022</v>
      </c>
      <c r="C1119" s="1">
        <v>10740549</v>
      </c>
      <c r="D1119" s="1">
        <v>925017</v>
      </c>
      <c r="E1119" s="1">
        <v>942979</v>
      </c>
      <c r="G1119" s="1">
        <v>17843444</v>
      </c>
      <c r="H1119" s="1">
        <v>8076340</v>
      </c>
      <c r="I1119" s="1">
        <v>1916101</v>
      </c>
      <c r="J1119" s="1">
        <v>5284009</v>
      </c>
      <c r="K1119" s="1">
        <v>3863606</v>
      </c>
      <c r="L1119" s="1">
        <v>2536877</v>
      </c>
      <c r="M1119" s="1">
        <v>449058</v>
      </c>
      <c r="O1119" s="1">
        <v>12559435</v>
      </c>
      <c r="P1119" s="1">
        <v>5744963</v>
      </c>
      <c r="Q1119" s="1">
        <v>1618674</v>
      </c>
      <c r="R1119" s="1">
        <v>10.6</v>
      </c>
      <c r="T1119">
        <f>E1119/G1119</f>
        <v>5.2847365116285849E-2</v>
      </c>
      <c r="U1119">
        <f>D1119/C1119</f>
        <v>8.6123809872288654E-2</v>
      </c>
      <c r="V1119">
        <f>(E1119-F1119)/O1119</f>
        <v>7.5081323323859708E-2</v>
      </c>
      <c r="W1119">
        <f>H1119/K1119</f>
        <v>2.0903632513253161</v>
      </c>
      <c r="X1119">
        <f>(H1119-I1119)/K1119</f>
        <v>1.5944273303230194</v>
      </c>
      <c r="Y1119">
        <f>(H1119-K1119)/G1119</f>
        <v>0.23609422037584224</v>
      </c>
      <c r="Z1119" t="e">
        <f>J1119/N1119</f>
        <v>#DIV/0!</v>
      </c>
      <c r="AA1119">
        <f>J1119/G1119</f>
        <v>0.29613167727037448</v>
      </c>
      <c r="AB1119">
        <f>C1119/G1119</f>
        <v>0.60193250809653109</v>
      </c>
      <c r="AC1119">
        <f>C1119/(G1119-K1119)</f>
        <v>0.76828851664804698</v>
      </c>
      <c r="AD1119">
        <f>Q1119/E1119</f>
        <v>1.7165536029964612</v>
      </c>
      <c r="AE1119">
        <f>Q1119/J1119</f>
        <v>0.30633445173920032</v>
      </c>
      <c r="AF1119">
        <f>Q1119/G1119</f>
        <v>9.0715334999229971E-2</v>
      </c>
      <c r="AG1119">
        <f>Q1119/K1119</f>
        <v>0.41895421013426315</v>
      </c>
      <c r="AH1119">
        <f>Q1119/L1119</f>
        <v>0.63805773791949705</v>
      </c>
      <c r="AI1119" s="1">
        <f>R1119</f>
        <v>10.6</v>
      </c>
      <c r="AJ1119" s="1">
        <f>P1119</f>
        <v>5744963</v>
      </c>
    </row>
    <row r="1120" spans="1:36" x14ac:dyDescent="0.25">
      <c r="A1120" t="s">
        <v>173</v>
      </c>
      <c r="B1120">
        <v>2023</v>
      </c>
      <c r="C1120" s="1">
        <v>17089010</v>
      </c>
      <c r="D1120" s="1">
        <v>1521171</v>
      </c>
      <c r="E1120" s="1">
        <v>903006</v>
      </c>
      <c r="G1120" s="1">
        <v>18807335</v>
      </c>
      <c r="H1120" s="1">
        <v>7799583</v>
      </c>
      <c r="I1120" s="1">
        <v>3123653</v>
      </c>
      <c r="J1120" s="1">
        <v>5573822</v>
      </c>
      <c r="K1120" s="1">
        <v>3985255</v>
      </c>
      <c r="L1120" s="1">
        <v>2358624</v>
      </c>
      <c r="M1120" s="1">
        <v>359721</v>
      </c>
      <c r="O1120" s="1">
        <v>13233513</v>
      </c>
      <c r="P1120" s="1">
        <v>6196336</v>
      </c>
      <c r="Q1120" s="1">
        <v>-44059</v>
      </c>
      <c r="R1120" s="1">
        <v>13.1</v>
      </c>
      <c r="T1120">
        <f>E1120/G1120</f>
        <v>4.8013501115389288E-2</v>
      </c>
      <c r="U1120">
        <f>D1120/C1120</f>
        <v>8.901457720488197E-2</v>
      </c>
      <c r="V1120">
        <f>(E1120-F1120)/O1120</f>
        <v>6.8236302786720354E-2</v>
      </c>
      <c r="W1120">
        <f>H1120/K1120</f>
        <v>1.9571101472804124</v>
      </c>
      <c r="X1120">
        <f>(H1120-I1120)/K1120</f>
        <v>1.1733076051595193</v>
      </c>
      <c r="Y1120">
        <f>(H1120-K1120)/G1120</f>
        <v>0.20281065871374121</v>
      </c>
      <c r="Z1120" t="e">
        <f>J1120/N1120</f>
        <v>#DIV/0!</v>
      </c>
      <c r="AA1120">
        <f>J1120/G1120</f>
        <v>0.29636426426178936</v>
      </c>
      <c r="AB1120">
        <f>C1120/G1120</f>
        <v>0.90863538082349249</v>
      </c>
      <c r="AC1120">
        <f>C1120/(G1120-K1120)</f>
        <v>1.1529427718646776</v>
      </c>
      <c r="AD1120">
        <f>Q1120/E1120</f>
        <v>-4.879148089824431E-2</v>
      </c>
      <c r="AE1120">
        <f>Q1120/J1120</f>
        <v>-7.9046298930966936E-3</v>
      </c>
      <c r="AF1120">
        <f>Q1120/G1120</f>
        <v>-2.3426498225293481E-3</v>
      </c>
      <c r="AG1120">
        <f>Q1120/K1120</f>
        <v>-1.1055503349221067E-2</v>
      </c>
      <c r="AH1120">
        <f>Q1120/L1120</f>
        <v>-1.8679959162630416E-2</v>
      </c>
      <c r="AI1120" s="1">
        <f>R1120</f>
        <v>13.1</v>
      </c>
      <c r="AJ1120" s="1">
        <f>P1120</f>
        <v>6196336</v>
      </c>
    </row>
    <row r="1121" spans="1:36" x14ac:dyDescent="0.25">
      <c r="A1121" t="s">
        <v>173</v>
      </c>
      <c r="B1121">
        <v>2024</v>
      </c>
      <c r="C1121" s="1">
        <v>14273290</v>
      </c>
      <c r="D1121" s="1">
        <v>-331740</v>
      </c>
      <c r="E1121" s="1">
        <v>-410646</v>
      </c>
      <c r="G1121" s="1">
        <v>19131171</v>
      </c>
      <c r="H1121" s="1">
        <v>8045497</v>
      </c>
      <c r="I1121" s="1">
        <v>2421218</v>
      </c>
      <c r="J1121" s="1">
        <v>6414780</v>
      </c>
      <c r="K1121" s="1">
        <v>4959998</v>
      </c>
      <c r="L1121" s="1">
        <v>3075173</v>
      </c>
      <c r="M1121" s="1">
        <v>251388</v>
      </c>
      <c r="O1121" s="1">
        <v>12716391</v>
      </c>
      <c r="P1121" s="1">
        <v>6059330</v>
      </c>
      <c r="Q1121" s="1">
        <v>136647</v>
      </c>
      <c r="R1121" s="1">
        <v>13.1</v>
      </c>
      <c r="T1121">
        <f>E1121/G1121</f>
        <v>-2.1464760311849181E-2</v>
      </c>
      <c r="U1121">
        <f>D1121/C1121</f>
        <v>-2.3242013579209839E-2</v>
      </c>
      <c r="V1121">
        <f>(E1121-F1121)/O1121</f>
        <v>-3.229265284466324E-2</v>
      </c>
      <c r="W1121">
        <f>H1121/K1121</f>
        <v>1.6220766621276863</v>
      </c>
      <c r="X1121">
        <f>(H1121-I1121)/K1121</f>
        <v>1.1339276749708367</v>
      </c>
      <c r="Y1121">
        <f>(H1121-K1121)/G1121</f>
        <v>0.1612812409653335</v>
      </c>
      <c r="Z1121" t="e">
        <f>J1121/N1121</f>
        <v>#DIV/0!</v>
      </c>
      <c r="AA1121">
        <f>J1121/G1121</f>
        <v>0.33530514154099611</v>
      </c>
      <c r="AB1121">
        <f>C1121/G1121</f>
        <v>0.74607508343320961</v>
      </c>
      <c r="AC1121">
        <f>C1121/(G1121-K1121)</f>
        <v>1.0072059666479267</v>
      </c>
      <c r="AD1121">
        <f>Q1121/E1121</f>
        <v>-0.33276106427433849</v>
      </c>
      <c r="AE1121">
        <f>Q1121/J1121</f>
        <v>2.1301899675437039E-2</v>
      </c>
      <c r="AF1121">
        <f>Q1121/G1121</f>
        <v>7.1426364857645145E-3</v>
      </c>
      <c r="AG1121">
        <f>Q1121/K1121</f>
        <v>2.7549809495890927E-2</v>
      </c>
      <c r="AH1121">
        <f>Q1121/L1121</f>
        <v>4.4435548829285375E-2</v>
      </c>
      <c r="AI1121" s="1">
        <f>R1121</f>
        <v>13.1</v>
      </c>
      <c r="AJ1121" s="1">
        <f>P1121</f>
        <v>6059330</v>
      </c>
    </row>
    <row r="1122" spans="1:36" x14ac:dyDescent="0.25">
      <c r="A1122" t="s">
        <v>204</v>
      </c>
      <c r="B1122">
        <v>2018</v>
      </c>
      <c r="C1122" s="1">
        <v>663750</v>
      </c>
      <c r="D1122" s="1">
        <v>173012</v>
      </c>
      <c r="E1122" s="1">
        <v>140799</v>
      </c>
      <c r="G1122" s="1">
        <v>1958644</v>
      </c>
      <c r="H1122" s="1">
        <v>583071</v>
      </c>
      <c r="I1122" s="1">
        <v>21755</v>
      </c>
      <c r="J1122" s="1">
        <v>261586</v>
      </c>
      <c r="K1122" s="1">
        <v>130498</v>
      </c>
      <c r="L1122" s="1">
        <v>22009</v>
      </c>
      <c r="M1122" s="1">
        <v>16578</v>
      </c>
      <c r="N1122" s="1">
        <v>1697058</v>
      </c>
      <c r="O1122" s="1">
        <v>1697058</v>
      </c>
      <c r="P1122" s="1">
        <v>646211</v>
      </c>
      <c r="Q1122" s="1">
        <v>186793</v>
      </c>
      <c r="R1122" s="1">
        <v>10.5</v>
      </c>
      <c r="T1122">
        <f>E1122/G1122</f>
        <v>7.1885957836135606E-2</v>
      </c>
      <c r="U1122">
        <f>D1122/C1122</f>
        <v>0.26065838041431261</v>
      </c>
      <c r="V1122">
        <f>(E1122-F1122)/O1122</f>
        <v>8.2966522063476905E-2</v>
      </c>
      <c r="W1122">
        <f>H1122/K1122</f>
        <v>4.4680454872871618</v>
      </c>
      <c r="X1122">
        <f>(H1122-I1122)/K1122</f>
        <v>4.3013379515394874</v>
      </c>
      <c r="Y1122">
        <f>(H1122-K1122)/G1122</f>
        <v>0.231064450711819</v>
      </c>
      <c r="Z1122">
        <f>J1122/N1122</f>
        <v>0.15414087202676632</v>
      </c>
      <c r="AA1122">
        <f>J1122/G1122</f>
        <v>0.13355464290601049</v>
      </c>
      <c r="AB1122">
        <f>C1122/G1122</f>
        <v>0.33888241048398793</v>
      </c>
      <c r="AC1122">
        <f>C1122/(G1122-K1122)</f>
        <v>0.36307275239504944</v>
      </c>
      <c r="AD1122">
        <f>Q1122/E1122</f>
        <v>1.3266642518767888</v>
      </c>
      <c r="AE1122">
        <f>Q1122/J1122</f>
        <v>0.71407873510050235</v>
      </c>
      <c r="AF1122">
        <f>Q1122/G1122</f>
        <v>9.5368530473123242E-2</v>
      </c>
      <c r="AG1122">
        <f>Q1122/K1122</f>
        <v>1.4313859216233198</v>
      </c>
      <c r="AH1122">
        <f>Q1122/L1122</f>
        <v>8.4871189059021308</v>
      </c>
      <c r="AI1122" s="1">
        <f>R1122</f>
        <v>10.5</v>
      </c>
      <c r="AJ1122" s="1">
        <f>P1122</f>
        <v>646211</v>
      </c>
    </row>
    <row r="1123" spans="1:36" x14ac:dyDescent="0.25">
      <c r="A1123" t="s">
        <v>204</v>
      </c>
      <c r="B1123">
        <v>2019</v>
      </c>
      <c r="C1123" s="1">
        <v>787787</v>
      </c>
      <c r="D1123" s="1">
        <v>259081</v>
      </c>
      <c r="E1123" s="1">
        <v>209521</v>
      </c>
      <c r="G1123" s="1">
        <v>2064140</v>
      </c>
      <c r="H1123" s="1">
        <v>716951</v>
      </c>
      <c r="I1123" s="1">
        <v>21118</v>
      </c>
      <c r="J1123" s="1">
        <v>253820</v>
      </c>
      <c r="K1123" s="1">
        <v>180777</v>
      </c>
      <c r="L1123" s="1">
        <v>19002</v>
      </c>
      <c r="M1123" s="1">
        <v>11737</v>
      </c>
      <c r="N1123" s="1">
        <v>1810320</v>
      </c>
      <c r="O1123" s="1">
        <v>1810320</v>
      </c>
      <c r="P1123" s="1">
        <v>744405</v>
      </c>
      <c r="Q1123" s="1">
        <v>219561</v>
      </c>
      <c r="R1123" s="1">
        <v>10</v>
      </c>
      <c r="T1123">
        <f>E1123/G1123</f>
        <v>0.1015052273586094</v>
      </c>
      <c r="U1123">
        <f>D1123/C1123</f>
        <v>0.32887189049832</v>
      </c>
      <c r="V1123">
        <f>(E1123-F1123)/O1123</f>
        <v>0.115736996774051</v>
      </c>
      <c r="W1123">
        <f>H1123/K1123</f>
        <v>3.9659414637924071</v>
      </c>
      <c r="X1123">
        <f>(H1123-I1123)/K1123</f>
        <v>3.8491235057557103</v>
      </c>
      <c r="Y1123">
        <f>(H1123-K1123)/G1123</f>
        <v>0.25975660565659309</v>
      </c>
      <c r="Z1123">
        <f>J1123/N1123</f>
        <v>0.14020725617570373</v>
      </c>
      <c r="AA1123">
        <f>J1123/G1123</f>
        <v>0.12296646545292471</v>
      </c>
      <c r="AB1123">
        <f>C1123/G1123</f>
        <v>0.38165386068774404</v>
      </c>
      <c r="AC1123">
        <f>C1123/(G1123-K1123)</f>
        <v>0.41828739334902509</v>
      </c>
      <c r="AD1123">
        <f>Q1123/E1123</f>
        <v>1.047918824366054</v>
      </c>
      <c r="AE1123">
        <f>Q1123/J1123</f>
        <v>0.86502639665904968</v>
      </c>
      <c r="AF1123">
        <f>Q1123/G1123</f>
        <v>0.10636923852064298</v>
      </c>
      <c r="AG1123">
        <f>Q1123/K1123</f>
        <v>1.2145405665543736</v>
      </c>
      <c r="AH1123">
        <f>Q1123/L1123</f>
        <v>11.55462582886012</v>
      </c>
      <c r="AI1123" s="1">
        <f>R1123</f>
        <v>10</v>
      </c>
      <c r="AJ1123" s="1">
        <f>P1123</f>
        <v>744405</v>
      </c>
    </row>
    <row r="1124" spans="1:36" x14ac:dyDescent="0.25">
      <c r="A1124" t="s">
        <v>204</v>
      </c>
      <c r="B1124">
        <v>2020</v>
      </c>
      <c r="C1124" s="1">
        <v>489320</v>
      </c>
      <c r="D1124" s="1">
        <v>52333</v>
      </c>
      <c r="E1124" s="1">
        <v>27380</v>
      </c>
      <c r="G1124" s="1">
        <v>2160994</v>
      </c>
      <c r="H1124" s="1">
        <v>781680</v>
      </c>
      <c r="I1124" s="1">
        <v>22340</v>
      </c>
      <c r="J1124" s="1">
        <v>389317</v>
      </c>
      <c r="K1124" s="1">
        <v>180777</v>
      </c>
      <c r="L1124" s="1">
        <v>220091</v>
      </c>
      <c r="M1124" s="1">
        <v>139449</v>
      </c>
      <c r="N1124" s="1">
        <v>1771677</v>
      </c>
      <c r="O1124" s="1">
        <v>1771677</v>
      </c>
      <c r="P1124" s="1">
        <v>662810</v>
      </c>
      <c r="Q1124" s="1">
        <v>35543</v>
      </c>
      <c r="R1124" s="1">
        <v>7.8</v>
      </c>
      <c r="T1124">
        <f>E1124/G1124</f>
        <v>1.2670095335757527E-2</v>
      </c>
      <c r="U1124">
        <f>D1124/C1124</f>
        <v>0.10695046186544592</v>
      </c>
      <c r="V1124">
        <f>(E1124-F1124)/O1124</f>
        <v>1.5454284274165099E-2</v>
      </c>
      <c r="W1124">
        <f>H1124/K1124</f>
        <v>4.3240013939826412</v>
      </c>
      <c r="X1124">
        <f>(H1124-I1124)/K1124</f>
        <v>4.2004237264696282</v>
      </c>
      <c r="Y1124">
        <f>(H1124-K1124)/G1124</f>
        <v>0.27806787061879856</v>
      </c>
      <c r="Z1124">
        <f>J1124/N1124</f>
        <v>0.21974490835519114</v>
      </c>
      <c r="AA1124">
        <f>J1124/G1124</f>
        <v>0.18015644652414584</v>
      </c>
      <c r="AB1124">
        <f>C1124/G1124</f>
        <v>0.22643283600047015</v>
      </c>
      <c r="AC1124">
        <f>C1124/(G1124-K1124)</f>
        <v>0.24710423150594102</v>
      </c>
      <c r="AD1124">
        <f>Q1124/E1124</f>
        <v>1.2981373265157048</v>
      </c>
      <c r="AE1124">
        <f>Q1124/J1124</f>
        <v>9.1295782100447712E-2</v>
      </c>
      <c r="AF1124">
        <f>Q1124/G1124</f>
        <v>1.6447523685859378E-2</v>
      </c>
      <c r="AG1124">
        <f>Q1124/K1124</f>
        <v>0.19661240091383306</v>
      </c>
      <c r="AH1124">
        <f>Q1124/L1124</f>
        <v>0.16149229182474523</v>
      </c>
      <c r="AI1124" s="1">
        <f>R1124</f>
        <v>7.8</v>
      </c>
      <c r="AJ1124" s="1">
        <f>P1124</f>
        <v>662810</v>
      </c>
    </row>
    <row r="1125" spans="1:36" x14ac:dyDescent="0.25">
      <c r="A1125" t="s">
        <v>204</v>
      </c>
      <c r="B1125">
        <v>2021</v>
      </c>
      <c r="C1125" s="1">
        <v>74666</v>
      </c>
      <c r="D1125" s="1">
        <v>-182611</v>
      </c>
      <c r="E1125" s="1">
        <v>-175606</v>
      </c>
      <c r="G1125" s="1">
        <v>2030857</v>
      </c>
      <c r="H1125" s="1">
        <v>711869</v>
      </c>
      <c r="I1125" s="1">
        <v>18329</v>
      </c>
      <c r="J1125" s="1">
        <v>434079</v>
      </c>
      <c r="K1125" s="1">
        <v>240877</v>
      </c>
      <c r="L1125" s="1">
        <v>295603</v>
      </c>
      <c r="M1125" s="1">
        <v>149927</v>
      </c>
      <c r="N1125" s="1">
        <v>1596778</v>
      </c>
      <c r="O1125" s="1">
        <v>1596778</v>
      </c>
      <c r="P1125" s="1">
        <v>487909</v>
      </c>
      <c r="Q1125" s="1">
        <v>-151615</v>
      </c>
      <c r="R1125" s="1">
        <v>11.2</v>
      </c>
      <c r="T1125">
        <f>E1125/G1125</f>
        <v>-8.6468914354875803E-2</v>
      </c>
      <c r="U1125">
        <f>D1125/C1125</f>
        <v>-2.4457048723649319</v>
      </c>
      <c r="V1125">
        <f>(E1125-F1125)/O1125</f>
        <v>-0.10997521258434172</v>
      </c>
      <c r="W1125">
        <f>H1125/K1125</f>
        <v>2.955321595669159</v>
      </c>
      <c r="X1125">
        <f>(H1125-I1125)/K1125</f>
        <v>2.8792288180274581</v>
      </c>
      <c r="Y1125">
        <f>(H1125-K1125)/G1125</f>
        <v>0.23191785536844789</v>
      </c>
      <c r="Z1125">
        <f>J1125/N1125</f>
        <v>0.27184680650660265</v>
      </c>
      <c r="AA1125">
        <f>J1125/G1125</f>
        <v>0.2137417848721008</v>
      </c>
      <c r="AB1125">
        <f>C1125/G1125</f>
        <v>3.6765759479864907E-2</v>
      </c>
      <c r="AC1125">
        <f>C1125/(G1125-K1125)</f>
        <v>4.1713315232572434E-2</v>
      </c>
      <c r="AD1125">
        <f>Q1125/E1125</f>
        <v>0.86338166121886495</v>
      </c>
      <c r="AE1125">
        <f>Q1125/J1125</f>
        <v>-0.34927973940227469</v>
      </c>
      <c r="AF1125">
        <f>Q1125/G1125</f>
        <v>-7.4655674919504422E-2</v>
      </c>
      <c r="AG1125">
        <f>Q1125/K1125</f>
        <v>-0.62942912772908999</v>
      </c>
      <c r="AH1125">
        <f>Q1125/L1125</f>
        <v>-0.51290074863922219</v>
      </c>
      <c r="AI1125" s="1">
        <f>R1125</f>
        <v>11.2</v>
      </c>
      <c r="AJ1125" s="1">
        <f>P1125</f>
        <v>487909</v>
      </c>
    </row>
    <row r="1126" spans="1:36" x14ac:dyDescent="0.25">
      <c r="A1126" t="s">
        <v>204</v>
      </c>
      <c r="B1126">
        <v>2022</v>
      </c>
      <c r="C1126" s="1">
        <v>349167</v>
      </c>
      <c r="D1126" s="1">
        <v>27283</v>
      </c>
      <c r="E1126" s="1">
        <v>33049</v>
      </c>
      <c r="G1126" s="1">
        <v>1919266</v>
      </c>
      <c r="H1126" s="1">
        <v>668076</v>
      </c>
      <c r="I1126" s="1">
        <v>19806</v>
      </c>
      <c r="J1126" s="1">
        <v>290601</v>
      </c>
      <c r="K1126" s="1">
        <v>169509</v>
      </c>
      <c r="L1126" s="1">
        <v>140959</v>
      </c>
      <c r="M1126" s="1">
        <v>93163</v>
      </c>
      <c r="N1126" s="1">
        <v>1628665</v>
      </c>
      <c r="O1126" s="1">
        <v>1628665</v>
      </c>
      <c r="P1126" s="1">
        <v>519796</v>
      </c>
      <c r="Q1126" s="1">
        <v>66865</v>
      </c>
      <c r="R1126" s="1">
        <v>12.5</v>
      </c>
      <c r="T1126">
        <f>E1126/G1126</f>
        <v>1.7219603744348101E-2</v>
      </c>
      <c r="U1126">
        <f>D1126/C1126</f>
        <v>7.8137395572892052E-2</v>
      </c>
      <c r="V1126">
        <f>(E1126-F1126)/O1126</f>
        <v>2.0292079709455291E-2</v>
      </c>
      <c r="W1126">
        <f>H1126/K1126</f>
        <v>3.9412420579438261</v>
      </c>
      <c r="X1126">
        <f>(H1126-I1126)/K1126</f>
        <v>3.8243987044935666</v>
      </c>
      <c r="Y1126">
        <f>(H1126-K1126)/G1126</f>
        <v>0.25976962026107897</v>
      </c>
      <c r="Z1126">
        <f>J1126/N1126</f>
        <v>0.1784289586870228</v>
      </c>
      <c r="AA1126">
        <f>J1126/G1126</f>
        <v>0.15141257126422289</v>
      </c>
      <c r="AB1126">
        <f>C1126/G1126</f>
        <v>0.18192736181436028</v>
      </c>
      <c r="AC1126">
        <f>C1126/(G1126-K1126)</f>
        <v>0.19955170918018902</v>
      </c>
      <c r="AD1126">
        <f>Q1126/E1126</f>
        <v>2.023207963932343</v>
      </c>
      <c r="AE1126">
        <f>Q1126/J1126</f>
        <v>0.23009211943523938</v>
      </c>
      <c r="AF1126">
        <f>Q1126/G1126</f>
        <v>3.4838839431324264E-2</v>
      </c>
      <c r="AG1126">
        <f>Q1126/K1126</f>
        <v>0.39446283088213607</v>
      </c>
      <c r="AH1126">
        <f>Q1126/L1126</f>
        <v>0.47435779198206568</v>
      </c>
      <c r="AI1126" s="1">
        <f>R1126</f>
        <v>12.5</v>
      </c>
      <c r="AJ1126" s="1">
        <f>P1126</f>
        <v>519796</v>
      </c>
    </row>
    <row r="1127" spans="1:36" x14ac:dyDescent="0.25">
      <c r="A1127" t="s">
        <v>204</v>
      </c>
      <c r="B1127">
        <v>2023</v>
      </c>
      <c r="C1127" s="1">
        <v>434696</v>
      </c>
      <c r="D1127" s="1">
        <v>-680</v>
      </c>
      <c r="E1127" s="1">
        <v>-19842</v>
      </c>
      <c r="G1127" s="1">
        <v>1826630</v>
      </c>
      <c r="H1127" s="1">
        <v>625920</v>
      </c>
      <c r="I1127" s="1">
        <v>25926</v>
      </c>
      <c r="J1127" s="1">
        <v>217485</v>
      </c>
      <c r="K1127" s="1">
        <v>132773</v>
      </c>
      <c r="L1127" s="1">
        <v>69447</v>
      </c>
      <c r="M1127" s="1">
        <v>57254</v>
      </c>
      <c r="N1127" s="1">
        <v>1609145</v>
      </c>
      <c r="O1127" s="1">
        <v>1609145</v>
      </c>
      <c r="P1127" s="1">
        <v>500277</v>
      </c>
      <c r="Q1127" s="1">
        <v>-18376</v>
      </c>
      <c r="R1127" s="1">
        <v>22</v>
      </c>
      <c r="T1127">
        <f>E1127/G1127</f>
        <v>-1.0862626804552647E-2</v>
      </c>
      <c r="U1127">
        <f>D1127/C1127</f>
        <v>-1.5643116108728858E-3</v>
      </c>
      <c r="V1127">
        <f>(E1127-F1127)/O1127</f>
        <v>-1.2330771931678003E-2</v>
      </c>
      <c r="W1127">
        <f>H1127/K1127</f>
        <v>4.7142114737183007</v>
      </c>
      <c r="X1127">
        <f>(H1127-I1127)/K1127</f>
        <v>4.5189458700187535</v>
      </c>
      <c r="Y1127">
        <f>(H1127-K1127)/G1127</f>
        <v>0.26997640463585948</v>
      </c>
      <c r="Z1127">
        <f>J1127/N1127</f>
        <v>0.13515562612443255</v>
      </c>
      <c r="AA1127">
        <f>J1127/G1127</f>
        <v>0.11906352134805626</v>
      </c>
      <c r="AB1127">
        <f>C1127/G1127</f>
        <v>0.23797703968510317</v>
      </c>
      <c r="AC1127">
        <f>C1127/(G1127-K1127)</f>
        <v>0.25663087261793643</v>
      </c>
      <c r="AD1127">
        <f>Q1127/E1127</f>
        <v>0.92611631891946378</v>
      </c>
      <c r="AE1127">
        <f>Q1127/J1127</f>
        <v>-8.4493183437938255E-2</v>
      </c>
      <c r="AF1127">
        <f>Q1127/G1127</f>
        <v>-1.0060055950028193E-2</v>
      </c>
      <c r="AG1127">
        <f>Q1127/K1127</f>
        <v>-0.138401632862103</v>
      </c>
      <c r="AH1127">
        <f>Q1127/L1127</f>
        <v>-0.26460466254841825</v>
      </c>
      <c r="AI1127" s="1">
        <f>R1127</f>
        <v>22</v>
      </c>
      <c r="AJ1127" s="1">
        <f>P1127</f>
        <v>500277</v>
      </c>
    </row>
    <row r="1128" spans="1:36" x14ac:dyDescent="0.25">
      <c r="A1128" t="s">
        <v>204</v>
      </c>
      <c r="B1128">
        <v>2024</v>
      </c>
      <c r="C1128" s="1">
        <v>921487</v>
      </c>
      <c r="D1128" s="1">
        <v>266705</v>
      </c>
      <c r="E1128" s="1">
        <v>212342</v>
      </c>
      <c r="G1128" s="1">
        <v>2178189</v>
      </c>
      <c r="H1128" s="1">
        <v>1006204</v>
      </c>
      <c r="I1128" s="1">
        <v>28265</v>
      </c>
      <c r="J1128" s="1">
        <v>362842</v>
      </c>
      <c r="K1128" s="1">
        <v>226044</v>
      </c>
      <c r="L1128" s="1">
        <v>75040</v>
      </c>
      <c r="M1128" s="1">
        <v>61712</v>
      </c>
      <c r="N1128" s="1">
        <v>1815347</v>
      </c>
      <c r="O1128" s="1">
        <v>1815347</v>
      </c>
      <c r="P1128" s="1">
        <v>706479</v>
      </c>
      <c r="Q1128" s="1">
        <v>271305</v>
      </c>
      <c r="R1128" s="1">
        <v>23</v>
      </c>
      <c r="T1128">
        <f>E1128/G1128</f>
        <v>9.7485571729542295E-2</v>
      </c>
      <c r="U1128">
        <f>D1128/C1128</f>
        <v>0.28942893388620783</v>
      </c>
      <c r="V1128">
        <f>(E1128-F1128)/O1128</f>
        <v>0.11697047451534059</v>
      </c>
      <c r="W1128">
        <f>H1128/K1128</f>
        <v>4.4513634513634512</v>
      </c>
      <c r="X1128">
        <f>(H1128-I1128)/K1128</f>
        <v>4.326321424147511</v>
      </c>
      <c r="Y1128">
        <f>(H1128-K1128)/G1128</f>
        <v>0.35816910286481107</v>
      </c>
      <c r="Z1128">
        <f>J1128/N1128</f>
        <v>0.19987473469259595</v>
      </c>
      <c r="AA1128">
        <f>J1128/G1128</f>
        <v>0.1665796677882406</v>
      </c>
      <c r="AB1128">
        <f>C1128/G1128</f>
        <v>0.42305190229130712</v>
      </c>
      <c r="AC1128">
        <f>C1128/(G1128-K1128)</f>
        <v>0.47203819388416329</v>
      </c>
      <c r="AD1128">
        <f>Q1128/E1128</f>
        <v>1.2776794039803714</v>
      </c>
      <c r="AE1128">
        <f>Q1128/J1128</f>
        <v>0.74772214903456602</v>
      </c>
      <c r="AF1128">
        <f>Q1128/G1128</f>
        <v>0.12455530718408733</v>
      </c>
      <c r="AG1128">
        <f>Q1128/K1128</f>
        <v>1.200230928491798</v>
      </c>
      <c r="AH1128">
        <f>Q1128/L1128</f>
        <v>3.6154717484008527</v>
      </c>
      <c r="AI1128" s="1">
        <f>R1128</f>
        <v>23</v>
      </c>
      <c r="AJ1128" s="1">
        <f>P1128</f>
        <v>706479</v>
      </c>
    </row>
    <row r="1129" spans="1:36" x14ac:dyDescent="0.25">
      <c r="A1129" t="s">
        <v>176</v>
      </c>
      <c r="B1129">
        <v>2018</v>
      </c>
      <c r="C1129" s="1">
        <v>52972873</v>
      </c>
      <c r="D1129" s="1">
        <v>5396771</v>
      </c>
      <c r="E1129" s="1">
        <v>3077396</v>
      </c>
      <c r="G1129" s="1">
        <v>55986493</v>
      </c>
      <c r="H1129" s="1">
        <v>31020053</v>
      </c>
      <c r="I1129" s="1">
        <v>6508526</v>
      </c>
      <c r="J1129" s="1">
        <v>40094458</v>
      </c>
      <c r="K1129" s="1">
        <v>29088134</v>
      </c>
      <c r="L1129" s="1">
        <v>34159112</v>
      </c>
      <c r="M1129" s="1">
        <v>5070978</v>
      </c>
      <c r="O1129" s="1">
        <v>15892035</v>
      </c>
      <c r="P1129" s="1">
        <v>60204</v>
      </c>
      <c r="Q1129" s="1">
        <v>4676823</v>
      </c>
      <c r="R1129" s="1">
        <v>12.8</v>
      </c>
      <c r="T1129">
        <f>E1129/G1129</f>
        <v>5.4966757785668056E-2</v>
      </c>
      <c r="U1129">
        <f>D1129/C1129</f>
        <v>0.10187801216671787</v>
      </c>
      <c r="V1129">
        <f>(E1129-F1129)/O1129</f>
        <v>0.19364392288338153</v>
      </c>
      <c r="W1129">
        <f>H1129/K1129</f>
        <v>1.0664160513011938</v>
      </c>
      <c r="X1129">
        <f>(H1129-I1129)/K1129</f>
        <v>0.8426641255159234</v>
      </c>
      <c r="Y1129">
        <f>(H1129-K1129)/G1129</f>
        <v>3.4506876506803168E-2</v>
      </c>
      <c r="Z1129" t="e">
        <f>J1129/N1129</f>
        <v>#DIV/0!</v>
      </c>
      <c r="AA1129">
        <f>J1129/G1129</f>
        <v>0.7161451959493158</v>
      </c>
      <c r="AB1129">
        <f>C1129/G1129</f>
        <v>0.94617237411173438</v>
      </c>
      <c r="AC1129">
        <f>C1129/(G1129-K1129)</f>
        <v>1.9693719233950293</v>
      </c>
      <c r="AD1129">
        <f>Q1129/E1129</f>
        <v>1.5197338919008148</v>
      </c>
      <c r="AE1129">
        <f>Q1129/J1129</f>
        <v>0.11664512337340986</v>
      </c>
      <c r="AF1129">
        <f>Q1129/G1129</f>
        <v>8.3534844734782732E-2</v>
      </c>
      <c r="AG1129">
        <f>Q1129/K1129</f>
        <v>0.16078112813974249</v>
      </c>
      <c r="AH1129">
        <f>Q1129/L1129</f>
        <v>0.13691289750155097</v>
      </c>
      <c r="AI1129" s="1">
        <f>R1129</f>
        <v>12.8</v>
      </c>
      <c r="AJ1129" s="1">
        <f>P1129</f>
        <v>60204</v>
      </c>
    </row>
    <row r="1130" spans="1:36" x14ac:dyDescent="0.25">
      <c r="A1130" t="s">
        <v>176</v>
      </c>
      <c r="B1130">
        <v>2019</v>
      </c>
      <c r="C1130" s="1">
        <v>55045358</v>
      </c>
      <c r="D1130" s="1">
        <v>4879021</v>
      </c>
      <c r="E1130" s="1">
        <v>2342267</v>
      </c>
      <c r="G1130" s="1">
        <v>64820169</v>
      </c>
      <c r="H1130" s="1">
        <v>37999390</v>
      </c>
      <c r="I1130" s="1">
        <v>8293967</v>
      </c>
      <c r="J1130" s="1">
        <v>48697693</v>
      </c>
      <c r="K1130" s="1">
        <v>36399616</v>
      </c>
      <c r="L1130" s="1">
        <v>20107207</v>
      </c>
      <c r="M1130" s="1">
        <v>5876070</v>
      </c>
      <c r="O1130" s="1">
        <v>16122476</v>
      </c>
      <c r="P1130" s="1">
        <v>11245314</v>
      </c>
      <c r="Q1130" s="1">
        <v>940034</v>
      </c>
      <c r="R1130" s="1">
        <v>9.1999999999999993</v>
      </c>
      <c r="T1130">
        <f>E1130/G1130</f>
        <v>3.6134848707352181E-2</v>
      </c>
      <c r="U1130">
        <f>D1130/C1130</f>
        <v>8.8636375114501023E-2</v>
      </c>
      <c r="V1130">
        <f>(E1130-F1130)/O1130</f>
        <v>0.1452796084174664</v>
      </c>
      <c r="W1130">
        <f>H1130/K1130</f>
        <v>1.0439502988163392</v>
      </c>
      <c r="X1130">
        <f>(H1130-I1130)/K1130</f>
        <v>0.81609165876914747</v>
      </c>
      <c r="Y1130">
        <f>(H1130-K1130)/G1130</f>
        <v>2.4680188661649432E-2</v>
      </c>
      <c r="Z1130" t="e">
        <f>J1130/N1130</f>
        <v>#DIV/0!</v>
      </c>
      <c r="AA1130">
        <f>J1130/G1130</f>
        <v>0.75127377406251439</v>
      </c>
      <c r="AB1130">
        <f>C1130/G1130</f>
        <v>0.84920108739611588</v>
      </c>
      <c r="AC1130">
        <f>C1130/(G1130-K1130)</f>
        <v>1.9368151633080468</v>
      </c>
      <c r="AD1130">
        <f>Q1130/E1130</f>
        <v>0.40133511679069894</v>
      </c>
      <c r="AE1130">
        <f>Q1130/J1130</f>
        <v>1.9303460638268839E-2</v>
      </c>
      <c r="AF1130">
        <f>Q1130/G1130</f>
        <v>1.4502183726179424E-2</v>
      </c>
      <c r="AG1130">
        <f>Q1130/K1130</f>
        <v>2.5825382333703739E-2</v>
      </c>
      <c r="AH1130">
        <f>Q1130/L1130</f>
        <v>4.6751097753158853E-2</v>
      </c>
      <c r="AI1130" s="1">
        <f>R1130</f>
        <v>9.1999999999999993</v>
      </c>
      <c r="AJ1130" s="1">
        <f>P1130</f>
        <v>11245314</v>
      </c>
    </row>
    <row r="1131" spans="1:36" x14ac:dyDescent="0.25">
      <c r="A1131" t="s">
        <v>176</v>
      </c>
      <c r="B1131">
        <v>2020</v>
      </c>
      <c r="C1131" s="1">
        <v>54239710</v>
      </c>
      <c r="D1131" s="1">
        <v>4306099</v>
      </c>
      <c r="E1131" s="1">
        <v>1290586</v>
      </c>
      <c r="G1131" s="1">
        <v>67417882</v>
      </c>
      <c r="H1131" s="1">
        <v>36402312</v>
      </c>
      <c r="I1131" s="1">
        <v>8081471</v>
      </c>
      <c r="J1131" s="1">
        <v>50060874</v>
      </c>
      <c r="K1131" s="1">
        <v>35352032</v>
      </c>
      <c r="L1131" s="1">
        <v>18164969</v>
      </c>
      <c r="M1131" s="1">
        <v>4244760</v>
      </c>
      <c r="O1131" s="1">
        <v>17357008</v>
      </c>
      <c r="P1131" s="1">
        <v>12642969</v>
      </c>
      <c r="Q1131" s="1">
        <v>5286618</v>
      </c>
      <c r="R1131" s="1">
        <v>7.8</v>
      </c>
      <c r="T1131">
        <f>E1131/G1131</f>
        <v>1.9143081356367737E-2</v>
      </c>
      <c r="U1131">
        <f>D1131/C1131</f>
        <v>7.9390155293971892E-2</v>
      </c>
      <c r="V1131">
        <f>(E1131-F1131)/O1131</f>
        <v>7.4355326678422914E-2</v>
      </c>
      <c r="W1131">
        <f>H1131/K1131</f>
        <v>1.0297091833363354</v>
      </c>
      <c r="X1131">
        <f>(H1131-I1131)/K1131</f>
        <v>0.80110928277050664</v>
      </c>
      <c r="Y1131">
        <f>(H1131-K1131)/G1131</f>
        <v>1.5578656119751729E-2</v>
      </c>
      <c r="Z1131" t="e">
        <f>J1131/N1131</f>
        <v>#DIV/0!</v>
      </c>
      <c r="AA1131">
        <f>J1131/G1131</f>
        <v>0.74254593165652993</v>
      </c>
      <c r="AB1131">
        <f>C1131/G1131</f>
        <v>0.80453002068501644</v>
      </c>
      <c r="AC1131">
        <f>C1131/(G1131-K1131)</f>
        <v>1.6915101268171591</v>
      </c>
      <c r="AD1131">
        <f>Q1131/E1131</f>
        <v>4.0962926918469593</v>
      </c>
      <c r="AE1131">
        <f>Q1131/J1131</f>
        <v>0.10560378949836154</v>
      </c>
      <c r="AF1131">
        <f>Q1131/G1131</f>
        <v>7.8415664259520942E-2</v>
      </c>
      <c r="AG1131">
        <f>Q1131/K1131</f>
        <v>0.14954212532959915</v>
      </c>
      <c r="AH1131">
        <f>Q1131/L1131</f>
        <v>0.29103369237789506</v>
      </c>
      <c r="AI1131" s="1">
        <f>R1131</f>
        <v>7.8</v>
      </c>
      <c r="AJ1131" s="1">
        <f>P1131</f>
        <v>12642969</v>
      </c>
    </row>
    <row r="1132" spans="1:36" x14ac:dyDescent="0.25">
      <c r="A1132" t="s">
        <v>176</v>
      </c>
      <c r="B1132">
        <v>2021</v>
      </c>
      <c r="C1132" s="1">
        <v>56725189</v>
      </c>
      <c r="D1132" s="1">
        <v>7205591</v>
      </c>
      <c r="E1132" s="1">
        <v>5065962</v>
      </c>
      <c r="G1132" s="1">
        <v>72257382</v>
      </c>
      <c r="H1132" s="1">
        <v>40755607</v>
      </c>
      <c r="I1132" s="1">
        <v>9360624</v>
      </c>
      <c r="J1132" s="1">
        <v>51551060</v>
      </c>
      <c r="K1132" s="1">
        <v>37371904</v>
      </c>
      <c r="L1132" s="1">
        <v>15611483</v>
      </c>
      <c r="M1132" s="1">
        <v>4061498</v>
      </c>
      <c r="O1132" s="1">
        <v>20706322</v>
      </c>
      <c r="P1132" s="1">
        <v>15418372</v>
      </c>
      <c r="Q1132" s="1">
        <v>10382597</v>
      </c>
      <c r="R1132" s="1">
        <v>16.8</v>
      </c>
      <c r="T1132">
        <f>E1132/G1132</f>
        <v>7.0109957761824257E-2</v>
      </c>
      <c r="U1132">
        <f>D1132/C1132</f>
        <v>0.12702630219530869</v>
      </c>
      <c r="V1132">
        <f>(E1132-F1132)/O1132</f>
        <v>0.2446577426932702</v>
      </c>
      <c r="W1132">
        <f>H1132/K1132</f>
        <v>1.0905413596267399</v>
      </c>
      <c r="X1132">
        <f>(H1132-I1132)/K1132</f>
        <v>0.8400691332183664</v>
      </c>
      <c r="Y1132">
        <f>(H1132-K1132)/G1132</f>
        <v>4.6828474909317915E-2</v>
      </c>
      <c r="Z1132" t="e">
        <f>J1132/N1132</f>
        <v>#DIV/0!</v>
      </c>
      <c r="AA1132">
        <f>J1132/G1132</f>
        <v>0.7134365870050482</v>
      </c>
      <c r="AB1132">
        <f>C1132/G1132</f>
        <v>0.78504351292439578</v>
      </c>
      <c r="AC1132">
        <f>C1132/(G1132-K1132)</f>
        <v>1.6260401821067207</v>
      </c>
      <c r="AD1132">
        <f>Q1132/E1132</f>
        <v>2.0494818160894219</v>
      </c>
      <c r="AE1132">
        <f>Q1132/J1132</f>
        <v>0.20140414183529884</v>
      </c>
      <c r="AF1132">
        <f>Q1132/G1132</f>
        <v>0.14368908355965623</v>
      </c>
      <c r="AG1132">
        <f>Q1132/K1132</f>
        <v>0.27781825084427059</v>
      </c>
      <c r="AH1132">
        <f>Q1132/L1132</f>
        <v>0.6650615447616347</v>
      </c>
      <c r="AI1132" s="1">
        <f>R1132</f>
        <v>16.8</v>
      </c>
      <c r="AJ1132" s="1">
        <f>P1132</f>
        <v>15418372</v>
      </c>
    </row>
    <row r="1133" spans="1:36" x14ac:dyDescent="0.25">
      <c r="A1133" t="s">
        <v>176</v>
      </c>
      <c r="B1133">
        <v>2022</v>
      </c>
      <c r="C1133" s="1">
        <v>67668112</v>
      </c>
      <c r="D1133" s="1">
        <v>10751231</v>
      </c>
      <c r="E1133" s="1">
        <v>7962199</v>
      </c>
      <c r="G1133" s="1">
        <v>84937975</v>
      </c>
      <c r="H1133" s="1">
        <v>49211728</v>
      </c>
      <c r="I1133" s="1">
        <v>12338422</v>
      </c>
      <c r="J1133" s="1">
        <v>57743018</v>
      </c>
      <c r="K1133" s="1">
        <v>43855454</v>
      </c>
      <c r="L1133" s="1">
        <v>19085730</v>
      </c>
      <c r="M1133" s="1">
        <v>4291740</v>
      </c>
      <c r="O1133" s="1">
        <v>27194957</v>
      </c>
      <c r="P1133" s="1">
        <v>21201306</v>
      </c>
      <c r="Q1133" s="1">
        <v>9596754</v>
      </c>
      <c r="R1133" s="1">
        <v>13.3</v>
      </c>
      <c r="T1133">
        <f>E1133/G1133</f>
        <v>9.3741333013884542E-2</v>
      </c>
      <c r="U1133">
        <f>D1133/C1133</f>
        <v>0.15888179353962173</v>
      </c>
      <c r="V1133">
        <f>(E1133-F1133)/O1133</f>
        <v>0.2927821875210172</v>
      </c>
      <c r="W1133">
        <f>H1133/K1133</f>
        <v>1.1221347292402901</v>
      </c>
      <c r="X1133">
        <f>(H1133-I1133)/K1133</f>
        <v>0.84079179752648325</v>
      </c>
      <c r="Y1133">
        <f>(H1133-K1133)/G1133</f>
        <v>6.3061004221021275E-2</v>
      </c>
      <c r="Z1133" t="e">
        <f>J1133/N1133</f>
        <v>#DIV/0!</v>
      </c>
      <c r="AA1133">
        <f>J1133/G1133</f>
        <v>0.67982569633900503</v>
      </c>
      <c r="AB1133">
        <f>C1133/G1133</f>
        <v>0.79667677502318601</v>
      </c>
      <c r="AC1133">
        <f>C1133/(G1133-K1133)</f>
        <v>1.6471265723931596</v>
      </c>
      <c r="AD1133">
        <f>Q1133/E1133</f>
        <v>1.2052893930433037</v>
      </c>
      <c r="AE1133">
        <f>Q1133/J1133</f>
        <v>0.16619765180960927</v>
      </c>
      <c r="AF1133">
        <f>Q1133/G1133</f>
        <v>0.11298543437137511</v>
      </c>
      <c r="AG1133">
        <f>Q1133/K1133</f>
        <v>0.2188269217324714</v>
      </c>
      <c r="AH1133">
        <f>Q1133/L1133</f>
        <v>0.50282352312434475</v>
      </c>
      <c r="AI1133" s="1">
        <f>R1133</f>
        <v>13.3</v>
      </c>
      <c r="AJ1133" s="1">
        <f>P1133</f>
        <v>21201306</v>
      </c>
    </row>
    <row r="1134" spans="1:36" x14ac:dyDescent="0.25">
      <c r="A1134" t="s">
        <v>176</v>
      </c>
      <c r="B1134">
        <v>2023</v>
      </c>
      <c r="C1134" s="1">
        <v>79193785</v>
      </c>
      <c r="D1134" s="1">
        <v>11718875</v>
      </c>
      <c r="E1134" s="1">
        <v>6225588</v>
      </c>
      <c r="G1134" s="1">
        <v>87498735</v>
      </c>
      <c r="H1134" s="1">
        <v>49478046</v>
      </c>
      <c r="I1134" s="1">
        <v>15391055</v>
      </c>
      <c r="J1134" s="1">
        <v>57687736</v>
      </c>
      <c r="K1134" s="1">
        <v>45277835</v>
      </c>
      <c r="L1134" s="1">
        <v>21523867</v>
      </c>
      <c r="M1134" s="1">
        <v>1881666</v>
      </c>
      <c r="O1134" s="1">
        <v>29810999</v>
      </c>
      <c r="P1134" s="1">
        <v>23163920</v>
      </c>
      <c r="Q1134" s="1">
        <v>3825348</v>
      </c>
      <c r="R1134" s="1">
        <v>20.7</v>
      </c>
      <c r="T1134">
        <f>E1134/G1134</f>
        <v>7.1150605777329234E-2</v>
      </c>
      <c r="U1134">
        <f>D1134/C1134</f>
        <v>0.14797720553449997</v>
      </c>
      <c r="V1134">
        <f>(E1134-F1134)/O1134</f>
        <v>0.20883526915686387</v>
      </c>
      <c r="W1134">
        <f>H1134/K1134</f>
        <v>1.0927652790819173</v>
      </c>
      <c r="X1134">
        <f>(H1134-I1134)/K1134</f>
        <v>0.75284056757572437</v>
      </c>
      <c r="Y1134">
        <f>(H1134-K1134)/G1134</f>
        <v>4.8003105416324021E-2</v>
      </c>
      <c r="Z1134" t="e">
        <f>J1134/N1134</f>
        <v>#DIV/0!</v>
      </c>
      <c r="AA1134">
        <f>J1134/G1134</f>
        <v>0.65929794299311872</v>
      </c>
      <c r="AB1134">
        <f>C1134/G1134</f>
        <v>0.9050849135133211</v>
      </c>
      <c r="AC1134">
        <f>C1134/(G1134-K1134)</f>
        <v>1.8757010153739024</v>
      </c>
      <c r="AD1134">
        <f>Q1134/E1134</f>
        <v>0.61445569478738393</v>
      </c>
      <c r="AE1134">
        <f>Q1134/J1134</f>
        <v>6.6311286683186879E-2</v>
      </c>
      <c r="AF1134">
        <f>Q1134/G1134</f>
        <v>4.3718894907452094E-2</v>
      </c>
      <c r="AG1134">
        <f>Q1134/K1134</f>
        <v>8.4486106723079851E-2</v>
      </c>
      <c r="AH1134">
        <f>Q1134/L1134</f>
        <v>0.1777258705417572</v>
      </c>
      <c r="AI1134" s="1">
        <f>R1134</f>
        <v>20.7</v>
      </c>
      <c r="AJ1134" s="1">
        <f>P1134</f>
        <v>23163920</v>
      </c>
    </row>
    <row r="1135" spans="1:36" x14ac:dyDescent="0.25">
      <c r="A1135" t="s">
        <v>176</v>
      </c>
      <c r="B1135">
        <v>2024</v>
      </c>
      <c r="C1135" s="1">
        <v>73859225</v>
      </c>
      <c r="D1135" s="1">
        <v>3817296</v>
      </c>
      <c r="E1135" s="1">
        <v>1023732</v>
      </c>
      <c r="G1135" s="1">
        <v>92917697</v>
      </c>
      <c r="H1135" s="1">
        <v>52021587</v>
      </c>
      <c r="I1135" s="1">
        <v>13129119</v>
      </c>
      <c r="J1135" s="1">
        <v>62723661</v>
      </c>
      <c r="K1135" s="1">
        <v>48638458</v>
      </c>
      <c r="L1135" s="1">
        <v>23963298</v>
      </c>
      <c r="M1135" s="1">
        <v>1854804</v>
      </c>
      <c r="O1135" s="1">
        <v>30194036</v>
      </c>
      <c r="P1135" s="1">
        <v>22531452</v>
      </c>
      <c r="Q1135" s="1">
        <v>6628148</v>
      </c>
      <c r="R1135" s="1">
        <v>20.5</v>
      </c>
      <c r="T1135">
        <f>E1135/G1135</f>
        <v>1.1017621325677067E-2</v>
      </c>
      <c r="U1135">
        <f>D1135/C1135</f>
        <v>5.1683401768702557E-2</v>
      </c>
      <c r="V1135">
        <f>(E1135-F1135)/O1135</f>
        <v>3.3905106293176571E-2</v>
      </c>
      <c r="W1135">
        <f>H1135/K1135</f>
        <v>1.0695566664551741</v>
      </c>
      <c r="X1135">
        <f>(H1135-I1135)/K1135</f>
        <v>0.79962378741530005</v>
      </c>
      <c r="Y1135">
        <f>(H1135-K1135)/G1135</f>
        <v>3.6409953208375367E-2</v>
      </c>
      <c r="Z1135" t="e">
        <f>J1135/N1135</f>
        <v>#DIV/0!</v>
      </c>
      <c r="AA1135">
        <f>J1135/G1135</f>
        <v>0.67504536837584339</v>
      </c>
      <c r="AB1135">
        <f>C1135/G1135</f>
        <v>0.79488867443625943</v>
      </c>
      <c r="AC1135">
        <f>C1135/(G1135-K1135)</f>
        <v>1.6680328449185859</v>
      </c>
      <c r="AD1135">
        <f>Q1135/E1135</f>
        <v>6.4744952780610552</v>
      </c>
      <c r="AE1135">
        <f>Q1135/J1135</f>
        <v>0.10567221195841869</v>
      </c>
      <c r="AF1135">
        <f>Q1135/G1135</f>
        <v>7.1333537248560952E-2</v>
      </c>
      <c r="AG1135">
        <f>Q1135/K1135</f>
        <v>0.13627381032515462</v>
      </c>
      <c r="AH1135">
        <f>Q1135/L1135</f>
        <v>0.27659581748722567</v>
      </c>
      <c r="AI1135" s="1">
        <f>R1135</f>
        <v>20.5</v>
      </c>
      <c r="AJ1135" s="1">
        <f>P1135</f>
        <v>22531452</v>
      </c>
    </row>
    <row r="1136" spans="1:36" x14ac:dyDescent="0.25">
      <c r="A1136" t="s">
        <v>166</v>
      </c>
      <c r="B1136">
        <v>2018</v>
      </c>
      <c r="C1136" s="1">
        <v>4476968</v>
      </c>
      <c r="D1136" s="1">
        <v>2607353</v>
      </c>
      <c r="E1136" s="1">
        <v>3743948</v>
      </c>
      <c r="G1136" s="1">
        <v>31233363</v>
      </c>
      <c r="H1136" s="1">
        <v>10550667</v>
      </c>
      <c r="I1136" s="1">
        <v>6572374</v>
      </c>
      <c r="J1136" s="1">
        <v>10061281</v>
      </c>
      <c r="K1136" s="1">
        <v>5548267</v>
      </c>
      <c r="L1136" s="1">
        <v>4699497</v>
      </c>
      <c r="M1136" s="1">
        <v>3526082</v>
      </c>
      <c r="O1136" s="1">
        <v>21172082</v>
      </c>
      <c r="P1136" s="1">
        <v>8982769</v>
      </c>
      <c r="Q1136" s="1">
        <v>680663</v>
      </c>
      <c r="R1136" s="1">
        <v>7.3</v>
      </c>
      <c r="T1136">
        <f>E1136/G1136</f>
        <v>0.11987015295150893</v>
      </c>
      <c r="U1136">
        <f>D1136/C1136</f>
        <v>0.58239259248670083</v>
      </c>
      <c r="V1136">
        <f>(E1136-F1136)/O1136</f>
        <v>0.17683419136578066</v>
      </c>
      <c r="W1136">
        <f>H1136/K1136</f>
        <v>1.9016148646054705</v>
      </c>
      <c r="X1136">
        <f>(H1136-I1136)/K1136</f>
        <v>0.71703344485764653</v>
      </c>
      <c r="Y1136">
        <f>(H1136-K1136)/G1136</f>
        <v>0.16016206772226224</v>
      </c>
      <c r="Z1136" t="e">
        <f>J1136/N1136</f>
        <v>#DIV/0!</v>
      </c>
      <c r="AA1136">
        <f>J1136/G1136</f>
        <v>0.32213249018365392</v>
      </c>
      <c r="AB1136">
        <f>C1136/G1136</f>
        <v>0.14333928754325942</v>
      </c>
      <c r="AC1136">
        <f>C1136/(G1136-K1136)</f>
        <v>0.17430217118908178</v>
      </c>
      <c r="AD1136">
        <f>Q1136/E1136</f>
        <v>0.1818035400064317</v>
      </c>
      <c r="AE1136">
        <f>Q1136/J1136</f>
        <v>6.765172347338276E-2</v>
      </c>
      <c r="AF1136">
        <f>Q1136/G1136</f>
        <v>2.1792818147696742E-2</v>
      </c>
      <c r="AG1136">
        <f>Q1136/K1136</f>
        <v>0.12268028917858495</v>
      </c>
      <c r="AH1136">
        <f>Q1136/L1136</f>
        <v>0.14483741557873109</v>
      </c>
      <c r="AI1136" s="1">
        <f>R1136</f>
        <v>7.3</v>
      </c>
      <c r="AJ1136" s="1">
        <f>P1136</f>
        <v>8982769</v>
      </c>
    </row>
    <row r="1137" spans="1:36" x14ac:dyDescent="0.25">
      <c r="A1137" t="s">
        <v>166</v>
      </c>
      <c r="B1137">
        <v>2019</v>
      </c>
      <c r="C1137" s="1">
        <v>13955664</v>
      </c>
      <c r="D1137" s="1">
        <v>2174778</v>
      </c>
      <c r="E1137" s="1">
        <v>1119525</v>
      </c>
      <c r="G1137" s="1">
        <v>33350814</v>
      </c>
      <c r="H1137" s="1">
        <v>10552100</v>
      </c>
      <c r="I1137" s="1">
        <v>6253093</v>
      </c>
      <c r="J1137" s="1">
        <v>9601885</v>
      </c>
      <c r="K1137" s="1">
        <v>5287486</v>
      </c>
      <c r="L1137" s="1">
        <v>4436474</v>
      </c>
      <c r="M1137" s="1">
        <v>3141410</v>
      </c>
      <c r="O1137" s="1">
        <v>23748929</v>
      </c>
      <c r="P1137" s="1">
        <v>9887632</v>
      </c>
      <c r="Q1137" s="1">
        <v>-588876</v>
      </c>
      <c r="R1137" s="1">
        <v>7</v>
      </c>
      <c r="T1137">
        <f>E1137/G1137</f>
        <v>3.3568146192773589E-2</v>
      </c>
      <c r="U1137">
        <f>D1137/C1137</f>
        <v>0.15583479223919405</v>
      </c>
      <c r="V1137">
        <f>(E1137-F1137)/O1137</f>
        <v>4.7140020503661451E-2</v>
      </c>
      <c r="W1137">
        <f>H1137/K1137</f>
        <v>1.9956743147877838</v>
      </c>
      <c r="X1137">
        <f>(H1137-I1137)/K1137</f>
        <v>0.81305312203190705</v>
      </c>
      <c r="Y1137">
        <f>(H1137-K1137)/G1137</f>
        <v>0.15785563734666266</v>
      </c>
      <c r="Z1137" t="e">
        <f>J1137/N1137</f>
        <v>#DIV/0!</v>
      </c>
      <c r="AA1137">
        <f>J1137/G1137</f>
        <v>0.28790556656278316</v>
      </c>
      <c r="AB1137">
        <f>C1137/G1137</f>
        <v>0.41845047620127052</v>
      </c>
      <c r="AC1137">
        <f>C1137/(G1137-K1137)</f>
        <v>0.49729183937129623</v>
      </c>
      <c r="AD1137">
        <f>Q1137/E1137</f>
        <v>-0.52600522543042805</v>
      </c>
      <c r="AE1137">
        <f>Q1137/J1137</f>
        <v>-6.1329207754519034E-2</v>
      </c>
      <c r="AF1137">
        <f>Q1137/G1137</f>
        <v>-1.7657020305411435E-2</v>
      </c>
      <c r="AG1137">
        <f>Q1137/K1137</f>
        <v>-0.11137164240245742</v>
      </c>
      <c r="AH1137">
        <f>Q1137/L1137</f>
        <v>-0.13273514056433106</v>
      </c>
      <c r="AI1137" s="1">
        <f>R1137</f>
        <v>7</v>
      </c>
      <c r="AJ1137" s="1">
        <f>P1137</f>
        <v>9887632</v>
      </c>
    </row>
    <row r="1138" spans="1:36" x14ac:dyDescent="0.25">
      <c r="A1138" t="s">
        <v>166</v>
      </c>
      <c r="B1138">
        <v>2020</v>
      </c>
      <c r="C1138" s="1">
        <v>10823587</v>
      </c>
      <c r="D1138" s="1">
        <v>1372606</v>
      </c>
      <c r="E1138" s="1">
        <v>425603</v>
      </c>
      <c r="G1138" s="1">
        <v>36585284</v>
      </c>
      <c r="H1138" s="1">
        <v>11583489</v>
      </c>
      <c r="I1138" s="1">
        <v>7160856</v>
      </c>
      <c r="J1138" s="1">
        <v>13124417</v>
      </c>
      <c r="K1138" s="1">
        <v>7248953</v>
      </c>
      <c r="L1138" s="1">
        <v>3820621</v>
      </c>
      <c r="M1138" s="1">
        <v>2744495</v>
      </c>
      <c r="O1138" s="1">
        <v>23460867</v>
      </c>
      <c r="P1138" s="1">
        <v>9711908</v>
      </c>
      <c r="Q1138" s="1">
        <v>-1239500</v>
      </c>
      <c r="R1138" s="1">
        <v>4.0999999999999996</v>
      </c>
      <c r="T1138">
        <f>E1138/G1138</f>
        <v>1.1633174693956182E-2</v>
      </c>
      <c r="U1138">
        <f>D1138/C1138</f>
        <v>0.12681618395084734</v>
      </c>
      <c r="V1138">
        <f>(E1138-F1138)/O1138</f>
        <v>1.8140974926459452E-2</v>
      </c>
      <c r="W1138">
        <f>H1138/K1138</f>
        <v>1.5979533871995031</v>
      </c>
      <c r="X1138">
        <f>(H1138-I1138)/K1138</f>
        <v>0.61010645261460517</v>
      </c>
      <c r="Y1138">
        <f>(H1138-K1138)/G1138</f>
        <v>0.11847758240717771</v>
      </c>
      <c r="Z1138" t="e">
        <f>J1138/N1138</f>
        <v>#DIV/0!</v>
      </c>
      <c r="AA1138">
        <f>J1138/G1138</f>
        <v>0.35873486727614307</v>
      </c>
      <c r="AB1138">
        <f>C1138/G1138</f>
        <v>0.29584537323804838</v>
      </c>
      <c r="AC1138">
        <f>C1138/(G1138-K1138)</f>
        <v>0.36894821646237902</v>
      </c>
      <c r="AD1138">
        <f>Q1138/E1138</f>
        <v>-2.9123384938546018</v>
      </c>
      <c r="AE1138">
        <f>Q1138/J1138</f>
        <v>-9.4442290274684204E-2</v>
      </c>
      <c r="AF1138">
        <f>Q1138/G1138</f>
        <v>-3.3879742466943814E-2</v>
      </c>
      <c r="AG1138">
        <f>Q1138/K1138</f>
        <v>-0.17099021058627364</v>
      </c>
      <c r="AH1138">
        <f>Q1138/L1138</f>
        <v>-0.32442369970745594</v>
      </c>
      <c r="AI1138" s="1">
        <f>R1138</f>
        <v>4.0999999999999996</v>
      </c>
      <c r="AJ1138" s="1">
        <f>P1138</f>
        <v>9711908</v>
      </c>
    </row>
    <row r="1139" spans="1:36" x14ac:dyDescent="0.25">
      <c r="A1139" t="s">
        <v>166</v>
      </c>
      <c r="B1139">
        <v>2021</v>
      </c>
      <c r="C1139" s="1">
        <v>14490038</v>
      </c>
      <c r="D1139" s="1">
        <v>1638134</v>
      </c>
      <c r="E1139" s="1">
        <v>1084636</v>
      </c>
      <c r="G1139" s="1">
        <v>35786916</v>
      </c>
      <c r="H1139" s="1">
        <v>10957332</v>
      </c>
      <c r="I1139" s="1">
        <v>3389287</v>
      </c>
      <c r="J1139" s="1">
        <v>10905903</v>
      </c>
      <c r="K1139" s="1">
        <v>5379949</v>
      </c>
      <c r="L1139" s="1">
        <v>5046752</v>
      </c>
      <c r="M1139" s="1">
        <v>2724250</v>
      </c>
      <c r="O1139" s="1">
        <v>24881013</v>
      </c>
      <c r="P1139" s="1">
        <v>10283852</v>
      </c>
      <c r="Q1139" s="1">
        <v>7667976</v>
      </c>
      <c r="R1139" s="1">
        <v>6.5</v>
      </c>
      <c r="T1139">
        <f>E1139/G1139</f>
        <v>3.0308171846939815E-2</v>
      </c>
      <c r="U1139">
        <f>D1139/C1139</f>
        <v>0.113052429538142</v>
      </c>
      <c r="V1139">
        <f>(E1139-F1139)/O1139</f>
        <v>4.3592919629116385E-2</v>
      </c>
      <c r="W1139">
        <f>H1139/K1139</f>
        <v>2.0366981173985108</v>
      </c>
      <c r="X1139">
        <f>(H1139-I1139)/K1139</f>
        <v>1.4067131491395179</v>
      </c>
      <c r="Y1139">
        <f>(H1139-K1139)/G1139</f>
        <v>0.15584978040577735</v>
      </c>
      <c r="Z1139" t="e">
        <f>J1139/N1139</f>
        <v>#DIV/0!</v>
      </c>
      <c r="AA1139">
        <f>J1139/G1139</f>
        <v>0.30474553884442013</v>
      </c>
      <c r="AB1139">
        <f>C1139/G1139</f>
        <v>0.40489764471462142</v>
      </c>
      <c r="AC1139">
        <f>C1139/(G1139-K1139)</f>
        <v>0.47653677527258803</v>
      </c>
      <c r="AD1139">
        <f>Q1139/E1139</f>
        <v>7.0696307332598218</v>
      </c>
      <c r="AE1139">
        <f>Q1139/J1139</f>
        <v>0.70310326435142512</v>
      </c>
      <c r="AF1139">
        <f>Q1139/G1139</f>
        <v>0.21426758315804581</v>
      </c>
      <c r="AG1139">
        <f>Q1139/K1139</f>
        <v>1.4252878605354808</v>
      </c>
      <c r="AH1139">
        <f>Q1139/L1139</f>
        <v>1.5193883115318525</v>
      </c>
      <c r="AI1139" s="1">
        <f>R1139</f>
        <v>6.5</v>
      </c>
      <c r="AJ1139" s="1">
        <f>P1139</f>
        <v>10283852</v>
      </c>
    </row>
    <row r="1140" spans="1:36" x14ac:dyDescent="0.25">
      <c r="A1140" t="s">
        <v>166</v>
      </c>
      <c r="B1140">
        <v>2022</v>
      </c>
      <c r="C1140" s="1">
        <v>14446794</v>
      </c>
      <c r="D1140" s="1">
        <v>1991775</v>
      </c>
      <c r="E1140" s="1">
        <v>792942</v>
      </c>
      <c r="G1140" s="1">
        <v>42987697</v>
      </c>
      <c r="H1140" s="1">
        <v>12623982</v>
      </c>
      <c r="I1140" s="1">
        <v>6282170</v>
      </c>
      <c r="J1140" s="1">
        <v>16044610</v>
      </c>
      <c r="K1140" s="1">
        <v>7077835</v>
      </c>
      <c r="L1140" s="1">
        <v>8333865</v>
      </c>
      <c r="M1140" s="1">
        <v>5612462</v>
      </c>
      <c r="O1140" s="1">
        <v>26943087</v>
      </c>
      <c r="P1140" s="1">
        <v>10930127</v>
      </c>
      <c r="Q1140" s="1">
        <v>-1763646</v>
      </c>
      <c r="R1140" s="1">
        <v>7</v>
      </c>
      <c r="T1140">
        <f>E1140/G1140</f>
        <v>1.8445789268496986E-2</v>
      </c>
      <c r="U1140">
        <f>D1140/C1140</f>
        <v>0.13786968928884843</v>
      </c>
      <c r="V1140">
        <f>(E1140-F1140)/O1140</f>
        <v>2.9430257935922487E-2</v>
      </c>
      <c r="W1140">
        <f>H1140/K1140</f>
        <v>1.7835937119189695</v>
      </c>
      <c r="X1140">
        <f>(H1140-I1140)/K1140</f>
        <v>0.89601014999643247</v>
      </c>
      <c r="Y1140">
        <f>(H1140-K1140)/G1140</f>
        <v>0.12901707667661286</v>
      </c>
      <c r="Z1140" t="e">
        <f>J1140/N1140</f>
        <v>#DIV/0!</v>
      </c>
      <c r="AA1140">
        <f>J1140/G1140</f>
        <v>0.37323725437070981</v>
      </c>
      <c r="AB1140">
        <f>C1140/G1140</f>
        <v>0.33606810804495996</v>
      </c>
      <c r="AC1140">
        <f>C1140/(G1140-K1140)</f>
        <v>0.40230714336913909</v>
      </c>
      <c r="AD1140">
        <f>Q1140/E1140</f>
        <v>-2.2241803309699826</v>
      </c>
      <c r="AE1140">
        <f>Q1140/J1140</f>
        <v>-0.10992140039552223</v>
      </c>
      <c r="AF1140">
        <f>Q1140/G1140</f>
        <v>-4.1026761680208176E-2</v>
      </c>
      <c r="AG1140">
        <f>Q1140/K1140</f>
        <v>-0.24917873897879789</v>
      </c>
      <c r="AH1140">
        <f>Q1140/L1140</f>
        <v>-0.21162401838762687</v>
      </c>
      <c r="AI1140" s="1">
        <f>R1140</f>
        <v>7</v>
      </c>
      <c r="AJ1140" s="1">
        <f>P1140</f>
        <v>10930127</v>
      </c>
    </row>
    <row r="1141" spans="1:36" x14ac:dyDescent="0.25">
      <c r="A1141" t="s">
        <v>166</v>
      </c>
      <c r="B1141">
        <v>2023</v>
      </c>
      <c r="C1141" s="1">
        <v>12892654</v>
      </c>
      <c r="D1141" s="1">
        <v>2281682</v>
      </c>
      <c r="E1141" s="1">
        <v>-770118</v>
      </c>
      <c r="G1141" s="1">
        <v>41928251</v>
      </c>
      <c r="H1141" s="1">
        <v>10560322</v>
      </c>
      <c r="I1141" s="1">
        <v>5638825</v>
      </c>
      <c r="J1141" s="1">
        <v>15977074</v>
      </c>
      <c r="K1141" s="1">
        <v>6250285</v>
      </c>
      <c r="L1141" s="1">
        <v>9024506</v>
      </c>
      <c r="M1141" s="1">
        <v>4827253</v>
      </c>
      <c r="O1141" s="1">
        <v>25951177</v>
      </c>
      <c r="P1141" s="1">
        <v>10192461</v>
      </c>
      <c r="Q1141" s="1">
        <v>-1869611</v>
      </c>
      <c r="R1141" s="1">
        <v>5.5</v>
      </c>
      <c r="T1141">
        <f>E1141/G1141</f>
        <v>-1.8367520266943643E-2</v>
      </c>
      <c r="U1141">
        <f>D1141/C1141</f>
        <v>0.17697535356180349</v>
      </c>
      <c r="V1141">
        <f>(E1141-F1141)/O1141</f>
        <v>-2.9675648237457591E-2</v>
      </c>
      <c r="W1141">
        <f>H1141/K1141</f>
        <v>1.6895744754039215</v>
      </c>
      <c r="X1141">
        <f>(H1141-I1141)/K1141</f>
        <v>0.78740361439518358</v>
      </c>
      <c r="Y1141">
        <f>(H1141-K1141)/G1141</f>
        <v>0.10279553516315289</v>
      </c>
      <c r="Z1141" t="e">
        <f>J1141/N1141</f>
        <v>#DIV/0!</v>
      </c>
      <c r="AA1141">
        <f>J1141/G1141</f>
        <v>0.3810574879452997</v>
      </c>
      <c r="AB1141">
        <f>C1141/G1141</f>
        <v>0.30749324602163824</v>
      </c>
      <c r="AC1141">
        <f>C1141/(G1141-K1141)</f>
        <v>0.36136179960483172</v>
      </c>
      <c r="AD1141">
        <f>Q1141/E1141</f>
        <v>2.4276941975125892</v>
      </c>
      <c r="AE1141">
        <f>Q1141/J1141</f>
        <v>-0.117018360182847</v>
      </c>
      <c r="AF1141">
        <f>Q1141/G1141</f>
        <v>-4.4590722374753956E-2</v>
      </c>
      <c r="AG1141">
        <f>Q1141/K1141</f>
        <v>-0.29912411994013072</v>
      </c>
      <c r="AH1141">
        <f>Q1141/L1141</f>
        <v>-0.20717045342980547</v>
      </c>
      <c r="AI1141" s="1">
        <f>R1141</f>
        <v>5.5</v>
      </c>
      <c r="AJ1141" s="1">
        <f>P1141</f>
        <v>10192461</v>
      </c>
    </row>
    <row r="1142" spans="1:36" x14ac:dyDescent="0.25">
      <c r="A1142" t="s">
        <v>166</v>
      </c>
      <c r="B1142">
        <v>2024</v>
      </c>
      <c r="C1142" s="1">
        <v>14353245</v>
      </c>
      <c r="D1142" s="1">
        <v>2816424</v>
      </c>
      <c r="E1142" s="1">
        <v>732629</v>
      </c>
      <c r="G1142" s="1">
        <v>45304429</v>
      </c>
      <c r="H1142" s="1">
        <v>11015460</v>
      </c>
      <c r="I1142" s="1">
        <v>4325667</v>
      </c>
      <c r="J1142" s="1">
        <v>17803994</v>
      </c>
      <c r="K1142" s="1">
        <v>7320838</v>
      </c>
      <c r="L1142" s="1">
        <v>9420511</v>
      </c>
      <c r="M1142" s="1">
        <v>4484307</v>
      </c>
      <c r="O1142" s="1">
        <v>27500435</v>
      </c>
      <c r="P1142" s="1">
        <v>11027633</v>
      </c>
      <c r="Q1142" s="1">
        <v>1859561</v>
      </c>
      <c r="R1142" s="1">
        <v>6.3</v>
      </c>
      <c r="T1142">
        <f>E1142/G1142</f>
        <v>1.6171244537702925E-2</v>
      </c>
      <c r="U1142">
        <f>D1142/C1142</f>
        <v>0.19622210865905237</v>
      </c>
      <c r="V1142">
        <f>(E1142-F1142)/O1142</f>
        <v>2.66406331390758E-2</v>
      </c>
      <c r="W1142">
        <f>H1142/K1142</f>
        <v>1.5046720061282601</v>
      </c>
      <c r="X1142">
        <f>(H1142-I1142)/K1142</f>
        <v>0.91380153474233416</v>
      </c>
      <c r="Y1142">
        <f>(H1142-K1142)/G1142</f>
        <v>8.1551011270884793E-2</v>
      </c>
      <c r="Z1142" t="e">
        <f>J1142/N1142</f>
        <v>#DIV/0!</v>
      </c>
      <c r="AA1142">
        <f>J1142/G1142</f>
        <v>0.39298572773094659</v>
      </c>
      <c r="AB1142">
        <f>C1142/G1142</f>
        <v>0.31681770009726862</v>
      </c>
      <c r="AC1142">
        <f>C1142/(G1142-K1142)</f>
        <v>0.37788014829877459</v>
      </c>
      <c r="AD1142">
        <f>Q1142/E1142</f>
        <v>2.5382028284438647</v>
      </c>
      <c r="AE1142">
        <f>Q1142/J1142</f>
        <v>0.10444628323285213</v>
      </c>
      <c r="AF1142">
        <f>Q1142/G1142</f>
        <v>4.1045898625054957E-2</v>
      </c>
      <c r="AG1142">
        <f>Q1142/K1142</f>
        <v>0.25400930877038941</v>
      </c>
      <c r="AH1142">
        <f>Q1142/L1142</f>
        <v>0.19739491838606207</v>
      </c>
      <c r="AI1142" s="1">
        <f>R1142</f>
        <v>6.3</v>
      </c>
      <c r="AJ1142" s="1">
        <f>P1142</f>
        <v>11027633</v>
      </c>
    </row>
    <row r="1143" spans="1:36" x14ac:dyDescent="0.25">
      <c r="A1143" t="s">
        <v>179</v>
      </c>
      <c r="B1143">
        <v>2018</v>
      </c>
      <c r="C1143" s="1">
        <v>656686</v>
      </c>
      <c r="D1143" s="1">
        <v>133335</v>
      </c>
      <c r="E1143" s="1">
        <v>87773</v>
      </c>
      <c r="G1143" s="1">
        <v>2569866</v>
      </c>
      <c r="H1143" s="1">
        <v>551747</v>
      </c>
      <c r="I1143" s="1">
        <v>17241</v>
      </c>
      <c r="J1143" s="1">
        <v>349390</v>
      </c>
      <c r="K1143" s="1">
        <v>89009</v>
      </c>
      <c r="L1143" s="1">
        <v>12383</v>
      </c>
      <c r="M1143" s="1">
        <v>0</v>
      </c>
      <c r="O1143" s="1">
        <v>2220476</v>
      </c>
      <c r="P1143" s="1">
        <v>736090</v>
      </c>
      <c r="Q1143" s="1">
        <v>134713</v>
      </c>
      <c r="R1143" s="1">
        <v>18</v>
      </c>
      <c r="T1143">
        <f>E1143/G1143</f>
        <v>3.4154699116607637E-2</v>
      </c>
      <c r="U1143">
        <f>D1143/C1143</f>
        <v>0.20304224545673275</v>
      </c>
      <c r="V1143">
        <f>(E1143-F1143)/O1143</f>
        <v>3.9528911818907296E-2</v>
      </c>
      <c r="W1143">
        <f>H1143/K1143</f>
        <v>6.1987776516981432</v>
      </c>
      <c r="X1143">
        <f>(H1143-I1143)/K1143</f>
        <v>6.0050781381658034</v>
      </c>
      <c r="Y1143">
        <f>(H1143-K1143)/G1143</f>
        <v>0.18006308500131912</v>
      </c>
      <c r="Z1143" t="e">
        <f>J1143/N1143</f>
        <v>#DIV/0!</v>
      </c>
      <c r="AA1143">
        <f>J1143/G1143</f>
        <v>0.13595650512516996</v>
      </c>
      <c r="AB1143">
        <f>C1143/G1143</f>
        <v>0.25553316787723562</v>
      </c>
      <c r="AC1143">
        <f>C1143/(G1143-K1143)</f>
        <v>0.26470127056900095</v>
      </c>
      <c r="AD1143">
        <f>Q1143/E1143</f>
        <v>1.5347886024175998</v>
      </c>
      <c r="AE1143">
        <f>Q1143/J1143</f>
        <v>0.3855662726466127</v>
      </c>
      <c r="AF1143">
        <f>Q1143/G1143</f>
        <v>5.2420242923171871E-2</v>
      </c>
      <c r="AG1143">
        <f>Q1143/K1143</f>
        <v>1.5134761653315958</v>
      </c>
      <c r="AH1143">
        <f>Q1143/L1143</f>
        <v>10.878866187515142</v>
      </c>
      <c r="AI1143" s="1">
        <f>R1143</f>
        <v>18</v>
      </c>
      <c r="AJ1143" s="1">
        <f>P1143</f>
        <v>736090</v>
      </c>
    </row>
    <row r="1144" spans="1:36" x14ac:dyDescent="0.25">
      <c r="A1144" t="s">
        <v>179</v>
      </c>
      <c r="B1144">
        <v>2019</v>
      </c>
      <c r="C1144" s="1">
        <v>754840</v>
      </c>
      <c r="D1144" s="1">
        <v>162991</v>
      </c>
      <c r="E1144" s="1">
        <v>129924</v>
      </c>
      <c r="G1144" s="1">
        <v>2867841</v>
      </c>
      <c r="H1144" s="1">
        <v>668997</v>
      </c>
      <c r="I1144" s="1">
        <v>16637</v>
      </c>
      <c r="J1144" s="1">
        <v>403841</v>
      </c>
      <c r="K1144" s="1">
        <v>104558</v>
      </c>
      <c r="L1144" s="1">
        <v>22609</v>
      </c>
      <c r="M1144" s="1">
        <v>0</v>
      </c>
      <c r="O1144" s="1">
        <v>2464000</v>
      </c>
      <c r="P1144" s="1">
        <v>812089</v>
      </c>
      <c r="Q1144" s="1">
        <v>172195</v>
      </c>
      <c r="R1144" s="1">
        <v>16.100000000000001</v>
      </c>
      <c r="T1144">
        <f>E1144/G1144</f>
        <v>4.5303766840630283E-2</v>
      </c>
      <c r="U1144">
        <f>D1144/C1144</f>
        <v>0.2159278787557628</v>
      </c>
      <c r="V1144">
        <f>(E1144-F1144)/O1144</f>
        <v>5.2728896103896104E-2</v>
      </c>
      <c r="W1144">
        <f>H1144/K1144</f>
        <v>6.3983339390577481</v>
      </c>
      <c r="X1144">
        <f>(H1144-I1144)/K1144</f>
        <v>6.2392165114099347</v>
      </c>
      <c r="Y1144">
        <f>(H1144-K1144)/G1144</f>
        <v>0.19681669939163293</v>
      </c>
      <c r="Z1144" t="e">
        <f>J1144/N1144</f>
        <v>#DIV/0!</v>
      </c>
      <c r="AA1144">
        <f>J1144/G1144</f>
        <v>0.14081708156065834</v>
      </c>
      <c r="AB1144">
        <f>C1144/G1144</f>
        <v>0.26320845541994831</v>
      </c>
      <c r="AC1144">
        <f>C1144/(G1144-K1144)</f>
        <v>0.273167822477828</v>
      </c>
      <c r="AD1144">
        <f>Q1144/E1144</f>
        <v>1.3253517440965488</v>
      </c>
      <c r="AE1144">
        <f>Q1144/J1144</f>
        <v>0.42639306063525001</v>
      </c>
      <c r="AF1144">
        <f>Q1144/G1144</f>
        <v>6.0043426396372744E-2</v>
      </c>
      <c r="AG1144">
        <f>Q1144/K1144</f>
        <v>1.6468849824977525</v>
      </c>
      <c r="AH1144">
        <f>Q1144/L1144</f>
        <v>7.6162147817240919</v>
      </c>
      <c r="AI1144" s="1">
        <f>R1144</f>
        <v>16.100000000000001</v>
      </c>
      <c r="AJ1144" s="1">
        <f>P1144</f>
        <v>812089</v>
      </c>
    </row>
    <row r="1145" spans="1:36" x14ac:dyDescent="0.25">
      <c r="A1145" t="s">
        <v>179</v>
      </c>
      <c r="B1145">
        <v>2020</v>
      </c>
      <c r="C1145" s="1">
        <v>617604</v>
      </c>
      <c r="D1145" s="1">
        <v>97006</v>
      </c>
      <c r="E1145" s="1">
        <v>69111</v>
      </c>
      <c r="G1145" s="1">
        <v>2892303</v>
      </c>
      <c r="H1145" s="1">
        <v>695190</v>
      </c>
      <c r="I1145" s="1">
        <v>14462</v>
      </c>
      <c r="J1145" s="1">
        <v>401117</v>
      </c>
      <c r="K1145" s="1">
        <v>93738</v>
      </c>
      <c r="L1145" s="1">
        <v>22428</v>
      </c>
      <c r="M1145" s="1">
        <v>0</v>
      </c>
      <c r="O1145" s="1">
        <v>2491186</v>
      </c>
      <c r="P1145" s="1">
        <v>856087</v>
      </c>
      <c r="Q1145" s="1">
        <v>80320</v>
      </c>
      <c r="R1145" s="1">
        <v>12.7</v>
      </c>
      <c r="T1145">
        <f>E1145/G1145</f>
        <v>2.3894799403796903E-2</v>
      </c>
      <c r="U1145">
        <f>D1145/C1145</f>
        <v>0.15706828323650754</v>
      </c>
      <c r="V1145">
        <f>(E1145-F1145)/O1145</f>
        <v>2.7742207928271916E-2</v>
      </c>
      <c r="W1145">
        <f>H1145/K1145</f>
        <v>7.4163092875888115</v>
      </c>
      <c r="X1145">
        <f>(H1145-I1145)/K1145</f>
        <v>7.26202820627707</v>
      </c>
      <c r="Y1145">
        <f>(H1145-K1145)/G1145</f>
        <v>0.20794916715157435</v>
      </c>
      <c r="Z1145" t="e">
        <f>J1145/N1145</f>
        <v>#DIV/0!</v>
      </c>
      <c r="AA1145">
        <f>J1145/G1145</f>
        <v>0.13868429414207295</v>
      </c>
      <c r="AB1145">
        <f>C1145/G1145</f>
        <v>0.21353364429660379</v>
      </c>
      <c r="AC1145">
        <f>C1145/(G1145-K1145)</f>
        <v>0.22068595869668919</v>
      </c>
      <c r="AD1145">
        <f>Q1145/E1145</f>
        <v>1.1621883636468868</v>
      </c>
      <c r="AE1145">
        <f>Q1145/J1145</f>
        <v>0.2002408274892363</v>
      </c>
      <c r="AF1145">
        <f>Q1145/G1145</f>
        <v>2.7770257818769333E-2</v>
      </c>
      <c r="AG1145">
        <f>Q1145/K1145</f>
        <v>0.85685634427873436</v>
      </c>
      <c r="AH1145">
        <f>Q1145/L1145</f>
        <v>3.5812377385411094</v>
      </c>
      <c r="AI1145" s="1">
        <f>R1145</f>
        <v>12.7</v>
      </c>
      <c r="AJ1145" s="1">
        <f>P1145</f>
        <v>856087</v>
      </c>
    </row>
    <row r="1146" spans="1:36" x14ac:dyDescent="0.25">
      <c r="A1146" t="s">
        <v>179</v>
      </c>
      <c r="B1146">
        <v>2021</v>
      </c>
      <c r="C1146" s="1">
        <v>150953</v>
      </c>
      <c r="D1146" s="1">
        <v>-119921</v>
      </c>
      <c r="E1146" s="1">
        <v>-128857</v>
      </c>
      <c r="G1146" s="1">
        <v>2765295</v>
      </c>
      <c r="H1146" s="1">
        <v>593314</v>
      </c>
      <c r="I1146" s="1">
        <v>12614</v>
      </c>
      <c r="J1146" s="1">
        <v>420496</v>
      </c>
      <c r="K1146" s="1">
        <v>92447</v>
      </c>
      <c r="L1146" s="1">
        <v>35284</v>
      </c>
      <c r="M1146" s="1">
        <v>9999</v>
      </c>
      <c r="O1146" s="1">
        <v>2344799</v>
      </c>
      <c r="P1146" s="1">
        <v>745235</v>
      </c>
      <c r="Q1146" s="1">
        <v>30965</v>
      </c>
      <c r="R1146" s="1">
        <v>14.3</v>
      </c>
      <c r="T1146">
        <f>E1146/G1146</f>
        <v>-4.6597921740718438E-2</v>
      </c>
      <c r="U1146">
        <f>D1146/C1146</f>
        <v>-0.7944260796406829</v>
      </c>
      <c r="V1146">
        <f>(E1146-F1146)/O1146</f>
        <v>-5.4954390546908288E-2</v>
      </c>
      <c r="W1146">
        <f>H1146/K1146</f>
        <v>6.417882678724026</v>
      </c>
      <c r="X1146">
        <f>(H1146-I1146)/K1146</f>
        <v>6.2814369314309824</v>
      </c>
      <c r="Y1146">
        <f>(H1146-K1146)/G1146</f>
        <v>0.18112606430778633</v>
      </c>
      <c r="Z1146" t="e">
        <f>J1146/N1146</f>
        <v>#DIV/0!</v>
      </c>
      <c r="AA1146">
        <f>J1146/G1146</f>
        <v>0.15206189574710835</v>
      </c>
      <c r="AB1146">
        <f>C1146/G1146</f>
        <v>5.4588389303853659E-2</v>
      </c>
      <c r="AC1146">
        <f>C1146/(G1146-K1146)</f>
        <v>5.6476462559786417E-2</v>
      </c>
      <c r="AD1146">
        <f>Q1146/E1146</f>
        <v>-0.24030514446246615</v>
      </c>
      <c r="AE1146">
        <f>Q1146/J1146</f>
        <v>7.3639226056847154E-2</v>
      </c>
      <c r="AF1146">
        <f>Q1146/G1146</f>
        <v>1.1197720315554037E-2</v>
      </c>
      <c r="AG1146">
        <f>Q1146/K1146</f>
        <v>0.33494867329388733</v>
      </c>
      <c r="AH1146">
        <f>Q1146/L1146</f>
        <v>0.87759324339644029</v>
      </c>
      <c r="AI1146" s="1">
        <f>R1146</f>
        <v>14.3</v>
      </c>
      <c r="AJ1146" s="1">
        <f>P1146</f>
        <v>745235</v>
      </c>
    </row>
    <row r="1147" spans="1:36" x14ac:dyDescent="0.25">
      <c r="A1147" t="s">
        <v>179</v>
      </c>
      <c r="B1147">
        <v>2022</v>
      </c>
      <c r="C1147" s="1">
        <v>336870</v>
      </c>
      <c r="D1147" s="1">
        <v>-17776</v>
      </c>
      <c r="E1147" s="1">
        <v>-22290</v>
      </c>
      <c r="G1147" s="1">
        <v>3166475</v>
      </c>
      <c r="H1147" s="1">
        <v>642329</v>
      </c>
      <c r="I1147" s="1">
        <v>21990</v>
      </c>
      <c r="J1147" s="1">
        <v>467386</v>
      </c>
      <c r="K1147" s="1">
        <v>92447</v>
      </c>
      <c r="L1147" s="1">
        <v>39828</v>
      </c>
      <c r="M1147" s="1">
        <v>7993</v>
      </c>
      <c r="O1147" s="1">
        <v>2699089</v>
      </c>
      <c r="P1147" s="1">
        <v>724385</v>
      </c>
      <c r="Q1147" s="1">
        <v>-138769</v>
      </c>
      <c r="R1147" s="1">
        <v>16.3</v>
      </c>
      <c r="T1147">
        <f>E1147/G1147</f>
        <v>-7.0393734357605854E-3</v>
      </c>
      <c r="U1147">
        <f>D1147/C1147</f>
        <v>-5.2768130139222845E-2</v>
      </c>
      <c r="V1147">
        <f>(E1147-F1147)/O1147</f>
        <v>-8.2583419813129534E-3</v>
      </c>
      <c r="W1147">
        <f>H1147/K1147</f>
        <v>6.9480783584107648</v>
      </c>
      <c r="X1147">
        <f>(H1147-I1147)/K1147</f>
        <v>6.7102123378800824</v>
      </c>
      <c r="Y1147">
        <f>(H1147-K1147)/G1147</f>
        <v>0.17365745821457615</v>
      </c>
      <c r="Z1147" t="e">
        <f>J1147/N1147</f>
        <v>#DIV/0!</v>
      </c>
      <c r="AA1147">
        <f>J1147/G1147</f>
        <v>0.14760451290472845</v>
      </c>
      <c r="AB1147">
        <f>C1147/G1147</f>
        <v>0.10638643917921348</v>
      </c>
      <c r="AC1147">
        <f>C1147/(G1147-K1147)</f>
        <v>0.10958585933504834</v>
      </c>
      <c r="AD1147">
        <f>Q1147/E1147</f>
        <v>6.2256168685509197</v>
      </c>
      <c r="AE1147">
        <f>Q1147/J1147</f>
        <v>-0.29690448579974582</v>
      </c>
      <c r="AF1147">
        <f>Q1147/G1147</f>
        <v>-4.3824442005700348E-2</v>
      </c>
      <c r="AG1147">
        <f>Q1147/K1147</f>
        <v>-1.5010654753534458</v>
      </c>
      <c r="AH1147">
        <f>Q1147/L1147</f>
        <v>-3.4842070904891029</v>
      </c>
      <c r="AI1147" s="1">
        <f>R1147</f>
        <v>16.3</v>
      </c>
      <c r="AJ1147" s="1">
        <f>P1147</f>
        <v>724385</v>
      </c>
    </row>
    <row r="1148" spans="1:36" x14ac:dyDescent="0.25">
      <c r="A1148" t="s">
        <v>179</v>
      </c>
      <c r="B1148">
        <v>2023</v>
      </c>
      <c r="C1148" s="1">
        <v>670853</v>
      </c>
      <c r="D1148" s="1">
        <v>5598</v>
      </c>
      <c r="E1148" s="1">
        <v>-107024</v>
      </c>
      <c r="G1148" s="1">
        <v>3246760</v>
      </c>
      <c r="H1148" s="1">
        <v>761050</v>
      </c>
      <c r="I1148" s="1">
        <v>37647</v>
      </c>
      <c r="J1148" s="1">
        <v>903600</v>
      </c>
      <c r="K1148" s="1">
        <v>172139</v>
      </c>
      <c r="L1148" s="1">
        <v>49179</v>
      </c>
      <c r="M1148" s="1">
        <v>0</v>
      </c>
      <c r="O1148" s="1">
        <v>2343160</v>
      </c>
      <c r="P1148" s="1">
        <v>619410</v>
      </c>
      <c r="Q1148" s="1">
        <v>-78301</v>
      </c>
      <c r="R1148" s="1">
        <v>26.3</v>
      </c>
      <c r="T1148">
        <f>E1148/G1148</f>
        <v>-3.2963323436287252E-2</v>
      </c>
      <c r="U1148">
        <f>D1148/C1148</f>
        <v>8.3446000837739415E-3</v>
      </c>
      <c r="V1148">
        <f>(E1148-F1148)/O1148</f>
        <v>-4.5675071271274688E-2</v>
      </c>
      <c r="W1148">
        <f>H1148/K1148</f>
        <v>4.4211364072058048</v>
      </c>
      <c r="X1148">
        <f>(H1148-I1148)/K1148</f>
        <v>4.2024352412875645</v>
      </c>
      <c r="Y1148">
        <f>(H1148-K1148)/G1148</f>
        <v>0.18138421072084171</v>
      </c>
      <c r="Z1148" t="e">
        <f>J1148/N1148</f>
        <v>#DIV/0!</v>
      </c>
      <c r="AA1148">
        <f>J1148/G1148</f>
        <v>0.27830822111890008</v>
      </c>
      <c r="AB1148">
        <f>C1148/G1148</f>
        <v>0.206622294225628</v>
      </c>
      <c r="AC1148">
        <f>C1148/(G1148-K1148)</f>
        <v>0.21819046965463385</v>
      </c>
      <c r="AD1148">
        <f>Q1148/E1148</f>
        <v>0.73162094483480344</v>
      </c>
      <c r="AE1148">
        <f>Q1148/J1148</f>
        <v>-8.6654493138556887E-2</v>
      </c>
      <c r="AF1148">
        <f>Q1148/G1148</f>
        <v>-2.4116657837351698E-2</v>
      </c>
      <c r="AG1148">
        <f>Q1148/K1148</f>
        <v>-0.45487077303806805</v>
      </c>
      <c r="AH1148">
        <f>Q1148/L1148</f>
        <v>-1.5921633217430204</v>
      </c>
      <c r="AI1148" s="1">
        <f>R1148</f>
        <v>26.3</v>
      </c>
      <c r="AJ1148" s="1">
        <f>P1148</f>
        <v>619410</v>
      </c>
    </row>
    <row r="1149" spans="1:36" x14ac:dyDescent="0.25">
      <c r="A1149" t="s">
        <v>179</v>
      </c>
      <c r="B1149">
        <v>2024</v>
      </c>
      <c r="C1149" s="1">
        <v>1092317</v>
      </c>
      <c r="D1149" s="1">
        <v>164723</v>
      </c>
      <c r="E1149" s="1">
        <v>169081</v>
      </c>
      <c r="G1149" s="1">
        <v>3439987</v>
      </c>
      <c r="H1149" s="1">
        <v>958178</v>
      </c>
      <c r="I1149" s="1">
        <v>35445</v>
      </c>
      <c r="J1149" s="1">
        <v>923041</v>
      </c>
      <c r="K1149" s="1">
        <v>201057</v>
      </c>
      <c r="L1149" s="1">
        <v>58105</v>
      </c>
      <c r="M1149" s="1">
        <v>0</v>
      </c>
      <c r="O1149" s="1">
        <v>2516946</v>
      </c>
      <c r="P1149" s="1">
        <v>785939</v>
      </c>
      <c r="Q1149" s="1">
        <v>25606</v>
      </c>
      <c r="R1149" s="1">
        <v>30</v>
      </c>
      <c r="T1149">
        <f>E1149/G1149</f>
        <v>4.9151639235845951E-2</v>
      </c>
      <c r="U1149">
        <f>D1149/C1149</f>
        <v>0.15080146148050427</v>
      </c>
      <c r="V1149">
        <f>(E1149-F1149)/O1149</f>
        <v>6.7177047103910856E-2</v>
      </c>
      <c r="W1149">
        <f>H1149/K1149</f>
        <v>4.7657032582799905</v>
      </c>
      <c r="X1149">
        <f>(H1149-I1149)/K1149</f>
        <v>4.5894099683174421</v>
      </c>
      <c r="Y1149">
        <f>(H1149-K1149)/G1149</f>
        <v>0.22009414570462041</v>
      </c>
      <c r="Z1149" t="e">
        <f>J1149/N1149</f>
        <v>#DIV/0!</v>
      </c>
      <c r="AA1149">
        <f>J1149/G1149</f>
        <v>0.26832688611904637</v>
      </c>
      <c r="AB1149">
        <f>C1149/G1149</f>
        <v>0.31753521161562531</v>
      </c>
      <c r="AC1149">
        <f>C1149/(G1149-K1149)</f>
        <v>0.3372462510767445</v>
      </c>
      <c r="AD1149">
        <f>Q1149/E1149</f>
        <v>0.15144220817241441</v>
      </c>
      <c r="AE1149">
        <f>Q1149/J1149</f>
        <v>2.7740912917194362E-2</v>
      </c>
      <c r="AF1149">
        <f>Q1149/G1149</f>
        <v>7.4436327811703944E-3</v>
      </c>
      <c r="AG1149">
        <f>Q1149/K1149</f>
        <v>0.1273569186847511</v>
      </c>
      <c r="AH1149">
        <f>Q1149/L1149</f>
        <v>0.44068496687032099</v>
      </c>
      <c r="AI1149" s="1">
        <f>R1149</f>
        <v>30</v>
      </c>
      <c r="AJ1149" s="1">
        <f>P1149</f>
        <v>785939</v>
      </c>
    </row>
    <row r="1150" spans="1:36" x14ac:dyDescent="0.25">
      <c r="A1150" t="s">
        <v>168</v>
      </c>
      <c r="B1150">
        <v>2018</v>
      </c>
      <c r="C1150" s="1">
        <v>791000</v>
      </c>
      <c r="D1150" s="1">
        <v>187000</v>
      </c>
      <c r="E1150" s="1">
        <v>148000</v>
      </c>
      <c r="G1150" s="1">
        <v>1259477</v>
      </c>
      <c r="H1150" s="1">
        <v>643000</v>
      </c>
      <c r="I1150" s="1">
        <v>55374</v>
      </c>
      <c r="J1150" s="1">
        <v>150607</v>
      </c>
      <c r="K1150" s="1">
        <v>99446</v>
      </c>
      <c r="L1150" s="1">
        <v>4087</v>
      </c>
      <c r="M1150" s="1">
        <v>1580</v>
      </c>
      <c r="O1150" s="1">
        <v>1108870</v>
      </c>
      <c r="P1150" s="1">
        <v>396464</v>
      </c>
      <c r="Q1150" s="1">
        <v>80161</v>
      </c>
      <c r="R1150" s="1">
        <v>2.4</v>
      </c>
      <c r="T1150">
        <f>E1150/G1150</f>
        <v>0.11750909306005589</v>
      </c>
      <c r="U1150">
        <f>D1150/C1150</f>
        <v>0.23640960809102401</v>
      </c>
      <c r="V1150">
        <f>(E1150-F1150)/O1150</f>
        <v>0.13346920739130827</v>
      </c>
      <c r="W1150">
        <f>H1150/K1150</f>
        <v>6.4658206463809504</v>
      </c>
      <c r="X1150">
        <f>(H1150-I1150)/K1150</f>
        <v>5.9089958369366293</v>
      </c>
      <c r="Y1150">
        <f>(H1150-K1150)/G1150</f>
        <v>0.43157119979165953</v>
      </c>
      <c r="Z1150" t="e">
        <f>J1150/N1150</f>
        <v>#DIV/0!</v>
      </c>
      <c r="AA1150">
        <f>J1150/G1150</f>
        <v>0.11957899985470159</v>
      </c>
      <c r="AB1150">
        <f>C1150/G1150</f>
        <v>0.62803846358448789</v>
      </c>
      <c r="AC1150">
        <f>C1150/(G1150-K1150)</f>
        <v>0.68187832911361856</v>
      </c>
      <c r="AD1150">
        <f>Q1150/E1150</f>
        <v>0.54162837837837841</v>
      </c>
      <c r="AE1150">
        <f>Q1150/J1150</f>
        <v>0.53225281693413984</v>
      </c>
      <c r="AF1150">
        <f>Q1150/G1150</f>
        <v>6.364625951883203E-2</v>
      </c>
      <c r="AG1150">
        <f>Q1150/K1150</f>
        <v>0.80607565915170043</v>
      </c>
      <c r="AH1150">
        <f>Q1150/L1150</f>
        <v>19.613653046244188</v>
      </c>
      <c r="AI1150" s="1">
        <f>R1150</f>
        <v>2.4</v>
      </c>
      <c r="AJ1150" s="1">
        <f>P1150</f>
        <v>396464</v>
      </c>
    </row>
    <row r="1151" spans="1:36" x14ac:dyDescent="0.25">
      <c r="A1151" t="s">
        <v>168</v>
      </c>
      <c r="B1151">
        <v>2019</v>
      </c>
      <c r="C1151" s="1">
        <v>744000</v>
      </c>
      <c r="D1151" s="1">
        <v>143000</v>
      </c>
      <c r="E1151" s="1">
        <v>103000</v>
      </c>
      <c r="G1151" s="1">
        <v>1396352</v>
      </c>
      <c r="H1151" s="1">
        <v>762000</v>
      </c>
      <c r="I1151" s="1">
        <v>105351</v>
      </c>
      <c r="J1151" s="1">
        <v>193248</v>
      </c>
      <c r="K1151" s="1">
        <v>137112</v>
      </c>
      <c r="L1151" s="1">
        <v>5869</v>
      </c>
      <c r="M1151" s="1">
        <v>0</v>
      </c>
      <c r="O1151" s="1">
        <v>1203104</v>
      </c>
      <c r="P1151" s="1">
        <v>473910</v>
      </c>
      <c r="Q1151" s="1">
        <v>56583</v>
      </c>
      <c r="R1151" s="1">
        <v>1.9</v>
      </c>
      <c r="T1151">
        <f>E1151/G1151</f>
        <v>7.3763635530296079E-2</v>
      </c>
      <c r="U1151">
        <f>D1151/C1151</f>
        <v>0.19220430107526881</v>
      </c>
      <c r="V1151">
        <f>(E1151-F1151)/O1151</f>
        <v>8.5611883926909063E-2</v>
      </c>
      <c r="W1151">
        <f>H1151/K1151</f>
        <v>5.5575004375984598</v>
      </c>
      <c r="X1151">
        <f>(H1151-I1151)/K1151</f>
        <v>4.7891431822159989</v>
      </c>
      <c r="Y1151">
        <f>(H1151-K1151)/G1151</f>
        <v>0.4475146667888899</v>
      </c>
      <c r="Z1151" t="e">
        <f>J1151/N1151</f>
        <v>#DIV/0!</v>
      </c>
      <c r="AA1151">
        <f>J1151/G1151</f>
        <v>0.13839490329086077</v>
      </c>
      <c r="AB1151">
        <f>C1151/G1151</f>
        <v>0.53281694014116787</v>
      </c>
      <c r="AC1151">
        <f>C1151/(G1151-K1151)</f>
        <v>0.59083256567453379</v>
      </c>
      <c r="AD1151">
        <f>Q1151/E1151</f>
        <v>0.54934951456310677</v>
      </c>
      <c r="AE1151">
        <f>Q1151/J1151</f>
        <v>0.29279992548435169</v>
      </c>
      <c r="AF1151">
        <f>Q1151/G1151</f>
        <v>4.0522017370978089E-2</v>
      </c>
      <c r="AG1151">
        <f>Q1151/K1151</f>
        <v>0.41267722737615964</v>
      </c>
      <c r="AH1151">
        <f>Q1151/L1151</f>
        <v>9.6409950587834388</v>
      </c>
      <c r="AI1151" s="1">
        <f>R1151</f>
        <v>1.9</v>
      </c>
      <c r="AJ1151" s="1">
        <f>P1151</f>
        <v>473910</v>
      </c>
    </row>
    <row r="1152" spans="1:36" x14ac:dyDescent="0.25">
      <c r="A1152" t="s">
        <v>168</v>
      </c>
      <c r="B1152">
        <v>2020</v>
      </c>
      <c r="C1152" s="1">
        <v>756000</v>
      </c>
      <c r="D1152" s="1">
        <v>145000</v>
      </c>
      <c r="E1152" s="1">
        <v>114000</v>
      </c>
      <c r="G1152" s="1">
        <v>1465052</v>
      </c>
      <c r="H1152" s="1">
        <v>817000</v>
      </c>
      <c r="I1152" s="1">
        <v>125704</v>
      </c>
      <c r="J1152" s="1">
        <v>158118</v>
      </c>
      <c r="K1152" s="1">
        <v>94749</v>
      </c>
      <c r="L1152" s="1">
        <v>12595</v>
      </c>
      <c r="M1152" s="1">
        <v>12260</v>
      </c>
      <c r="O1152" s="1">
        <v>1306934</v>
      </c>
      <c r="P1152" s="1">
        <v>578199</v>
      </c>
      <c r="Q1152" s="1">
        <v>76805</v>
      </c>
      <c r="R1152" s="1">
        <v>1.8</v>
      </c>
      <c r="T1152">
        <f>E1152/G1152</f>
        <v>7.7812937697774545E-2</v>
      </c>
      <c r="U1152">
        <f>D1152/C1152</f>
        <v>0.1917989417989418</v>
      </c>
      <c r="V1152">
        <f>(E1152-F1152)/O1152</f>
        <v>8.7227052016398687E-2</v>
      </c>
      <c r="W1152">
        <f>H1152/K1152</f>
        <v>8.6227822984939149</v>
      </c>
      <c r="X1152">
        <f>(H1152-I1152)/K1152</f>
        <v>7.2960770034512237</v>
      </c>
      <c r="Y1152">
        <f>(H1152-K1152)/G1152</f>
        <v>0.49298659706276637</v>
      </c>
      <c r="Z1152" t="e">
        <f>J1152/N1152</f>
        <v>#DIV/0!</v>
      </c>
      <c r="AA1152">
        <f>J1152/G1152</f>
        <v>0.10792654458681331</v>
      </c>
      <c r="AB1152">
        <f>C1152/G1152</f>
        <v>0.51602263946945226</v>
      </c>
      <c r="AC1152">
        <f>C1152/(G1152-K1152)</f>
        <v>0.55170279857812465</v>
      </c>
      <c r="AD1152">
        <f>Q1152/E1152</f>
        <v>0.67372807017543856</v>
      </c>
      <c r="AE1152">
        <f>Q1152/J1152</f>
        <v>0.48574482348625708</v>
      </c>
      <c r="AF1152">
        <f>Q1152/G1152</f>
        <v>5.2424760349803284E-2</v>
      </c>
      <c r="AG1152">
        <f>Q1152/K1152</f>
        <v>0.81061541546612625</v>
      </c>
      <c r="AH1152">
        <f>Q1152/L1152</f>
        <v>6.0980547836443035</v>
      </c>
      <c r="AI1152" s="1">
        <f>R1152</f>
        <v>1.8</v>
      </c>
      <c r="AJ1152" s="1">
        <f>P1152</f>
        <v>578199</v>
      </c>
    </row>
    <row r="1153" spans="1:36" x14ac:dyDescent="0.25">
      <c r="A1153" t="s">
        <v>168</v>
      </c>
      <c r="B1153">
        <v>2021</v>
      </c>
      <c r="C1153" s="1">
        <v>959000</v>
      </c>
      <c r="D1153" s="1">
        <v>188000</v>
      </c>
      <c r="E1153" s="1">
        <v>149000</v>
      </c>
      <c r="G1153" s="1">
        <v>1719062</v>
      </c>
      <c r="H1153" s="1">
        <v>1057000</v>
      </c>
      <c r="I1153" s="1">
        <v>113813</v>
      </c>
      <c r="J1153" s="1">
        <v>290344</v>
      </c>
      <c r="K1153" s="1">
        <v>222151</v>
      </c>
      <c r="L1153" s="1">
        <v>66481</v>
      </c>
      <c r="M1153" s="1">
        <v>11885</v>
      </c>
      <c r="O1153" s="1">
        <v>1428718</v>
      </c>
      <c r="P1153" s="1">
        <v>699983</v>
      </c>
      <c r="Q1153" s="1">
        <v>249803</v>
      </c>
      <c r="R1153" s="1">
        <v>5.2</v>
      </c>
      <c r="T1153">
        <f>E1153/G1153</f>
        <v>8.6675175182745007E-2</v>
      </c>
      <c r="U1153">
        <f>D1153/C1153</f>
        <v>0.19603753910323254</v>
      </c>
      <c r="V1153">
        <f>(E1153-F1153)/O1153</f>
        <v>0.10428929991782843</v>
      </c>
      <c r="W1153">
        <f>H1153/K1153</f>
        <v>4.758024946995512</v>
      </c>
      <c r="X1153">
        <f>(H1153-I1153)/K1153</f>
        <v>4.2457022475703461</v>
      </c>
      <c r="Y1153">
        <f>(H1153-K1153)/G1153</f>
        <v>0.48564216997409054</v>
      </c>
      <c r="Z1153" t="e">
        <f>J1153/N1153</f>
        <v>#DIV/0!</v>
      </c>
      <c r="AA1153">
        <f>J1153/G1153</f>
        <v>0.16889675881381824</v>
      </c>
      <c r="AB1153">
        <f>C1153/G1153</f>
        <v>0.55786236912921117</v>
      </c>
      <c r="AC1153">
        <f>C1153/(G1153-K1153)</f>
        <v>0.64065265069199173</v>
      </c>
      <c r="AD1153">
        <f>Q1153/E1153</f>
        <v>1.6765302013422818</v>
      </c>
      <c r="AE1153">
        <f>Q1153/J1153</f>
        <v>0.86036907943680596</v>
      </c>
      <c r="AF1153">
        <f>Q1153/G1153</f>
        <v>0.14531354890050505</v>
      </c>
      <c r="AG1153">
        <f>Q1153/K1153</f>
        <v>1.1244738938829895</v>
      </c>
      <c r="AH1153">
        <f>Q1153/L1153</f>
        <v>3.7575096644153967</v>
      </c>
      <c r="AI1153" s="1">
        <f>R1153</f>
        <v>5.2</v>
      </c>
      <c r="AJ1153" s="1">
        <f>P1153</f>
        <v>699983</v>
      </c>
    </row>
    <row r="1154" spans="1:36" x14ac:dyDescent="0.25">
      <c r="A1154" t="s">
        <v>168</v>
      </c>
      <c r="B1154">
        <v>2022</v>
      </c>
      <c r="C1154" s="1">
        <v>1147000</v>
      </c>
      <c r="D1154" s="1">
        <v>278000</v>
      </c>
      <c r="E1154" s="1">
        <v>215000</v>
      </c>
      <c r="G1154" s="1">
        <v>1957491</v>
      </c>
      <c r="H1154" s="1">
        <v>1297000</v>
      </c>
      <c r="I1154" s="1">
        <v>241849</v>
      </c>
      <c r="J1154" s="1">
        <v>338174</v>
      </c>
      <c r="K1154" s="1">
        <v>268629</v>
      </c>
      <c r="L1154" s="1">
        <v>25169</v>
      </c>
      <c r="M1154" s="1">
        <v>13616</v>
      </c>
      <c r="O1154" s="1">
        <v>1619317</v>
      </c>
      <c r="P1154" s="1">
        <v>890581</v>
      </c>
      <c r="Q1154" s="1">
        <v>47284</v>
      </c>
      <c r="R1154" s="1">
        <v>4.5999999999999996</v>
      </c>
      <c r="T1154">
        <f>E1154/G1154</f>
        <v>0.10983447688903807</v>
      </c>
      <c r="U1154">
        <f>D1154/C1154</f>
        <v>0.24237140366172624</v>
      </c>
      <c r="V1154">
        <f>(E1154-F1154)/O1154</f>
        <v>0.13277202672484759</v>
      </c>
      <c r="W1154">
        <f>H1154/K1154</f>
        <v>4.8282203336199743</v>
      </c>
      <c r="X1154">
        <f>(H1154-I1154)/K1154</f>
        <v>3.9279117295600998</v>
      </c>
      <c r="Y1154">
        <f>(H1154-K1154)/G1154</f>
        <v>0.52535158526910208</v>
      </c>
      <c r="Z1154" t="e">
        <f>J1154/N1154</f>
        <v>#DIV/0!</v>
      </c>
      <c r="AA1154">
        <f>J1154/G1154</f>
        <v>0.172758904127784</v>
      </c>
      <c r="AB1154">
        <f>C1154/G1154</f>
        <v>0.58595416275221701</v>
      </c>
      <c r="AC1154">
        <f>C1154/(G1154-K1154)</f>
        <v>0.67915554971335723</v>
      </c>
      <c r="AD1154">
        <f>Q1154/E1154</f>
        <v>0.21992558139534885</v>
      </c>
      <c r="AE1154">
        <f>Q1154/J1154</f>
        <v>0.13982151200269682</v>
      </c>
      <c r="AF1154">
        <f>Q1154/G1154</f>
        <v>2.41554111870757E-2</v>
      </c>
      <c r="AG1154">
        <f>Q1154/K1154</f>
        <v>0.17601971492281177</v>
      </c>
      <c r="AH1154">
        <f>Q1154/L1154</f>
        <v>1.8786602566649451</v>
      </c>
      <c r="AI1154" s="1">
        <f>R1154</f>
        <v>4.5999999999999996</v>
      </c>
      <c r="AJ1154" s="1">
        <f>P1154</f>
        <v>890581</v>
      </c>
    </row>
    <row r="1155" spans="1:36" x14ac:dyDescent="0.25">
      <c r="A1155" t="s">
        <v>168</v>
      </c>
      <c r="B1155">
        <v>2023</v>
      </c>
      <c r="C1155" s="1">
        <v>2120320</v>
      </c>
      <c r="D1155" s="1">
        <v>575000</v>
      </c>
      <c r="E1155" s="1">
        <v>460000</v>
      </c>
      <c r="G1155" s="1">
        <v>3034434.1409999998</v>
      </c>
      <c r="H1155" s="1">
        <v>2175000</v>
      </c>
      <c r="I1155" s="1">
        <v>480634</v>
      </c>
      <c r="J1155" s="1">
        <v>843199</v>
      </c>
      <c r="K1155" s="1">
        <v>732983</v>
      </c>
      <c r="L1155" s="1">
        <v>49510</v>
      </c>
      <c r="M1155" s="1">
        <v>22194</v>
      </c>
      <c r="O1155" s="1">
        <v>2191235.1409999998</v>
      </c>
      <c r="P1155" s="1">
        <v>1314208</v>
      </c>
      <c r="Q1155" s="1">
        <v>293890</v>
      </c>
      <c r="R1155" s="1">
        <v>6.9</v>
      </c>
      <c r="T1155">
        <f>E1155/G1155</f>
        <v>0.15159333787630228</v>
      </c>
      <c r="U1155">
        <f>D1155/C1155</f>
        <v>0.27118548143676424</v>
      </c>
      <c r="V1155">
        <f>(E1155-F1155)/O1155</f>
        <v>0.20992726494431482</v>
      </c>
      <c r="W1155">
        <f>H1155/K1155</f>
        <v>2.9673266637834712</v>
      </c>
      <c r="X1155">
        <f>(H1155-I1155)/K1155</f>
        <v>2.3116034069002964</v>
      </c>
      <c r="Y1155">
        <f>(H1155-K1155)/G1155</f>
        <v>0.47521776153124295</v>
      </c>
      <c r="Z1155" t="e">
        <f>J1155/N1155</f>
        <v>#DIV/0!</v>
      </c>
      <c r="AA1155">
        <f>J1155/G1155</f>
        <v>0.27787684979121779</v>
      </c>
      <c r="AB1155">
        <f>C1155/G1155</f>
        <v>0.69875301340408957</v>
      </c>
      <c r="AC1155">
        <f>C1155/(G1155-K1155)</f>
        <v>0.9212969861609589</v>
      </c>
      <c r="AD1155">
        <f>Q1155/E1155</f>
        <v>0.63889130434782604</v>
      </c>
      <c r="AE1155">
        <f>Q1155/J1155</f>
        <v>0.34854168470313651</v>
      </c>
      <c r="AF1155">
        <f>Q1155/G1155</f>
        <v>9.6851665366231465E-2</v>
      </c>
      <c r="AG1155">
        <f>Q1155/K1155</f>
        <v>0.40095063596290775</v>
      </c>
      <c r="AH1155">
        <f>Q1155/L1155</f>
        <v>5.935972530801858</v>
      </c>
      <c r="AI1155" s="1">
        <f>R1155</f>
        <v>6.9</v>
      </c>
      <c r="AJ1155" s="1">
        <f>P1155</f>
        <v>1314208</v>
      </c>
    </row>
    <row r="1156" spans="1:36" x14ac:dyDescent="0.25">
      <c r="A1156" t="s">
        <v>168</v>
      </c>
      <c r="B1156">
        <v>2024</v>
      </c>
      <c r="C1156" s="1">
        <v>1801703</v>
      </c>
      <c r="D1156" s="1">
        <v>411000</v>
      </c>
      <c r="E1156" s="1">
        <v>263000</v>
      </c>
      <c r="G1156" s="1">
        <v>3042060</v>
      </c>
      <c r="H1156" s="1">
        <v>2189000</v>
      </c>
      <c r="I1156" s="1">
        <v>261028</v>
      </c>
      <c r="J1156" s="1">
        <v>643122</v>
      </c>
      <c r="K1156" s="1">
        <v>512191</v>
      </c>
      <c r="L1156" s="1">
        <v>151676</v>
      </c>
      <c r="M1156" s="1">
        <v>17723</v>
      </c>
      <c r="O1156" s="1">
        <v>2398938</v>
      </c>
      <c r="P1156" s="1">
        <v>1521910</v>
      </c>
      <c r="Q1156" s="1">
        <v>242229</v>
      </c>
      <c r="R1156" s="1">
        <v>5.7</v>
      </c>
      <c r="T1156">
        <f>E1156/G1156</f>
        <v>8.6454573545557939E-2</v>
      </c>
      <c r="U1156">
        <f>D1156/C1156</f>
        <v>0.22811750882359635</v>
      </c>
      <c r="V1156">
        <f>(E1156-F1156)/O1156</f>
        <v>0.10963184542493387</v>
      </c>
      <c r="W1156">
        <f>H1156/K1156</f>
        <v>4.2737962986464035</v>
      </c>
      <c r="X1156">
        <f>(H1156-I1156)/K1156</f>
        <v>3.7641661020986312</v>
      </c>
      <c r="Y1156">
        <f>(H1156-K1156)/G1156</f>
        <v>0.55120839168195235</v>
      </c>
      <c r="Z1156" t="e">
        <f>J1156/N1156</f>
        <v>#DIV/0!</v>
      </c>
      <c r="AA1156">
        <f>J1156/G1156</f>
        <v>0.21141003136032821</v>
      </c>
      <c r="AB1156">
        <f>C1156/G1156</f>
        <v>0.59226412365305092</v>
      </c>
      <c r="AC1156">
        <f>C1156/(G1156-K1156)</f>
        <v>0.71217244845484096</v>
      </c>
      <c r="AD1156">
        <f>Q1156/E1156</f>
        <v>0.92102281368821293</v>
      </c>
      <c r="AE1156">
        <f>Q1156/J1156</f>
        <v>0.37664548872531184</v>
      </c>
      <c r="AF1156">
        <f>Q1156/G1156</f>
        <v>7.9626634583144312E-2</v>
      </c>
      <c r="AG1156">
        <f>Q1156/K1156</f>
        <v>0.4729270916513566</v>
      </c>
      <c r="AH1156">
        <f>Q1156/L1156</f>
        <v>1.5970160078061131</v>
      </c>
      <c r="AI1156" s="1">
        <f>R1156</f>
        <v>5.7</v>
      </c>
      <c r="AJ1156" s="1">
        <f>P1156</f>
        <v>1521910</v>
      </c>
    </row>
    <row r="1157" spans="1:36" x14ac:dyDescent="0.25">
      <c r="A1157" t="s">
        <v>206</v>
      </c>
      <c r="B1157">
        <v>2018</v>
      </c>
      <c r="C1157" s="1">
        <v>3085143</v>
      </c>
      <c r="D1157" s="1">
        <v>187929</v>
      </c>
      <c r="E1157" s="1">
        <v>139154</v>
      </c>
      <c r="G1157" s="1">
        <v>4536467</v>
      </c>
      <c r="H1157" s="1">
        <v>616642</v>
      </c>
      <c r="I1157" s="1">
        <v>74053</v>
      </c>
      <c r="J1157" s="1">
        <v>1209551</v>
      </c>
      <c r="K1157" s="1">
        <v>1209551</v>
      </c>
      <c r="L1157" s="1">
        <v>1257972</v>
      </c>
      <c r="M1157" s="1">
        <v>510618</v>
      </c>
      <c r="N1157" s="1">
        <v>3326916</v>
      </c>
      <c r="O1157" s="1">
        <v>3326916</v>
      </c>
      <c r="P1157" s="1">
        <v>793072</v>
      </c>
      <c r="Q1157" s="1">
        <v>470356</v>
      </c>
      <c r="R1157" s="1">
        <v>18</v>
      </c>
      <c r="T1157">
        <f>E1157/G1157</f>
        <v>3.0674531524201541E-2</v>
      </c>
      <c r="U1157">
        <f>D1157/C1157</f>
        <v>6.0914194252908213E-2</v>
      </c>
      <c r="V1157">
        <f>(E1157-F1157)/O1157</f>
        <v>4.1826724810605377E-2</v>
      </c>
      <c r="W1157">
        <f>H1157/K1157</f>
        <v>0.50981066527992613</v>
      </c>
      <c r="X1157">
        <f>(H1157-I1157)/K1157</f>
        <v>0.44858712034465681</v>
      </c>
      <c r="Y1157">
        <f>(H1157-K1157)/G1157</f>
        <v>-0.13069840472773195</v>
      </c>
      <c r="Z1157">
        <f>J1157/N1157</f>
        <v>0.36356523579194666</v>
      </c>
      <c r="AA1157">
        <f>J1157/G1157</f>
        <v>0.26662841369726709</v>
      </c>
      <c r="AB1157">
        <f>C1157/G1157</f>
        <v>0.68007614736313526</v>
      </c>
      <c r="AC1157">
        <f>C1157/(G1157-K1157)</f>
        <v>0.92732819223569218</v>
      </c>
      <c r="AD1157">
        <f>Q1157/E1157</f>
        <v>3.3801112436581056</v>
      </c>
      <c r="AE1157">
        <f>Q1157/J1157</f>
        <v>0.38886826599291802</v>
      </c>
      <c r="AF1157">
        <f>Q1157/G1157</f>
        <v>0.10368332889889864</v>
      </c>
      <c r="AG1157">
        <f>Q1157/K1157</f>
        <v>0.38886826599291802</v>
      </c>
      <c r="AH1157">
        <f>Q1157/L1157</f>
        <v>0.37390021399522405</v>
      </c>
      <c r="AI1157" s="1">
        <f>R1157</f>
        <v>18</v>
      </c>
      <c r="AJ1157" s="1">
        <f>P1157</f>
        <v>793072</v>
      </c>
    </row>
    <row r="1158" spans="1:36" x14ac:dyDescent="0.25">
      <c r="A1158" t="s">
        <v>206</v>
      </c>
      <c r="B1158">
        <v>2019</v>
      </c>
      <c r="C1158" s="1">
        <v>2956631</v>
      </c>
      <c r="D1158" s="1">
        <v>172788</v>
      </c>
      <c r="E1158" s="1">
        <v>100775</v>
      </c>
      <c r="G1158" s="1">
        <v>4312490</v>
      </c>
      <c r="H1158" s="1">
        <v>604694</v>
      </c>
      <c r="I1158" s="1">
        <v>70107</v>
      </c>
      <c r="J1158" s="1">
        <v>852301</v>
      </c>
      <c r="K1158" s="1">
        <v>852301</v>
      </c>
      <c r="L1158" s="1">
        <v>1014056</v>
      </c>
      <c r="M1158" s="1">
        <v>550610</v>
      </c>
      <c r="N1158" s="1">
        <v>3460189</v>
      </c>
      <c r="O1158" s="1">
        <v>3460189</v>
      </c>
      <c r="P1158" s="1">
        <v>911606</v>
      </c>
      <c r="Q1158" s="1">
        <v>334244</v>
      </c>
      <c r="R1158" s="1">
        <v>12.8</v>
      </c>
      <c r="T1158">
        <f>E1158/G1158</f>
        <v>2.3368170129090156E-2</v>
      </c>
      <c r="U1158">
        <f>D1158/C1158</f>
        <v>5.8440840267182478E-2</v>
      </c>
      <c r="V1158">
        <f>(E1158-F1158)/O1158</f>
        <v>2.9124131658704193E-2</v>
      </c>
      <c r="W1158">
        <f>H1158/K1158</f>
        <v>0.70948409071443075</v>
      </c>
      <c r="X1158">
        <f>(H1158-I1158)/K1158</f>
        <v>0.62722793942515609</v>
      </c>
      <c r="Y1158">
        <f>(H1158-K1158)/G1158</f>
        <v>-5.7416249081157292E-2</v>
      </c>
      <c r="Z1158">
        <f>J1158/N1158</f>
        <v>0.24631631393545267</v>
      </c>
      <c r="AA1158">
        <f>J1158/G1158</f>
        <v>0.19763547277790788</v>
      </c>
      <c r="AB1158">
        <f>C1158/G1158</f>
        <v>0.68559718399347014</v>
      </c>
      <c r="AC1158">
        <f>C1158/(G1158-K1158)</f>
        <v>0.85447095519926797</v>
      </c>
      <c r="AD1158">
        <f>Q1158/E1158</f>
        <v>3.3167353014140413</v>
      </c>
      <c r="AE1158">
        <f>Q1158/J1158</f>
        <v>0.39216661719275231</v>
      </c>
      <c r="AF1158">
        <f>Q1158/G1158</f>
        <v>7.7506034796602424E-2</v>
      </c>
      <c r="AG1158">
        <f>Q1158/K1158</f>
        <v>0.39216661719275231</v>
      </c>
      <c r="AH1158">
        <f>Q1158/L1158</f>
        <v>0.32961098795332799</v>
      </c>
      <c r="AI1158" s="1">
        <f>R1158</f>
        <v>12.8</v>
      </c>
      <c r="AJ1158" s="1">
        <f>P1158</f>
        <v>911606</v>
      </c>
    </row>
    <row r="1159" spans="1:36" x14ac:dyDescent="0.25">
      <c r="A1159" t="s">
        <v>206</v>
      </c>
      <c r="B1159">
        <v>2020</v>
      </c>
      <c r="C1159" s="1">
        <v>1843754</v>
      </c>
      <c r="D1159" s="1">
        <v>-405133</v>
      </c>
      <c r="E1159" s="1">
        <v>-392849</v>
      </c>
      <c r="G1159" s="1">
        <v>4581621</v>
      </c>
      <c r="H1159" s="1">
        <v>462727</v>
      </c>
      <c r="I1159" s="1">
        <v>84878</v>
      </c>
      <c r="J1159" s="1">
        <v>1453140</v>
      </c>
      <c r="K1159" s="1">
        <v>1453140</v>
      </c>
      <c r="L1159" s="1">
        <v>1275354</v>
      </c>
      <c r="M1159" s="1">
        <v>574469</v>
      </c>
      <c r="N1159" s="1">
        <v>3128481</v>
      </c>
      <c r="O1159" s="1">
        <v>3128481</v>
      </c>
      <c r="P1159" s="1">
        <v>565212</v>
      </c>
      <c r="Q1159" s="1">
        <v>337398</v>
      </c>
      <c r="R1159" s="1">
        <v>8.6999999999999993</v>
      </c>
      <c r="T1159">
        <f>E1159/G1159</f>
        <v>-8.5744543252268143E-2</v>
      </c>
      <c r="U1159">
        <f>D1159/C1159</f>
        <v>-0.21973267583419481</v>
      </c>
      <c r="V1159">
        <f>(E1159-F1159)/O1159</f>
        <v>-0.12557180305713858</v>
      </c>
      <c r="W1159">
        <f>H1159/K1159</f>
        <v>0.31843249790109696</v>
      </c>
      <c r="X1159">
        <f>(H1159-I1159)/K1159</f>
        <v>0.26002243417702353</v>
      </c>
      <c r="Y1159">
        <f>(H1159-K1159)/G1159</f>
        <v>-0.21617087052813841</v>
      </c>
      <c r="Z1159">
        <f>J1159/N1159</f>
        <v>0.46448739819739993</v>
      </c>
      <c r="AA1159">
        <f>J1159/G1159</f>
        <v>0.31716722094647287</v>
      </c>
      <c r="AB1159">
        <f>C1159/G1159</f>
        <v>0.40242394558607097</v>
      </c>
      <c r="AC1159">
        <f>C1159/(G1159-K1159)</f>
        <v>0.58934479704367715</v>
      </c>
      <c r="AD1159">
        <f>Q1159/E1159</f>
        <v>-0.85884907432626789</v>
      </c>
      <c r="AE1159">
        <f>Q1159/J1159</f>
        <v>0.23218547421445973</v>
      </c>
      <c r="AF1159">
        <f>Q1159/G1159</f>
        <v>7.3641621600739129E-2</v>
      </c>
      <c r="AG1159">
        <f>Q1159/K1159</f>
        <v>0.23218547421445973</v>
      </c>
      <c r="AH1159">
        <f>Q1159/L1159</f>
        <v>0.26455243014880575</v>
      </c>
      <c r="AI1159" s="1">
        <f>R1159</f>
        <v>8.6999999999999993</v>
      </c>
      <c r="AJ1159" s="1">
        <f>P1159</f>
        <v>565212</v>
      </c>
    </row>
    <row r="1160" spans="1:36" x14ac:dyDescent="0.25">
      <c r="A1160" t="s">
        <v>206</v>
      </c>
      <c r="B1160">
        <v>2021</v>
      </c>
      <c r="C1160" s="1">
        <v>777923</v>
      </c>
      <c r="D1160" s="1">
        <v>-881394</v>
      </c>
      <c r="E1160" s="1">
        <v>-426836</v>
      </c>
      <c r="G1160" s="1">
        <v>4116182</v>
      </c>
      <c r="H1160" s="1">
        <v>240910</v>
      </c>
      <c r="I1160" s="1">
        <v>71931</v>
      </c>
      <c r="J1160" s="1">
        <v>1387469</v>
      </c>
      <c r="K1160" s="1">
        <v>1387469</v>
      </c>
      <c r="L1160" s="1">
        <v>1651173</v>
      </c>
      <c r="M1160" s="1">
        <v>1049209</v>
      </c>
      <c r="N1160" s="1">
        <v>2728713</v>
      </c>
      <c r="O1160" s="1">
        <v>2728713</v>
      </c>
      <c r="P1160" s="1">
        <v>-167943</v>
      </c>
      <c r="Q1160" s="1">
        <v>-368227</v>
      </c>
      <c r="R1160" s="1">
        <v>6</v>
      </c>
      <c r="T1160">
        <f>E1160/G1160</f>
        <v>-0.10369706684495486</v>
      </c>
      <c r="U1160">
        <f>D1160/C1160</f>
        <v>-1.1330093081191841</v>
      </c>
      <c r="V1160">
        <f>(E1160-F1160)/O1160</f>
        <v>-0.15642392585808768</v>
      </c>
      <c r="W1160">
        <f>H1160/K1160</f>
        <v>0.17363270819023705</v>
      </c>
      <c r="X1160">
        <f>(H1160-I1160)/K1160</f>
        <v>0.12178938772686092</v>
      </c>
      <c r="Y1160">
        <f>(H1160-K1160)/G1160</f>
        <v>-0.27854915064494234</v>
      </c>
      <c r="Z1160">
        <f>J1160/N1160</f>
        <v>0.50847011026810074</v>
      </c>
      <c r="AA1160">
        <f>J1160/G1160</f>
        <v>0.3370766890288136</v>
      </c>
      <c r="AB1160">
        <f>C1160/G1160</f>
        <v>0.18899140028307787</v>
      </c>
      <c r="AC1160">
        <f>C1160/(G1160-K1160)</f>
        <v>0.28508787842473721</v>
      </c>
      <c r="AD1160">
        <f>Q1160/E1160</f>
        <v>0.86268965129464248</v>
      </c>
      <c r="AE1160">
        <f>Q1160/J1160</f>
        <v>-0.2653947583693762</v>
      </c>
      <c r="AF1160">
        <f>Q1160/G1160</f>
        <v>-8.9458386436751344E-2</v>
      </c>
      <c r="AG1160">
        <f>Q1160/K1160</f>
        <v>-0.2653947583693762</v>
      </c>
      <c r="AH1160">
        <f>Q1160/L1160</f>
        <v>-0.22300933942112669</v>
      </c>
      <c r="AI1160" s="1">
        <f>R1160</f>
        <v>6</v>
      </c>
      <c r="AJ1160" s="1">
        <f>P1160</f>
        <v>-167943</v>
      </c>
    </row>
    <row r="1161" spans="1:36" x14ac:dyDescent="0.25">
      <c r="A1161" t="s">
        <v>206</v>
      </c>
      <c r="B1161">
        <v>2022</v>
      </c>
      <c r="C1161" s="1">
        <v>2021666</v>
      </c>
      <c r="D1161" s="1">
        <v>-456538</v>
      </c>
      <c r="E1161" s="1">
        <v>-426836</v>
      </c>
      <c r="G1161" s="1">
        <v>4304324</v>
      </c>
      <c r="H1161" s="1">
        <v>535372</v>
      </c>
      <c r="I1161" s="1">
        <v>114117</v>
      </c>
      <c r="J1161" s="1">
        <v>1968621</v>
      </c>
      <c r="K1161" s="1">
        <v>1968621</v>
      </c>
      <c r="L1161" s="1">
        <v>2011883</v>
      </c>
      <c r="M1161" s="1">
        <v>1036859</v>
      </c>
      <c r="N1161" s="1">
        <v>2335703</v>
      </c>
      <c r="O1161" s="1">
        <v>2335703</v>
      </c>
      <c r="P1161" s="1">
        <v>-579342</v>
      </c>
      <c r="Q1161" s="1">
        <v>-124904</v>
      </c>
      <c r="R1161" s="1">
        <v>8</v>
      </c>
      <c r="T1161">
        <f>E1161/G1161</f>
        <v>-9.9164468102308279E-2</v>
      </c>
      <c r="U1161">
        <f>D1161/C1161</f>
        <v>-0.22582266309073804</v>
      </c>
      <c r="V1161">
        <f>(E1161-F1161)/O1161</f>
        <v>-0.18274412457405759</v>
      </c>
      <c r="W1161">
        <f>H1161/K1161</f>
        <v>0.27195280351068085</v>
      </c>
      <c r="X1161">
        <f>(H1161-I1161)/K1161</f>
        <v>0.2139848147510364</v>
      </c>
      <c r="Y1161">
        <f>(H1161-K1161)/G1161</f>
        <v>-0.3329788835598807</v>
      </c>
      <c r="Z1161">
        <f>J1161/N1161</f>
        <v>0.84283875133096975</v>
      </c>
      <c r="AA1161">
        <f>J1161/G1161</f>
        <v>0.45735892558273961</v>
      </c>
      <c r="AB1161">
        <f>C1161/G1161</f>
        <v>0.46968257965710758</v>
      </c>
      <c r="AC1161">
        <f>C1161/(G1161-K1161)</f>
        <v>0.86554925861721288</v>
      </c>
      <c r="AD1161">
        <f>Q1161/E1161</f>
        <v>0.29262761341592558</v>
      </c>
      <c r="AE1161">
        <f>Q1161/J1161</f>
        <v>-6.3447458906513751E-2</v>
      </c>
      <c r="AF1161">
        <f>Q1161/G1161</f>
        <v>-2.9018261636438149E-2</v>
      </c>
      <c r="AG1161">
        <f>Q1161/K1161</f>
        <v>-6.3447458906513751E-2</v>
      </c>
      <c r="AH1161">
        <f>Q1161/L1161</f>
        <v>-6.2083133064894928E-2</v>
      </c>
      <c r="AI1161" s="1">
        <f>R1161</f>
        <v>8</v>
      </c>
      <c r="AJ1161" s="1">
        <f>P1161</f>
        <v>-579342</v>
      </c>
    </row>
    <row r="1162" spans="1:36" x14ac:dyDescent="0.25">
      <c r="A1162" t="s">
        <v>206</v>
      </c>
      <c r="B1162">
        <v>2023</v>
      </c>
      <c r="C1162" s="1">
        <v>3817614</v>
      </c>
      <c r="D1162" s="1">
        <v>-404852</v>
      </c>
      <c r="E1162" s="1">
        <v>-552473</v>
      </c>
      <c r="G1162" s="1">
        <v>4443253</v>
      </c>
      <c r="H1162" s="1">
        <v>783280</v>
      </c>
      <c r="I1162" s="1">
        <v>167973</v>
      </c>
      <c r="J1162" s="1">
        <v>2626303</v>
      </c>
      <c r="K1162" s="1">
        <v>2626303</v>
      </c>
      <c r="L1162" s="1">
        <v>2244640</v>
      </c>
      <c r="M1162" s="1">
        <v>918580</v>
      </c>
      <c r="N1162" s="1">
        <v>1816950</v>
      </c>
      <c r="O1162" s="1">
        <v>1816950</v>
      </c>
      <c r="P1162" s="1">
        <v>-1143155</v>
      </c>
      <c r="Q1162" s="1">
        <v>121011</v>
      </c>
      <c r="R1162" s="1">
        <v>9.9</v>
      </c>
      <c r="T1162">
        <f>E1162/G1162</f>
        <v>-0.12433975738045977</v>
      </c>
      <c r="U1162">
        <f>D1162/C1162</f>
        <v>-0.10604843758431313</v>
      </c>
      <c r="V1162">
        <f>(E1162-F1162)/O1162</f>
        <v>-0.30406615481989047</v>
      </c>
      <c r="W1162">
        <f>H1162/K1162</f>
        <v>0.29824433814377094</v>
      </c>
      <c r="X1162">
        <f>(H1162-I1162)/K1162</f>
        <v>0.23428637137451391</v>
      </c>
      <c r="Y1162">
        <f>(H1162-K1162)/G1162</f>
        <v>-0.41479137019656542</v>
      </c>
      <c r="Z1162">
        <f>J1162/N1162</f>
        <v>1.4454459396240953</v>
      </c>
      <c r="AA1162">
        <f>J1162/G1162</f>
        <v>0.59107662786701543</v>
      </c>
      <c r="AB1162">
        <f>C1162/G1162</f>
        <v>0.85919347829169301</v>
      </c>
      <c r="AC1162">
        <f>C1162/(G1162-K1162)</f>
        <v>2.1011112028399239</v>
      </c>
      <c r="AD1162">
        <f>Q1162/E1162</f>
        <v>-0.21903513836875285</v>
      </c>
      <c r="AE1162">
        <f>Q1162/J1162</f>
        <v>4.6076557046159566E-2</v>
      </c>
      <c r="AF1162">
        <f>Q1162/G1162</f>
        <v>2.7234775962566165E-2</v>
      </c>
      <c r="AG1162">
        <f>Q1162/K1162</f>
        <v>4.6076557046159566E-2</v>
      </c>
      <c r="AH1162">
        <f>Q1162/L1162</f>
        <v>5.3911094874901991E-2</v>
      </c>
      <c r="AI1162" s="1">
        <f>R1162</f>
        <v>9.9</v>
      </c>
      <c r="AJ1162" s="1">
        <f>P1162</f>
        <v>-1143155</v>
      </c>
    </row>
    <row r="1163" spans="1:36" x14ac:dyDescent="0.25">
      <c r="A1163" t="s">
        <v>206</v>
      </c>
      <c r="B1163">
        <v>2024</v>
      </c>
      <c r="C1163" s="1">
        <v>5266787</v>
      </c>
      <c r="D1163" s="1">
        <v>254653</v>
      </c>
      <c r="E1163" s="1">
        <v>264085</v>
      </c>
      <c r="G1163" s="1">
        <v>5822351</v>
      </c>
      <c r="H1163" s="1">
        <v>1293218</v>
      </c>
      <c r="I1163" s="1">
        <v>170410</v>
      </c>
      <c r="J1163" s="1">
        <v>2461113</v>
      </c>
      <c r="K1163" s="1">
        <v>2461113</v>
      </c>
      <c r="L1163" s="1">
        <v>1971391</v>
      </c>
      <c r="M1163" s="1">
        <v>1260367</v>
      </c>
      <c r="N1163" s="1">
        <v>3361238</v>
      </c>
      <c r="O1163" s="1">
        <v>3361238</v>
      </c>
      <c r="P1163" s="1">
        <v>-842609</v>
      </c>
      <c r="Q1163" s="1">
        <v>377704</v>
      </c>
      <c r="R1163" s="1">
        <v>10.8</v>
      </c>
      <c r="T1163">
        <f>E1163/G1163</f>
        <v>4.5357107463978037E-2</v>
      </c>
      <c r="U1163">
        <f>D1163/C1163</f>
        <v>4.835073072064619E-2</v>
      </c>
      <c r="V1163">
        <f>(E1163-F1163)/O1163</f>
        <v>7.8567777705714381E-2</v>
      </c>
      <c r="W1163">
        <f>H1163/K1163</f>
        <v>0.52546063508664576</v>
      </c>
      <c r="X1163">
        <f>(H1163-I1163)/K1163</f>
        <v>0.45621960470730111</v>
      </c>
      <c r="Y1163">
        <f>(H1163-K1163)/G1163</f>
        <v>-0.20058821599728358</v>
      </c>
      <c r="Z1163">
        <f>J1163/N1163</f>
        <v>0.73220432471607189</v>
      </c>
      <c r="AA1163">
        <f>J1163/G1163</f>
        <v>0.42270089865760413</v>
      </c>
      <c r="AB1163">
        <f>C1163/G1163</f>
        <v>0.90458081280225122</v>
      </c>
      <c r="AC1163">
        <f>C1163/(G1163-K1163)</f>
        <v>1.566918795991239</v>
      </c>
      <c r="AD1163">
        <f>Q1163/E1163</f>
        <v>1.4302364768919098</v>
      </c>
      <c r="AE1163">
        <f>Q1163/J1163</f>
        <v>0.15346877611877227</v>
      </c>
      <c r="AF1163">
        <f>Q1163/G1163</f>
        <v>6.48713895812877E-2</v>
      </c>
      <c r="AG1163">
        <f>Q1163/K1163</f>
        <v>0.15346877611877227</v>
      </c>
      <c r="AH1163">
        <f>Q1163/L1163</f>
        <v>0.19159263687416653</v>
      </c>
      <c r="AI1163" s="1">
        <f>R1163</f>
        <v>10.8</v>
      </c>
      <c r="AJ1163" s="1">
        <f>P1163</f>
        <v>-842609</v>
      </c>
    </row>
    <row r="1164" spans="1:36" x14ac:dyDescent="0.25">
      <c r="A1164" s="15" t="s">
        <v>139</v>
      </c>
      <c r="B1164" s="15">
        <v>2018</v>
      </c>
      <c r="C1164" s="6">
        <v>9669</v>
      </c>
      <c r="D1164" s="6">
        <v>447106</v>
      </c>
      <c r="E1164" s="6">
        <v>561232</v>
      </c>
      <c r="F1164" s="6"/>
      <c r="G1164" s="6">
        <v>4823962</v>
      </c>
      <c r="H1164" s="6">
        <v>1536893</v>
      </c>
      <c r="I1164" s="6"/>
      <c r="J1164" s="6">
        <v>528666</v>
      </c>
      <c r="K1164" s="6">
        <v>470781</v>
      </c>
      <c r="L1164" s="6"/>
      <c r="M1164" s="6"/>
      <c r="N1164" s="6">
        <v>4295296</v>
      </c>
      <c r="O1164" s="6">
        <v>4295296</v>
      </c>
      <c r="P1164" s="6">
        <v>3667262</v>
      </c>
      <c r="Q1164" s="6">
        <v>-131247</v>
      </c>
      <c r="R1164" s="6">
        <v>84</v>
      </c>
      <c r="S1164" s="15"/>
      <c r="T1164" s="15">
        <f>E1164/G1164</f>
        <v>0.11634254167010437</v>
      </c>
      <c r="U1164" s="15">
        <f>D1164/C1164</f>
        <v>46.24118316268487</v>
      </c>
      <c r="V1164" s="15">
        <f>(E1164-F1164)/O1164</f>
        <v>0.1306620079268111</v>
      </c>
      <c r="W1164" s="15">
        <f>H1164/K1164</f>
        <v>3.2645603794545659</v>
      </c>
      <c r="X1164" s="15">
        <f>(H1164-I1164)/K1164</f>
        <v>3.2645603794545659</v>
      </c>
      <c r="Y1164" s="15">
        <f>(H1164-K1164)/G1164</f>
        <v>0.22100339928050844</v>
      </c>
      <c r="Z1164" s="15">
        <f>J1164/N1164</f>
        <v>0.12308022543731562</v>
      </c>
      <c r="AA1164" s="15">
        <f>J1164/G1164</f>
        <v>0.10959165930411557</v>
      </c>
      <c r="AB1164" s="15">
        <f>C1164/G1164</f>
        <v>2.0043690228073938E-3</v>
      </c>
      <c r="AC1164" s="15">
        <f>C1164/(G1164-K1164)</f>
        <v>2.2211343842583157E-3</v>
      </c>
      <c r="AD1164" s="15">
        <f>Q1164/E1164</f>
        <v>-0.2338551615018388</v>
      </c>
      <c r="AE1164" s="15">
        <f>Q1164/J1164</f>
        <v>-0.24826071659611174</v>
      </c>
      <c r="AF1164" s="15">
        <f>Q1164/G1164</f>
        <v>-2.7207303871796668E-2</v>
      </c>
      <c r="AG1164" s="15">
        <f>Q1164/K1164</f>
        <v>-0.27878567741688809</v>
      </c>
      <c r="AH1164" s="15" t="e">
        <f>Q1164/L1164</f>
        <v>#DIV/0!</v>
      </c>
      <c r="AI1164" s="6">
        <f>R1164</f>
        <v>84</v>
      </c>
      <c r="AJ1164" s="6">
        <f>P1164</f>
        <v>3667262</v>
      </c>
    </row>
    <row r="1165" spans="1:36" x14ac:dyDescent="0.25">
      <c r="A1165" t="s">
        <v>139</v>
      </c>
      <c r="B1165">
        <v>2019</v>
      </c>
      <c r="C1165" s="1">
        <v>84542</v>
      </c>
      <c r="D1165" s="1">
        <v>201229</v>
      </c>
      <c r="E1165" s="1">
        <v>228805</v>
      </c>
      <c r="G1165" s="1">
        <v>4926183</v>
      </c>
      <c r="H1165" s="1">
        <v>1402124</v>
      </c>
      <c r="J1165" s="1">
        <v>423176</v>
      </c>
      <c r="K1165" s="1">
        <v>240189</v>
      </c>
      <c r="N1165" s="1">
        <v>4503007</v>
      </c>
      <c r="O1165" s="1">
        <v>4503007</v>
      </c>
      <c r="P1165" s="1">
        <v>3870555</v>
      </c>
      <c r="Q1165" s="1">
        <v>27694</v>
      </c>
      <c r="R1165" s="1">
        <v>70</v>
      </c>
      <c r="T1165">
        <f>E1165/G1165</f>
        <v>4.6446711378769323E-2</v>
      </c>
      <c r="U1165">
        <f>D1165/C1165</f>
        <v>2.3802252135033473</v>
      </c>
      <c r="V1165">
        <f>(E1165-F1165)/O1165</f>
        <v>5.081160211387635E-2</v>
      </c>
      <c r="W1165">
        <f>H1165/K1165</f>
        <v>5.8375862341739211</v>
      </c>
      <c r="X1165">
        <f>(H1165-I1165)/K1165</f>
        <v>5.8375862341739211</v>
      </c>
      <c r="Y1165">
        <f>(H1165-K1165)/G1165</f>
        <v>0.2358692318170072</v>
      </c>
      <c r="Z1165">
        <f>J1165/N1165</f>
        <v>9.3976314049700568E-2</v>
      </c>
      <c r="AA1165">
        <f>J1165/G1165</f>
        <v>8.59034266489897E-2</v>
      </c>
      <c r="AB1165">
        <f>C1165/G1165</f>
        <v>1.7161766016406618E-2</v>
      </c>
      <c r="AC1165">
        <f>C1165/(G1165-K1165)</f>
        <v>1.8041423015052942E-2</v>
      </c>
      <c r="AD1165">
        <f>Q1165/E1165</f>
        <v>0.12103756473853282</v>
      </c>
      <c r="AE1165">
        <f>Q1165/J1165</f>
        <v>6.5443219842335101E-2</v>
      </c>
      <c r="AF1165">
        <f>Q1165/G1165</f>
        <v>5.6217968353997408E-3</v>
      </c>
      <c r="AG1165">
        <f>Q1165/K1165</f>
        <v>0.11530086723372011</v>
      </c>
      <c r="AH1165" t="e">
        <f>Q1165/L1165</f>
        <v>#DIV/0!</v>
      </c>
      <c r="AI1165" s="1">
        <f>R1165</f>
        <v>70</v>
      </c>
      <c r="AJ1165" s="1">
        <f>P1165</f>
        <v>3870555</v>
      </c>
    </row>
    <row r="1166" spans="1:36" x14ac:dyDescent="0.25">
      <c r="A1166" t="s">
        <v>139</v>
      </c>
      <c r="B1166">
        <v>2020</v>
      </c>
      <c r="C1166" s="1">
        <v>168830</v>
      </c>
      <c r="D1166" s="1">
        <v>141261</v>
      </c>
      <c r="E1166" s="1">
        <v>237053</v>
      </c>
      <c r="G1166" s="1">
        <v>5175936</v>
      </c>
      <c r="H1166" s="1">
        <v>1569683</v>
      </c>
      <c r="J1166" s="1">
        <v>461461</v>
      </c>
      <c r="K1166" s="1">
        <v>228610</v>
      </c>
      <c r="N1166" s="1">
        <v>4714475</v>
      </c>
      <c r="O1166" s="1">
        <v>4714475</v>
      </c>
      <c r="P1166" s="1">
        <v>4082023</v>
      </c>
      <c r="Q1166" s="1">
        <v>205946</v>
      </c>
      <c r="R1166" s="1">
        <v>65</v>
      </c>
      <c r="T1166">
        <f>E1166/G1166</f>
        <v>4.5799059339219031E-2</v>
      </c>
      <c r="U1166">
        <f>D1166/C1166</f>
        <v>0.83670556180773559</v>
      </c>
      <c r="V1166">
        <f>(E1166-F1166)/O1166</f>
        <v>5.0281950800460287E-2</v>
      </c>
      <c r="W1166">
        <f>H1166/K1166</f>
        <v>6.8662044529985566</v>
      </c>
      <c r="X1166">
        <f>(H1166-I1166)/K1166</f>
        <v>6.8662044529985566</v>
      </c>
      <c r="Y1166">
        <f>(H1166-K1166)/G1166</f>
        <v>0.25909767817840096</v>
      </c>
      <c r="Z1166">
        <f>J1166/N1166</f>
        <v>9.7881736566637859E-2</v>
      </c>
      <c r="AA1166">
        <f>J1166/G1166</f>
        <v>8.9155082288498153E-2</v>
      </c>
      <c r="AB1166">
        <f>C1166/G1166</f>
        <v>3.2618254939782869E-2</v>
      </c>
      <c r="AC1166">
        <f>C1166/(G1166-K1166)</f>
        <v>3.4125505374014167E-2</v>
      </c>
      <c r="AD1166">
        <f>Q1166/E1166</f>
        <v>0.8687761808540706</v>
      </c>
      <c r="AE1166">
        <f>Q1166/J1166</f>
        <v>0.44629123587908837</v>
      </c>
      <c r="AF1166">
        <f>Q1166/G1166</f>
        <v>3.9789131859435667E-2</v>
      </c>
      <c r="AG1166">
        <f>Q1166/K1166</f>
        <v>0.90086172958313282</v>
      </c>
      <c r="AH1166" t="e">
        <f>Q1166/L1166</f>
        <v>#DIV/0!</v>
      </c>
      <c r="AI1166" s="1">
        <f>R1166</f>
        <v>65</v>
      </c>
      <c r="AJ1166" s="1">
        <f>P1166</f>
        <v>4082023</v>
      </c>
    </row>
    <row r="1167" spans="1:36" x14ac:dyDescent="0.25">
      <c r="A1167" t="s">
        <v>139</v>
      </c>
      <c r="B1167">
        <v>2021</v>
      </c>
      <c r="C1167" s="1">
        <v>169987</v>
      </c>
      <c r="D1167" s="1">
        <v>86795</v>
      </c>
      <c r="E1167" s="1">
        <v>181455</v>
      </c>
      <c r="G1167" s="1">
        <v>5360028</v>
      </c>
      <c r="H1167" s="1">
        <v>1771698</v>
      </c>
      <c r="J1167" s="1">
        <v>507429</v>
      </c>
      <c r="K1167" s="1">
        <v>262439</v>
      </c>
      <c r="N1167" s="1">
        <v>4852599</v>
      </c>
      <c r="O1167" s="1">
        <v>4852599</v>
      </c>
      <c r="P1167" s="1">
        <v>4237802</v>
      </c>
      <c r="Q1167" s="1">
        <v>138738</v>
      </c>
      <c r="R1167" s="1">
        <v>65</v>
      </c>
      <c r="T1167">
        <f>E1167/G1167</f>
        <v>3.3853367930167529E-2</v>
      </c>
      <c r="U1167">
        <f>D1167/C1167</f>
        <v>0.51059786924882489</v>
      </c>
      <c r="V1167">
        <f>(E1167-F1167)/O1167</f>
        <v>3.7393363844818006E-2</v>
      </c>
      <c r="W1167">
        <f>H1167/K1167</f>
        <v>6.7508944935775554</v>
      </c>
      <c r="X1167">
        <f>(H1167-I1167)/K1167</f>
        <v>6.7508944935775554</v>
      </c>
      <c r="Y1167">
        <f>(H1167-K1167)/G1167</f>
        <v>0.28157670071872759</v>
      </c>
      <c r="Z1167">
        <f>J1167/N1167</f>
        <v>0.10456850030262134</v>
      </c>
      <c r="AA1167">
        <f>J1167/G1167</f>
        <v>9.466909501219023E-2</v>
      </c>
      <c r="AB1167">
        <f>C1167/G1167</f>
        <v>3.1713826868068597E-2</v>
      </c>
      <c r="AC1167">
        <f>C1167/(G1167-K1167)</f>
        <v>3.334654873117468E-2</v>
      </c>
      <c r="AD1167">
        <f>Q1167/E1167</f>
        <v>0.76458626105646033</v>
      </c>
      <c r="AE1167">
        <f>Q1167/J1167</f>
        <v>0.27341362042768547</v>
      </c>
      <c r="AF1167">
        <f>Q1167/G1167</f>
        <v>2.5883820009895472E-2</v>
      </c>
      <c r="AG1167">
        <f>Q1167/K1167</f>
        <v>0.52864856214205969</v>
      </c>
      <c r="AH1167" t="e">
        <f>Q1167/L1167</f>
        <v>#DIV/0!</v>
      </c>
      <c r="AI1167" s="1">
        <f>R1167</f>
        <v>65</v>
      </c>
      <c r="AJ1167" s="1">
        <f>P1167</f>
        <v>4237802</v>
      </c>
    </row>
    <row r="1168" spans="1:36" x14ac:dyDescent="0.25">
      <c r="A1168" t="s">
        <v>139</v>
      </c>
      <c r="B1168">
        <v>2022</v>
      </c>
      <c r="C1168" s="1">
        <v>156438</v>
      </c>
      <c r="D1168" s="1">
        <v>225640</v>
      </c>
      <c r="E1168" s="1">
        <v>288843</v>
      </c>
      <c r="G1168" s="1">
        <v>5589021</v>
      </c>
      <c r="H1168" s="1">
        <v>1922655</v>
      </c>
      <c r="J1168" s="1">
        <v>457655</v>
      </c>
      <c r="K1168" s="1">
        <v>189610</v>
      </c>
      <c r="N1168" s="1">
        <v>5131366</v>
      </c>
      <c r="O1168" s="1">
        <v>5131366</v>
      </c>
      <c r="P1168" s="1">
        <v>4540104</v>
      </c>
      <c r="Q1168" s="1">
        <v>74457</v>
      </c>
      <c r="R1168" s="1">
        <v>83.8</v>
      </c>
      <c r="T1168">
        <f>E1168/G1168</f>
        <v>5.1680428468599424E-2</v>
      </c>
      <c r="U1168">
        <f>D1168/C1168</f>
        <v>1.4423605517840934</v>
      </c>
      <c r="V1168">
        <f>(E1168-F1168)/O1168</f>
        <v>5.6289689723944852E-2</v>
      </c>
      <c r="W1168">
        <f>H1168/K1168</f>
        <v>10.140050630241021</v>
      </c>
      <c r="X1168">
        <f>(H1168-I1168)/K1168</f>
        <v>10.140050630241021</v>
      </c>
      <c r="Y1168">
        <f>(H1168-K1168)/G1168</f>
        <v>0.31008024482284108</v>
      </c>
      <c r="Z1168">
        <f>J1168/N1168</f>
        <v>8.9187752345087065E-2</v>
      </c>
      <c r="AA1168">
        <f>J1168/G1168</f>
        <v>8.1884644913661986E-2</v>
      </c>
      <c r="AB1168">
        <f>C1168/G1168</f>
        <v>2.7990232994293634E-2</v>
      </c>
      <c r="AC1168">
        <f>C1168/(G1168-K1168)</f>
        <v>2.8973160220624065E-2</v>
      </c>
      <c r="AD1168">
        <f>Q1168/E1168</f>
        <v>0.25777671607066815</v>
      </c>
      <c r="AE1168">
        <f>Q1168/J1168</f>
        <v>0.16269242114693383</v>
      </c>
      <c r="AF1168">
        <f>Q1168/G1168</f>
        <v>1.3322011135760628E-2</v>
      </c>
      <c r="AG1168">
        <f>Q1168/K1168</f>
        <v>0.39268498496914722</v>
      </c>
      <c r="AH1168" t="e">
        <f>Q1168/L1168</f>
        <v>#DIV/0!</v>
      </c>
      <c r="AI1168" s="1">
        <f>R1168</f>
        <v>83.8</v>
      </c>
      <c r="AJ1168" s="1">
        <f>P1168</f>
        <v>4540104</v>
      </c>
    </row>
    <row r="1169" spans="1:36" x14ac:dyDescent="0.25">
      <c r="A1169" t="s">
        <v>139</v>
      </c>
      <c r="B1169">
        <v>2023</v>
      </c>
      <c r="C1169" s="1">
        <v>170456</v>
      </c>
      <c r="D1169" s="1">
        <v>449301</v>
      </c>
      <c r="E1169" s="1">
        <v>431744</v>
      </c>
      <c r="G1169" s="1">
        <v>6445840</v>
      </c>
      <c r="H1169" s="1">
        <v>2331657</v>
      </c>
      <c r="J1169" s="1">
        <v>906846</v>
      </c>
      <c r="K1169" s="1">
        <v>268291</v>
      </c>
      <c r="N1169" s="1">
        <v>5538994</v>
      </c>
      <c r="O1169" s="1">
        <v>5538994</v>
      </c>
      <c r="P1169" s="1">
        <v>4946075</v>
      </c>
      <c r="Q1169" s="1">
        <v>197647</v>
      </c>
      <c r="R1169" s="1">
        <v>78</v>
      </c>
      <c r="T1169">
        <f>E1169/G1169</f>
        <v>6.6980253931217648E-2</v>
      </c>
      <c r="U1169">
        <f>D1169/C1169</f>
        <v>2.6358767071854321</v>
      </c>
      <c r="V1169">
        <f>(E1169-F1169)/O1169</f>
        <v>7.7946284108630554E-2</v>
      </c>
      <c r="W1169">
        <f>H1169/K1169</f>
        <v>8.6907760603225608</v>
      </c>
      <c r="X1169">
        <f>(H1169-I1169)/K1169</f>
        <v>8.6907760603225608</v>
      </c>
      <c r="Y1169">
        <f>(H1169-K1169)/G1169</f>
        <v>0.32010816278405918</v>
      </c>
      <c r="Z1169">
        <f>J1169/N1169</f>
        <v>0.16372034344142636</v>
      </c>
      <c r="AA1169">
        <f>J1169/G1169</f>
        <v>0.14068701674258127</v>
      </c>
      <c r="AB1169">
        <f>C1169/G1169</f>
        <v>2.6444342397577352E-2</v>
      </c>
      <c r="AC1169">
        <f>C1169/(G1169-K1169)</f>
        <v>2.7592820388798209E-2</v>
      </c>
      <c r="AD1169">
        <f>Q1169/E1169</f>
        <v>0.45778748517640083</v>
      </c>
      <c r="AE1169">
        <f>Q1169/J1169</f>
        <v>0.21794990549663337</v>
      </c>
      <c r="AF1169">
        <f>Q1169/G1169</f>
        <v>3.0662722003648866E-2</v>
      </c>
      <c r="AG1169">
        <f>Q1169/K1169</f>
        <v>0.73668889377578828</v>
      </c>
      <c r="AH1169" t="e">
        <f>Q1169/L1169</f>
        <v>#DIV/0!</v>
      </c>
      <c r="AI1169" s="1">
        <f>R1169</f>
        <v>78</v>
      </c>
      <c r="AJ1169" s="1">
        <f>P1169</f>
        <v>4946075</v>
      </c>
    </row>
    <row r="1170" spans="1:36" x14ac:dyDescent="0.25">
      <c r="A1170" t="s">
        <v>139</v>
      </c>
      <c r="B1170">
        <v>2024</v>
      </c>
      <c r="C1170" s="1">
        <v>195413</v>
      </c>
      <c r="D1170" s="1">
        <v>58557</v>
      </c>
      <c r="E1170" s="1">
        <v>264334</v>
      </c>
      <c r="G1170" s="1">
        <v>7102600</v>
      </c>
      <c r="H1170" s="1">
        <v>2524096</v>
      </c>
      <c r="J1170" s="1">
        <v>1321905</v>
      </c>
      <c r="K1170" s="1">
        <v>564657</v>
      </c>
      <c r="N1170" s="1">
        <v>5780695</v>
      </c>
      <c r="O1170" s="1">
        <v>5780695</v>
      </c>
      <c r="P1170" s="1">
        <v>5184311</v>
      </c>
      <c r="Q1170" s="1">
        <v>257727</v>
      </c>
      <c r="R1170" s="1">
        <v>93.9</v>
      </c>
      <c r="T1170">
        <f>E1170/G1170</f>
        <v>3.7216512263114919E-2</v>
      </c>
      <c r="U1170">
        <f>D1170/C1170</f>
        <v>0.29965764816056251</v>
      </c>
      <c r="V1170">
        <f>(E1170-F1170)/O1170</f>
        <v>4.5727027632490556E-2</v>
      </c>
      <c r="W1170">
        <f>H1170/K1170</f>
        <v>4.4701402798513081</v>
      </c>
      <c r="X1170">
        <f>(H1170-I1170)/K1170</f>
        <v>4.4701402798513081</v>
      </c>
      <c r="Y1170">
        <f>(H1170-K1170)/G1170</f>
        <v>0.27587629882015036</v>
      </c>
      <c r="Z1170">
        <f>J1170/N1170</f>
        <v>0.22867579071374636</v>
      </c>
      <c r="AA1170">
        <f>J1170/G1170</f>
        <v>0.1861156477909498</v>
      </c>
      <c r="AB1170">
        <f>C1170/G1170</f>
        <v>2.7512882606369499E-2</v>
      </c>
      <c r="AC1170">
        <f>C1170/(G1170-K1170)</f>
        <v>2.9889064496279639E-2</v>
      </c>
      <c r="AD1170">
        <f>Q1170/E1170</f>
        <v>0.97500510717501343</v>
      </c>
      <c r="AE1170">
        <f>Q1170/J1170</f>
        <v>0.19496635537349508</v>
      </c>
      <c r="AF1170">
        <f>Q1170/G1170</f>
        <v>3.6286289527778563E-2</v>
      </c>
      <c r="AG1170">
        <f>Q1170/K1170</f>
        <v>0.45643107231469726</v>
      </c>
      <c r="AH1170" t="e">
        <f>Q1170/L1170</f>
        <v>#DIV/0!</v>
      </c>
      <c r="AI1170" s="1">
        <f>R1170</f>
        <v>93.9</v>
      </c>
      <c r="AJ1170" s="1">
        <f>P1170</f>
        <v>5184311</v>
      </c>
    </row>
    <row r="1171" spans="1:36" x14ac:dyDescent="0.25">
      <c r="A1171" t="s">
        <v>189</v>
      </c>
      <c r="B1171">
        <v>2018</v>
      </c>
      <c r="C1171" s="1">
        <v>66019000</v>
      </c>
      <c r="D1171" s="1">
        <v>9052000</v>
      </c>
      <c r="E1171" s="1">
        <v>2278000</v>
      </c>
      <c r="F1171" s="1">
        <v>0</v>
      </c>
      <c r="G1171" s="1">
        <v>118823000</v>
      </c>
      <c r="H1171" s="1">
        <v>53433000</v>
      </c>
      <c r="I1171" s="1">
        <v>11250000</v>
      </c>
      <c r="J1171" s="1">
        <v>97905000</v>
      </c>
      <c r="K1171" s="1">
        <v>57653000</v>
      </c>
      <c r="L1171" s="1">
        <v>61227000</v>
      </c>
      <c r="M1171" s="1">
        <v>25729000</v>
      </c>
      <c r="N1171" s="1">
        <v>0</v>
      </c>
      <c r="O1171" s="1">
        <v>20918000</v>
      </c>
      <c r="P1171" s="1">
        <v>-577000</v>
      </c>
      <c r="Q1171" s="1">
        <v>-106000</v>
      </c>
      <c r="R1171" s="1">
        <v>24.6</v>
      </c>
      <c r="T1171">
        <f>E1171/G1171</f>
        <v>1.9171372545719264E-2</v>
      </c>
      <c r="U1171">
        <f>D1171/C1171</f>
        <v>0.13711204350262804</v>
      </c>
      <c r="V1171">
        <f>(E1171-F1171)/O1171</f>
        <v>0.10890142461038341</v>
      </c>
      <c r="W1171">
        <f>H1171/K1171</f>
        <v>0.92680346209217213</v>
      </c>
      <c r="X1171">
        <f>(H1171-I1171)/K1171</f>
        <v>0.73167051150850781</v>
      </c>
      <c r="Y1171">
        <f>(H1171-K1171)/G1171</f>
        <v>-3.5515009720340336E-2</v>
      </c>
      <c r="Z1171" t="e">
        <f>J1171/N1171</f>
        <v>#DIV/0!</v>
      </c>
      <c r="AA1171">
        <f>J1171/G1171</f>
        <v>0.82395664139097646</v>
      </c>
      <c r="AB1171">
        <f>C1171/G1171</f>
        <v>0.55560792102539069</v>
      </c>
      <c r="AC1171">
        <f>C1171/(G1171-K1171)</f>
        <v>1.0792708844204675</v>
      </c>
      <c r="AD1171">
        <f>Q1171/E1171</f>
        <v>-4.6532045654082525E-2</v>
      </c>
      <c r="AE1171">
        <f>Q1171/J1171</f>
        <v>-1.0826821919207395E-3</v>
      </c>
      <c r="AF1171">
        <f>Q1171/G1171</f>
        <v>-8.9208318254883315E-4</v>
      </c>
      <c r="AG1171">
        <f>Q1171/K1171</f>
        <v>-1.8385860232771928E-3</v>
      </c>
      <c r="AH1171">
        <f>Q1171/L1171</f>
        <v>-1.7312623515769187E-3</v>
      </c>
      <c r="AI1171" s="1">
        <f>R1171</f>
        <v>24.6</v>
      </c>
      <c r="AJ1171" s="1">
        <f>P1171</f>
        <v>-577000</v>
      </c>
    </row>
    <row r="1172" spans="1:36" x14ac:dyDescent="0.25">
      <c r="A1172" t="s">
        <v>189</v>
      </c>
      <c r="B1172">
        <v>2019</v>
      </c>
      <c r="C1172" s="1">
        <v>75143000</v>
      </c>
      <c r="D1172" s="1">
        <v>8859000</v>
      </c>
      <c r="E1172" s="1">
        <v>2990000</v>
      </c>
      <c r="F1172" s="1">
        <v>0</v>
      </c>
      <c r="G1172" s="1">
        <v>130670000</v>
      </c>
      <c r="H1172" s="1">
        <v>52142000</v>
      </c>
      <c r="I1172" s="1">
        <v>10689000</v>
      </c>
      <c r="J1172" s="1">
        <v>105830000</v>
      </c>
      <c r="K1172" s="1">
        <v>63152000</v>
      </c>
      <c r="L1172" s="1">
        <v>65788000</v>
      </c>
      <c r="M1172" s="1">
        <v>25115000</v>
      </c>
      <c r="N1172" s="1">
        <v>0</v>
      </c>
      <c r="O1172" s="1">
        <v>24840000</v>
      </c>
      <c r="P1172" s="1">
        <v>-1797000</v>
      </c>
      <c r="Q1172" s="1">
        <v>1556000</v>
      </c>
      <c r="R1172" s="1">
        <v>16</v>
      </c>
      <c r="T1172">
        <f>E1172/G1172</f>
        <v>2.2882069334965945E-2</v>
      </c>
      <c r="U1172">
        <f>D1172/C1172</f>
        <v>0.11789521312697124</v>
      </c>
      <c r="V1172">
        <f>(E1172-F1172)/O1172</f>
        <v>0.12037037037037036</v>
      </c>
      <c r="W1172">
        <f>H1172/K1172</f>
        <v>0.82565872814796049</v>
      </c>
      <c r="X1172">
        <f>(H1172-I1172)/K1172</f>
        <v>0.65640043070686593</v>
      </c>
      <c r="Y1172">
        <f>(H1172-K1172)/G1172</f>
        <v>-8.4258054641463229E-2</v>
      </c>
      <c r="Z1172" t="e">
        <f>J1172/N1172</f>
        <v>#DIV/0!</v>
      </c>
      <c r="AA1172">
        <f>J1172/G1172</f>
        <v>0.8099028086018214</v>
      </c>
      <c r="AB1172">
        <f>C1172/G1172</f>
        <v>0.575059309711487</v>
      </c>
      <c r="AC1172">
        <f>C1172/(G1172-K1172)</f>
        <v>1.1129328475369531</v>
      </c>
      <c r="AD1172">
        <f>Q1172/E1172</f>
        <v>0.52040133779264219</v>
      </c>
      <c r="AE1172">
        <f>Q1172/J1172</f>
        <v>1.4702825285835774E-2</v>
      </c>
      <c r="AF1172">
        <f>Q1172/G1172</f>
        <v>1.190785949338027E-2</v>
      </c>
      <c r="AG1172">
        <f>Q1172/K1172</f>
        <v>2.4638966303521661E-2</v>
      </c>
      <c r="AH1172">
        <f>Q1172/L1172</f>
        <v>2.3651729798747492E-2</v>
      </c>
      <c r="AI1172" s="1">
        <f>R1172</f>
        <v>16</v>
      </c>
      <c r="AJ1172" s="1">
        <f>P1172</f>
        <v>-1797000</v>
      </c>
    </row>
    <row r="1173" spans="1:36" x14ac:dyDescent="0.25">
      <c r="A1173" t="s">
        <v>189</v>
      </c>
      <c r="B1173">
        <v>2020</v>
      </c>
      <c r="C1173" s="1">
        <v>76722000</v>
      </c>
      <c r="D1173" s="1">
        <v>6462000</v>
      </c>
      <c r="E1173" s="1">
        <v>-3181000</v>
      </c>
      <c r="F1173" s="1">
        <v>0</v>
      </c>
      <c r="G1173" s="1">
        <v>149551000</v>
      </c>
      <c r="H1173" s="1">
        <v>54266000</v>
      </c>
      <c r="I1173" s="1">
        <v>12434000</v>
      </c>
      <c r="J1173" s="1">
        <v>128318000</v>
      </c>
      <c r="K1173" s="1">
        <v>69350000</v>
      </c>
      <c r="L1173" s="1">
        <v>76669000</v>
      </c>
      <c r="M1173" s="1">
        <v>31041000</v>
      </c>
      <c r="N1173" s="1">
        <v>0</v>
      </c>
      <c r="O1173" s="1">
        <v>21233000</v>
      </c>
      <c r="P1173" s="1">
        <v>-7395000</v>
      </c>
      <c r="Q1173" s="1">
        <v>9009000</v>
      </c>
      <c r="R1173" s="1">
        <v>12.3</v>
      </c>
      <c r="T1173">
        <f>E1173/G1173</f>
        <v>-2.127033587204365E-2</v>
      </c>
      <c r="U1173">
        <f>D1173/C1173</f>
        <v>8.4226167201063587E-2</v>
      </c>
      <c r="V1173">
        <f>(E1173-F1173)/O1173</f>
        <v>-0.14981396882211651</v>
      </c>
      <c r="W1173">
        <f>H1173/K1173</f>
        <v>0.78249459264599852</v>
      </c>
      <c r="X1173">
        <f>(H1173-I1173)/K1173</f>
        <v>0.60320115356885362</v>
      </c>
      <c r="Y1173">
        <f>(H1173-K1173)/G1173</f>
        <v>-0.10086191332722616</v>
      </c>
      <c r="Z1173" t="e">
        <f>J1173/N1173</f>
        <v>#DIV/0!</v>
      </c>
      <c r="AA1173">
        <f>J1173/G1173</f>
        <v>0.8580216782234823</v>
      </c>
      <c r="AB1173">
        <f>C1173/G1173</f>
        <v>0.51301562677614998</v>
      </c>
      <c r="AC1173">
        <f>C1173/(G1173-K1173)</f>
        <v>0.9566214885101183</v>
      </c>
      <c r="AD1173">
        <f>Q1173/E1173</f>
        <v>-2.8321282615529708</v>
      </c>
      <c r="AE1173">
        <f>Q1173/J1173</f>
        <v>7.0208388534734018E-2</v>
      </c>
      <c r="AF1173">
        <f>Q1173/G1173</f>
        <v>6.0240319355938779E-2</v>
      </c>
      <c r="AG1173">
        <f>Q1173/K1173</f>
        <v>0.12990627253064169</v>
      </c>
      <c r="AH1173">
        <f>Q1173/L1173</f>
        <v>0.11750511940940928</v>
      </c>
      <c r="AI1173" s="1">
        <f>R1173</f>
        <v>12.3</v>
      </c>
      <c r="AJ1173" s="1">
        <f>P1173</f>
        <v>-7395000</v>
      </c>
    </row>
    <row r="1174" spans="1:36" x14ac:dyDescent="0.25">
      <c r="A1174" t="s">
        <v>189</v>
      </c>
      <c r="B1174">
        <v>2021</v>
      </c>
      <c r="C1174" s="1">
        <v>82621000</v>
      </c>
      <c r="D1174" s="1">
        <v>4539000</v>
      </c>
      <c r="E1174" s="1">
        <v>-4008000</v>
      </c>
      <c r="F1174" s="1">
        <v>0</v>
      </c>
      <c r="G1174" s="1">
        <v>161834000</v>
      </c>
      <c r="H1174" s="1">
        <v>57800000</v>
      </c>
      <c r="I1174" s="1">
        <v>12436000</v>
      </c>
      <c r="J1174" s="1">
        <v>149827000</v>
      </c>
      <c r="K1174" s="1">
        <v>81773000</v>
      </c>
      <c r="L1174" s="1">
        <v>82585000</v>
      </c>
      <c r="M1174" s="1">
        <v>38200000</v>
      </c>
      <c r="N1174" s="1">
        <v>0</v>
      </c>
      <c r="O1174" s="1">
        <v>12007000</v>
      </c>
      <c r="P1174" s="1">
        <v>-18215000</v>
      </c>
      <c r="Q1174" s="1">
        <v>17126000</v>
      </c>
      <c r="R1174" s="1">
        <v>11.8</v>
      </c>
      <c r="T1174">
        <f>E1174/G1174</f>
        <v>-2.4766118368204457E-2</v>
      </c>
      <c r="U1174">
        <f>D1174/C1174</f>
        <v>5.493760666174459E-2</v>
      </c>
      <c r="V1174">
        <f>(E1174-F1174)/O1174</f>
        <v>-0.33380528025318562</v>
      </c>
      <c r="W1174">
        <f>H1174/K1174</f>
        <v>0.70683477431426023</v>
      </c>
      <c r="X1174">
        <f>(H1174-I1174)/K1174</f>
        <v>0.5547552370586869</v>
      </c>
      <c r="Y1174">
        <f>(H1174-K1174)/G1174</f>
        <v>-0.14813327236551033</v>
      </c>
      <c r="Z1174" t="e">
        <f>J1174/N1174</f>
        <v>#DIV/0!</v>
      </c>
      <c r="AA1174">
        <f>J1174/G1174</f>
        <v>0.92580669080662903</v>
      </c>
      <c r="AB1174">
        <f>C1174/G1174</f>
        <v>0.51052930780923667</v>
      </c>
      <c r="AC1174">
        <f>C1174/(G1174-K1174)</f>
        <v>1.0319756185908244</v>
      </c>
      <c r="AD1174">
        <f>Q1174/E1174</f>
        <v>-4.2729540918163673</v>
      </c>
      <c r="AE1174">
        <f>Q1174/J1174</f>
        <v>0.1143051652906352</v>
      </c>
      <c r="AF1174">
        <f>Q1174/G1174</f>
        <v>0.10582448681982773</v>
      </c>
      <c r="AG1174">
        <f>Q1174/K1174</f>
        <v>0.20943343157276853</v>
      </c>
      <c r="AH1174">
        <f>Q1174/L1174</f>
        <v>0.20737422050009083</v>
      </c>
      <c r="AI1174" s="1">
        <f>R1174</f>
        <v>11.8</v>
      </c>
      <c r="AJ1174" s="1">
        <f>P1174</f>
        <v>-18215000</v>
      </c>
    </row>
    <row r="1175" spans="1:36" x14ac:dyDescent="0.25">
      <c r="A1175" t="s">
        <v>189</v>
      </c>
      <c r="B1175">
        <v>2022</v>
      </c>
      <c r="C1175" s="1">
        <v>111229000</v>
      </c>
      <c r="D1175" s="1">
        <v>10167000</v>
      </c>
      <c r="E1175" s="1">
        <v>-5278000</v>
      </c>
      <c r="F1175" s="1">
        <v>0</v>
      </c>
      <c r="G1175" s="1">
        <v>188705000</v>
      </c>
      <c r="H1175" s="1">
        <v>61376000</v>
      </c>
      <c r="I1175" s="1">
        <v>13471000</v>
      </c>
      <c r="J1175" s="1">
        <v>183107000</v>
      </c>
      <c r="K1175" s="1">
        <v>107233000</v>
      </c>
      <c r="L1175" s="1">
        <v>98946000</v>
      </c>
      <c r="M1175" s="1">
        <v>38969000</v>
      </c>
      <c r="N1175" s="1">
        <v>0</v>
      </c>
      <c r="O1175" s="1">
        <v>5598000</v>
      </c>
      <c r="P1175" s="1">
        <v>-26397000</v>
      </c>
      <c r="Q1175" s="1">
        <v>9146000</v>
      </c>
      <c r="R1175" s="1">
        <v>37.6</v>
      </c>
      <c r="T1175">
        <f>E1175/G1175</f>
        <v>-2.7969582152036248E-2</v>
      </c>
      <c r="U1175">
        <f>D1175/C1175</f>
        <v>9.1406018214674228E-2</v>
      </c>
      <c r="V1175">
        <f>(E1175-F1175)/O1175</f>
        <v>-0.94283672740264379</v>
      </c>
      <c r="W1175">
        <f>H1175/K1175</f>
        <v>0.57236112017755725</v>
      </c>
      <c r="X1175">
        <f>(H1175-I1175)/K1175</f>
        <v>0.44673747820167298</v>
      </c>
      <c r="Y1175">
        <f>(H1175-K1175)/G1175</f>
        <v>-0.24300892928115311</v>
      </c>
      <c r="Z1175" t="e">
        <f>J1175/N1175</f>
        <v>#DIV/0!</v>
      </c>
      <c r="AA1175">
        <f>J1175/G1175</f>
        <v>0.97033464932036773</v>
      </c>
      <c r="AB1175">
        <f>C1175/G1175</f>
        <v>0.58943324236241756</v>
      </c>
      <c r="AC1175">
        <f>C1175/(G1175-K1175)</f>
        <v>1.3652420463472112</v>
      </c>
      <c r="AD1175">
        <f>Q1175/E1175</f>
        <v>-1.7328533535430086</v>
      </c>
      <c r="AE1175">
        <f>Q1175/J1175</f>
        <v>4.9948936960356516E-2</v>
      </c>
      <c r="AF1175">
        <f>Q1175/G1175</f>
        <v>4.8467184229352693E-2</v>
      </c>
      <c r="AG1175">
        <f>Q1175/K1175</f>
        <v>8.5290908582246139E-2</v>
      </c>
      <c r="AH1175">
        <f>Q1175/L1175</f>
        <v>9.2434257069512665E-2</v>
      </c>
      <c r="AI1175" s="1">
        <f>R1175</f>
        <v>37.6</v>
      </c>
      <c r="AJ1175" s="1">
        <f>P1175</f>
        <v>-26397000</v>
      </c>
    </row>
    <row r="1176" spans="1:36" x14ac:dyDescent="0.25">
      <c r="A1176" t="s">
        <v>189</v>
      </c>
      <c r="B1176">
        <v>2023</v>
      </c>
      <c r="C1176" s="1">
        <v>96899000</v>
      </c>
      <c r="D1176" s="1">
        <v>1851000</v>
      </c>
      <c r="E1176" s="1">
        <v>-23657000</v>
      </c>
      <c r="F1176" s="1">
        <v>0</v>
      </c>
      <c r="G1176" s="1">
        <v>184237000</v>
      </c>
      <c r="H1176" s="1">
        <v>46851000</v>
      </c>
      <c r="I1176" s="1">
        <v>8934000</v>
      </c>
      <c r="J1176" s="1">
        <v>202108000</v>
      </c>
      <c r="K1176" s="1">
        <v>116722000</v>
      </c>
      <c r="L1176" s="1">
        <v>123742000</v>
      </c>
      <c r="M1176" s="1">
        <v>42901000</v>
      </c>
      <c r="N1176" s="1">
        <v>0</v>
      </c>
      <c r="O1176" s="1">
        <v>-17871000</v>
      </c>
      <c r="P1176" s="1">
        <v>-51548000</v>
      </c>
      <c r="Q1176" s="1">
        <v>-7058000</v>
      </c>
      <c r="R1176" s="1">
        <v>15.9</v>
      </c>
      <c r="T1176">
        <f>E1176/G1176</f>
        <v>-0.128405260615403</v>
      </c>
      <c r="U1176">
        <f>D1176/C1176</f>
        <v>1.9102364317485215E-2</v>
      </c>
      <c r="V1176">
        <f>(E1176-F1176)/O1176</f>
        <v>1.3237647585473673</v>
      </c>
      <c r="W1176">
        <f>H1176/K1176</f>
        <v>0.40138962663422489</v>
      </c>
      <c r="X1176">
        <f>(H1176-I1176)/K1176</f>
        <v>0.32484878600435224</v>
      </c>
      <c r="Y1176">
        <f>(H1176-K1176)/G1176</f>
        <v>-0.37924521133105726</v>
      </c>
      <c r="Z1176" t="e">
        <f>J1176/N1176</f>
        <v>#DIV/0!</v>
      </c>
      <c r="AA1176">
        <f>J1176/G1176</f>
        <v>1.0970000597057052</v>
      </c>
      <c r="AB1176">
        <f>C1176/G1176</f>
        <v>0.52594755667971149</v>
      </c>
      <c r="AC1176">
        <f>C1176/(G1176-K1176)</f>
        <v>1.4352218025623935</v>
      </c>
      <c r="AD1176">
        <f>Q1176/E1176</f>
        <v>0.29834721224161981</v>
      </c>
      <c r="AE1176">
        <f>Q1176/J1176</f>
        <v>-3.4921922932293625E-2</v>
      </c>
      <c r="AF1176">
        <f>Q1176/G1176</f>
        <v>-3.8309351541764139E-2</v>
      </c>
      <c r="AG1176">
        <f>Q1176/K1176</f>
        <v>-6.0468463528726375E-2</v>
      </c>
      <c r="AH1176">
        <f>Q1176/L1176</f>
        <v>-5.7038030741381258E-2</v>
      </c>
      <c r="AI1176" s="1">
        <f>R1176</f>
        <v>15.9</v>
      </c>
      <c r="AJ1176" s="1">
        <f>P1176</f>
        <v>-51548000</v>
      </c>
    </row>
    <row r="1177" spans="1:36" x14ac:dyDescent="0.25">
      <c r="A1177" t="s">
        <v>189</v>
      </c>
      <c r="B1177">
        <v>2024</v>
      </c>
      <c r="C1177" s="1">
        <v>99839000</v>
      </c>
      <c r="D1177" s="1">
        <v>3527000</v>
      </c>
      <c r="E1177" s="1">
        <v>-15200000</v>
      </c>
      <c r="F1177" s="1">
        <v>0</v>
      </c>
      <c r="G1177" s="1">
        <v>179198000</v>
      </c>
      <c r="H1177" s="1">
        <v>43155000</v>
      </c>
      <c r="I1177" s="1">
        <v>8482000</v>
      </c>
      <c r="J1177" s="1">
        <v>209398000</v>
      </c>
      <c r="K1177" s="1">
        <v>120112000</v>
      </c>
      <c r="L1177" s="1">
        <v>124085000</v>
      </c>
      <c r="M1177" s="1">
        <v>43007000</v>
      </c>
      <c r="N1177" s="1">
        <v>0</v>
      </c>
      <c r="O1177" s="1">
        <v>-30200000</v>
      </c>
      <c r="P1177" s="1">
        <v>-69593000</v>
      </c>
      <c r="Q1177" s="1">
        <v>6374000</v>
      </c>
      <c r="R1177" s="1">
        <v>9</v>
      </c>
      <c r="T1177">
        <f>E1177/G1177</f>
        <v>-8.4822375249723775E-2</v>
      </c>
      <c r="U1177">
        <f>D1177/C1177</f>
        <v>3.5326876270795983E-2</v>
      </c>
      <c r="V1177">
        <f>(E1177-F1177)/O1177</f>
        <v>0.50331125827814571</v>
      </c>
      <c r="W1177">
        <f>H1177/K1177</f>
        <v>0.35928966298121751</v>
      </c>
      <c r="X1177">
        <f>(H1177-I1177)/K1177</f>
        <v>0.28867223924337287</v>
      </c>
      <c r="Y1177">
        <f>(H1177-K1177)/G1177</f>
        <v>-0.42945233763769686</v>
      </c>
      <c r="Z1177" t="e">
        <f>J1177/N1177</f>
        <v>#DIV/0!</v>
      </c>
      <c r="AA1177">
        <f>J1177/G1177</f>
        <v>1.1685286666145827</v>
      </c>
      <c r="AB1177">
        <f>C1177/G1177</f>
        <v>0.55714349490507709</v>
      </c>
      <c r="AC1177">
        <f>C1177/(G1177-K1177)</f>
        <v>1.6897234539484818</v>
      </c>
      <c r="AD1177">
        <f>Q1177/E1177</f>
        <v>-0.4193421052631579</v>
      </c>
      <c r="AE1177">
        <f>Q1177/J1177</f>
        <v>3.04396412573186E-2</v>
      </c>
      <c r="AF1177">
        <f>Q1177/G1177</f>
        <v>3.5569593410640747E-2</v>
      </c>
      <c r="AG1177">
        <f>Q1177/K1177</f>
        <v>5.3067137338484081E-2</v>
      </c>
      <c r="AH1177">
        <f>Q1177/L1177</f>
        <v>5.136801386146593E-2</v>
      </c>
      <c r="AI1177" s="1">
        <f>R1177</f>
        <v>9</v>
      </c>
      <c r="AJ1177" s="1">
        <f>P1177</f>
        <v>-69593000</v>
      </c>
    </row>
    <row r="1178" spans="1:36" x14ac:dyDescent="0.25">
      <c r="A1178" t="s">
        <v>182</v>
      </c>
      <c r="B1178">
        <v>2018</v>
      </c>
      <c r="C1178" s="1">
        <v>1842061</v>
      </c>
      <c r="D1178" s="1">
        <v>270049</v>
      </c>
      <c r="E1178" s="1">
        <v>192452</v>
      </c>
      <c r="G1178" s="1">
        <v>5089291</v>
      </c>
      <c r="H1178" s="1">
        <v>626122</v>
      </c>
      <c r="I1178" s="1">
        <v>28221</v>
      </c>
      <c r="J1178" s="1">
        <v>1492895</v>
      </c>
      <c r="K1178" s="1">
        <v>928270</v>
      </c>
      <c r="L1178" s="1">
        <v>493130</v>
      </c>
      <c r="M1178" s="1">
        <v>149970</v>
      </c>
      <c r="O1178" s="1">
        <v>3596396</v>
      </c>
      <c r="P1178" s="1">
        <v>1115060</v>
      </c>
      <c r="Q1178" s="1">
        <v>58975</v>
      </c>
      <c r="R1178" s="1">
        <v>17.5</v>
      </c>
      <c r="T1178">
        <f>E1178/G1178</f>
        <v>3.781509054994104E-2</v>
      </c>
      <c r="U1178">
        <f>D1178/C1178</f>
        <v>0.14660155119727306</v>
      </c>
      <c r="V1178">
        <f>(E1178-F1178)/O1178</f>
        <v>5.3512460807986661E-2</v>
      </c>
      <c r="W1178">
        <f>H1178/K1178</f>
        <v>0.67450418520473565</v>
      </c>
      <c r="X1178">
        <f>(H1178-I1178)/K1178</f>
        <v>0.64410247018647593</v>
      </c>
      <c r="Y1178">
        <f>(H1178-K1178)/G1178</f>
        <v>-5.9369369918128086E-2</v>
      </c>
      <c r="Z1178" t="e">
        <f>J1178/N1178</f>
        <v>#DIV/0!</v>
      </c>
      <c r="AA1178">
        <f>J1178/G1178</f>
        <v>0.2933404672674445</v>
      </c>
      <c r="AB1178">
        <f>C1178/G1178</f>
        <v>0.36194845215178301</v>
      </c>
      <c r="AC1178">
        <f>C1178/(G1178-K1178)</f>
        <v>0.44269447330354739</v>
      </c>
      <c r="AD1178">
        <f>Q1178/E1178</f>
        <v>0.30644004738843972</v>
      </c>
      <c r="AE1178">
        <f>Q1178/J1178</f>
        <v>3.9503782918423602E-2</v>
      </c>
      <c r="AF1178">
        <f>Q1178/G1178</f>
        <v>1.1588058140122072E-2</v>
      </c>
      <c r="AG1178">
        <f>Q1178/K1178</f>
        <v>6.3532161978734639E-2</v>
      </c>
      <c r="AH1178">
        <f>Q1178/L1178</f>
        <v>0.11959321071522722</v>
      </c>
      <c r="AI1178" s="1">
        <f>R1178</f>
        <v>17.5</v>
      </c>
      <c r="AJ1178" s="1">
        <f>P1178</f>
        <v>1115060</v>
      </c>
    </row>
    <row r="1179" spans="1:36" x14ac:dyDescent="0.25">
      <c r="A1179" t="s">
        <v>182</v>
      </c>
      <c r="B1179">
        <v>2019</v>
      </c>
      <c r="C1179" s="1">
        <v>2038943</v>
      </c>
      <c r="D1179" s="1">
        <v>129304</v>
      </c>
      <c r="E1179" s="1">
        <v>102351</v>
      </c>
      <c r="G1179" s="1">
        <v>5251576</v>
      </c>
      <c r="H1179" s="1">
        <v>836966</v>
      </c>
      <c r="I1179" s="1">
        <v>33761</v>
      </c>
      <c r="J1179" s="1">
        <v>1846130</v>
      </c>
      <c r="K1179" s="1">
        <v>832803</v>
      </c>
      <c r="L1179" s="1">
        <v>878982</v>
      </c>
      <c r="M1179" s="1">
        <v>590951</v>
      </c>
      <c r="O1179" s="1">
        <v>3405446</v>
      </c>
      <c r="P1179" s="1">
        <v>1152504</v>
      </c>
      <c r="Q1179" s="1">
        <v>413825</v>
      </c>
      <c r="R1179" s="1">
        <v>15.9</v>
      </c>
      <c r="T1179">
        <f>E1179/G1179</f>
        <v>1.9489577985732282E-2</v>
      </c>
      <c r="U1179">
        <f>D1179/C1179</f>
        <v>6.3417172525176035E-2</v>
      </c>
      <c r="V1179">
        <f>(E1179-F1179)/O1179</f>
        <v>3.0055094105148047E-2</v>
      </c>
      <c r="W1179">
        <f>H1179/K1179</f>
        <v>1.0049987812243713</v>
      </c>
      <c r="X1179">
        <f>(H1179-I1179)/K1179</f>
        <v>0.96445978220539552</v>
      </c>
      <c r="Y1179">
        <f>(H1179-K1179)/G1179</f>
        <v>7.927144156344686E-4</v>
      </c>
      <c r="Z1179" t="e">
        <f>J1179/N1179</f>
        <v>#DIV/0!</v>
      </c>
      <c r="AA1179">
        <f>J1179/G1179</f>
        <v>0.351538281079813</v>
      </c>
      <c r="AB1179">
        <f>C1179/G1179</f>
        <v>0.38825354522147254</v>
      </c>
      <c r="AC1179">
        <f>C1179/(G1179-K1179)</f>
        <v>0.46142741435235529</v>
      </c>
      <c r="AD1179">
        <f>Q1179/E1179</f>
        <v>4.0431944973669038</v>
      </c>
      <c r="AE1179">
        <f>Q1179/J1179</f>
        <v>0.22415810370883957</v>
      </c>
      <c r="AF1179">
        <f>Q1179/G1179</f>
        <v>7.8800154467915912E-2</v>
      </c>
      <c r="AG1179">
        <f>Q1179/K1179</f>
        <v>0.49690623112548826</v>
      </c>
      <c r="AH1179">
        <f>Q1179/L1179</f>
        <v>0.4708003121793165</v>
      </c>
      <c r="AI1179" s="1">
        <f>R1179</f>
        <v>15.9</v>
      </c>
      <c r="AJ1179" s="1">
        <f>P1179</f>
        <v>1152504</v>
      </c>
    </row>
    <row r="1180" spans="1:36" x14ac:dyDescent="0.25">
      <c r="A1180" t="s">
        <v>182</v>
      </c>
      <c r="B1180">
        <v>2020</v>
      </c>
      <c r="C1180" s="1">
        <v>1588581</v>
      </c>
      <c r="D1180" s="1">
        <v>-48886</v>
      </c>
      <c r="E1180" s="1">
        <v>-121311</v>
      </c>
      <c r="G1180" s="1">
        <v>4995225</v>
      </c>
      <c r="H1180" s="1">
        <v>654955</v>
      </c>
      <c r="I1180" s="1">
        <v>37890</v>
      </c>
      <c r="J1180" s="1">
        <v>1765056</v>
      </c>
      <c r="K1180" s="1">
        <v>548988</v>
      </c>
      <c r="L1180" s="1">
        <v>892805</v>
      </c>
      <c r="M1180" s="1">
        <v>778069</v>
      </c>
      <c r="O1180" s="1">
        <v>3230169</v>
      </c>
      <c r="P1180" s="1">
        <v>1008905</v>
      </c>
      <c r="Q1180" s="1">
        <v>109892</v>
      </c>
      <c r="R1180" s="1">
        <v>21.1</v>
      </c>
      <c r="T1180">
        <f>E1180/G1180</f>
        <v>-2.428539254988514E-2</v>
      </c>
      <c r="U1180">
        <f>D1180/C1180</f>
        <v>-3.0773375735955549E-2</v>
      </c>
      <c r="V1180">
        <f>(E1180-F1180)/O1180</f>
        <v>-3.755562015485877E-2</v>
      </c>
      <c r="W1180">
        <f>H1180/K1180</f>
        <v>1.1930224340058435</v>
      </c>
      <c r="X1180">
        <f>(H1180-I1180)/K1180</f>
        <v>1.1240045319751979</v>
      </c>
      <c r="Y1180">
        <f>(H1180-K1180)/G1180</f>
        <v>2.1213659044387389E-2</v>
      </c>
      <c r="Z1180" t="e">
        <f>J1180/N1180</f>
        <v>#DIV/0!</v>
      </c>
      <c r="AA1180">
        <f>J1180/G1180</f>
        <v>0.35334864795880067</v>
      </c>
      <c r="AB1180">
        <f>C1180/G1180</f>
        <v>0.3180199090131075</v>
      </c>
      <c r="AC1180">
        <f>C1180/(G1180-K1180)</f>
        <v>0.35728662237303138</v>
      </c>
      <c r="AD1180">
        <f>Q1180/E1180</f>
        <v>-0.9058700365177107</v>
      </c>
      <c r="AE1180">
        <f>Q1180/J1180</f>
        <v>6.2259780992784362E-2</v>
      </c>
      <c r="AF1180">
        <f>Q1180/G1180</f>
        <v>2.1999409436011391E-2</v>
      </c>
      <c r="AG1180">
        <f>Q1180/K1180</f>
        <v>0.20017195275670871</v>
      </c>
      <c r="AH1180">
        <f>Q1180/L1180</f>
        <v>0.12308622823572897</v>
      </c>
      <c r="AI1180" s="1">
        <f>R1180</f>
        <v>21.1</v>
      </c>
      <c r="AJ1180" s="1">
        <f>P1180</f>
        <v>1008905</v>
      </c>
    </row>
    <row r="1181" spans="1:36" x14ac:dyDescent="0.25">
      <c r="A1181" t="s">
        <v>182</v>
      </c>
      <c r="B1181">
        <v>2021</v>
      </c>
      <c r="C1181" s="1">
        <v>587233</v>
      </c>
      <c r="D1181" s="1">
        <v>-543810</v>
      </c>
      <c r="E1181" s="1">
        <v>-483382</v>
      </c>
      <c r="G1181" s="1">
        <v>4959358</v>
      </c>
      <c r="H1181" s="1">
        <v>507126</v>
      </c>
      <c r="I1181" s="1">
        <v>34414</v>
      </c>
      <c r="J1181" s="1">
        <v>1873532</v>
      </c>
      <c r="K1181" s="1">
        <v>628713</v>
      </c>
      <c r="L1181" s="1">
        <v>1078078</v>
      </c>
      <c r="M1181" s="1">
        <v>855576</v>
      </c>
      <c r="O1181" s="1">
        <v>3085826</v>
      </c>
      <c r="P1181" s="1">
        <v>559014</v>
      </c>
      <c r="Q1181" s="1">
        <v>-36369</v>
      </c>
      <c r="R1181" s="1">
        <v>14.5</v>
      </c>
      <c r="T1181">
        <f>E1181/G1181</f>
        <v>-9.7468664290821516E-2</v>
      </c>
      <c r="U1181">
        <f>D1181/C1181</f>
        <v>-0.92605490495254861</v>
      </c>
      <c r="V1181">
        <f>(E1181-F1181)/O1181</f>
        <v>-0.15664590291221864</v>
      </c>
      <c r="W1181">
        <f>H1181/K1181</f>
        <v>0.8066096931350234</v>
      </c>
      <c r="X1181">
        <f>(H1181-I1181)/K1181</f>
        <v>0.75187247599461127</v>
      </c>
      <c r="Y1181">
        <f>(H1181-K1181)/G1181</f>
        <v>-2.4516681393035148E-2</v>
      </c>
      <c r="Z1181" t="e">
        <f>J1181/N1181</f>
        <v>#DIV/0!</v>
      </c>
      <c r="AA1181">
        <f>J1181/G1181</f>
        <v>0.37777712357123644</v>
      </c>
      <c r="AB1181">
        <f>C1181/G1181</f>
        <v>0.11840907633609028</v>
      </c>
      <c r="AC1181">
        <f>C1181/(G1181-K1181)</f>
        <v>0.13559943149346113</v>
      </c>
      <c r="AD1181">
        <f>Q1181/E1181</f>
        <v>7.523863114472612E-2</v>
      </c>
      <c r="AE1181">
        <f>Q1181/J1181</f>
        <v>-1.9411998300536099E-2</v>
      </c>
      <c r="AF1181">
        <f>Q1181/G1181</f>
        <v>-7.3334088807462576E-3</v>
      </c>
      <c r="AG1181">
        <f>Q1181/K1181</f>
        <v>-5.7846744062871297E-2</v>
      </c>
      <c r="AH1181">
        <f>Q1181/L1181</f>
        <v>-3.3735035869389786E-2</v>
      </c>
      <c r="AI1181" s="1">
        <f>R1181</f>
        <v>14.5</v>
      </c>
      <c r="AJ1181" s="1">
        <f>P1181</f>
        <v>559014</v>
      </c>
    </row>
    <row r="1182" spans="1:36" x14ac:dyDescent="0.25">
      <c r="A1182" t="s">
        <v>182</v>
      </c>
      <c r="B1182">
        <v>2022</v>
      </c>
      <c r="C1182" s="1">
        <v>636410</v>
      </c>
      <c r="D1182" s="1">
        <v>-589101</v>
      </c>
      <c r="E1182" s="1">
        <v>-590615</v>
      </c>
      <c r="G1182" s="1">
        <v>7222231</v>
      </c>
      <c r="H1182" s="1">
        <v>770081</v>
      </c>
      <c r="I1182" s="1">
        <v>37151</v>
      </c>
      <c r="J1182" s="1">
        <v>3284852</v>
      </c>
      <c r="K1182" s="1">
        <v>1597305</v>
      </c>
      <c r="L1182" s="1">
        <v>1525633</v>
      </c>
      <c r="M1182" s="1">
        <v>1061048</v>
      </c>
      <c r="O1182" s="1">
        <v>3937379</v>
      </c>
      <c r="P1182" s="1">
        <v>-5083</v>
      </c>
      <c r="Q1182" s="1">
        <v>266973</v>
      </c>
      <c r="R1182" s="1">
        <v>16</v>
      </c>
      <c r="T1182">
        <f>E1182/G1182</f>
        <v>-8.1777362147513702E-2</v>
      </c>
      <c r="U1182">
        <f>D1182/C1182</f>
        <v>-0.92566270171744625</v>
      </c>
      <c r="V1182">
        <f>(E1182-F1182)/O1182</f>
        <v>-0.15000206990487835</v>
      </c>
      <c r="W1182">
        <f>H1182/K1182</f>
        <v>0.48211268355135684</v>
      </c>
      <c r="X1182">
        <f>(H1182-I1182)/K1182</f>
        <v>0.45885413242931061</v>
      </c>
      <c r="Y1182">
        <f>(H1182-K1182)/G1182</f>
        <v>-0.11453856848389368</v>
      </c>
      <c r="Z1182" t="e">
        <f>J1182/N1182</f>
        <v>#DIV/0!</v>
      </c>
      <c r="AA1182">
        <f>J1182/G1182</f>
        <v>0.45482510875102167</v>
      </c>
      <c r="AB1182">
        <f>C1182/G1182</f>
        <v>8.8118200594802354E-2</v>
      </c>
      <c r="AC1182">
        <f>C1182/(G1182-K1182)</f>
        <v>0.11314104398884536</v>
      </c>
      <c r="AD1182">
        <f>Q1182/E1182</f>
        <v>-0.45202543111841048</v>
      </c>
      <c r="AE1182">
        <f>Q1182/J1182</f>
        <v>8.1273981293525546E-2</v>
      </c>
      <c r="AF1182">
        <f>Q1182/G1182</f>
        <v>3.6965447380456262E-2</v>
      </c>
      <c r="AG1182">
        <f>Q1182/K1182</f>
        <v>0.16713965084939947</v>
      </c>
      <c r="AH1182">
        <f>Q1182/L1182</f>
        <v>0.17499162642653901</v>
      </c>
      <c r="AI1182" s="1">
        <f>R1182</f>
        <v>16</v>
      </c>
      <c r="AJ1182" s="1">
        <f>P1182</f>
        <v>-5083</v>
      </c>
    </row>
    <row r="1183" spans="1:36" x14ac:dyDescent="0.25">
      <c r="A1183" t="s">
        <v>182</v>
      </c>
      <c r="B1183">
        <v>2023</v>
      </c>
      <c r="C1183" s="1">
        <v>1441924</v>
      </c>
      <c r="D1183" s="1">
        <v>-447659</v>
      </c>
      <c r="E1183" s="1">
        <v>-451577</v>
      </c>
      <c r="G1183" s="1">
        <v>8900743</v>
      </c>
      <c r="H1183" s="1">
        <v>2489088</v>
      </c>
      <c r="I1183" s="1">
        <v>69885</v>
      </c>
      <c r="J1183" s="1">
        <v>3603776</v>
      </c>
      <c r="K1183" s="1">
        <v>1608679</v>
      </c>
      <c r="L1183" s="1">
        <v>1121676</v>
      </c>
      <c r="M1183" s="1">
        <v>865283</v>
      </c>
      <c r="O1183" s="1">
        <v>5296967</v>
      </c>
      <c r="P1183" s="1">
        <v>-292596</v>
      </c>
      <c r="Q1183" s="1">
        <v>-15936</v>
      </c>
      <c r="R1183" s="1">
        <v>9.8000000000000007</v>
      </c>
      <c r="T1183">
        <f>E1183/G1183</f>
        <v>-5.0734753267227241E-2</v>
      </c>
      <c r="U1183">
        <f>D1183/C1183</f>
        <v>-0.3104594971718343</v>
      </c>
      <c r="V1183">
        <f>(E1183-F1183)/O1183</f>
        <v>-8.5251994207251061E-2</v>
      </c>
      <c r="W1183">
        <f>H1183/K1183</f>
        <v>1.5472869354296288</v>
      </c>
      <c r="X1183">
        <f>(H1183-I1183)/K1183</f>
        <v>1.5038444587142619</v>
      </c>
      <c r="Y1183">
        <f>(H1183-K1183)/G1183</f>
        <v>9.8914101890145573E-2</v>
      </c>
      <c r="Z1183" t="e">
        <f>J1183/N1183</f>
        <v>#DIV/0!</v>
      </c>
      <c r="AA1183">
        <f>J1183/G1183</f>
        <v>0.4048848506242681</v>
      </c>
      <c r="AB1183">
        <f>C1183/G1183</f>
        <v>0.1620004082805222</v>
      </c>
      <c r="AC1183">
        <f>C1183/(G1183-K1183)</f>
        <v>0.19773880207304817</v>
      </c>
      <c r="AD1183">
        <f>Q1183/E1183</f>
        <v>3.5289662671039487E-2</v>
      </c>
      <c r="AE1183">
        <f>Q1183/J1183</f>
        <v>-4.4220284501589446E-3</v>
      </c>
      <c r="AF1183">
        <f>Q1183/G1183</f>
        <v>-1.790412328498868E-3</v>
      </c>
      <c r="AG1183">
        <f>Q1183/K1183</f>
        <v>-9.9062647053887072E-3</v>
      </c>
      <c r="AH1183">
        <f>Q1183/L1183</f>
        <v>-1.4207311202165332E-2</v>
      </c>
      <c r="AI1183" s="1">
        <f>R1183</f>
        <v>9.8000000000000007</v>
      </c>
      <c r="AJ1183" s="1">
        <f>P1183</f>
        <v>-292596</v>
      </c>
    </row>
    <row r="1184" spans="1:36" x14ac:dyDescent="0.25">
      <c r="A1184" t="s">
        <v>182</v>
      </c>
      <c r="B1184">
        <v>2024</v>
      </c>
      <c r="C1184" s="1">
        <v>2869507</v>
      </c>
      <c r="D1184" s="1">
        <v>660528</v>
      </c>
      <c r="E1184" s="1">
        <v>559733</v>
      </c>
      <c r="G1184" s="1">
        <v>9411703</v>
      </c>
      <c r="H1184" s="1">
        <v>3062007</v>
      </c>
      <c r="I1184" s="1">
        <v>84860</v>
      </c>
      <c r="J1184" s="1">
        <v>3556461</v>
      </c>
      <c r="K1184" s="1">
        <v>1904968</v>
      </c>
      <c r="L1184" s="1">
        <v>706491</v>
      </c>
      <c r="M1184" s="1">
        <v>482390</v>
      </c>
      <c r="O1184" s="1">
        <v>5855242</v>
      </c>
      <c r="P1184" s="1">
        <v>130605</v>
      </c>
      <c r="Q1184" s="1">
        <v>304826</v>
      </c>
      <c r="R1184" s="1">
        <v>14</v>
      </c>
      <c r="T1184">
        <f>E1184/G1184</f>
        <v>5.9472021163438755E-2</v>
      </c>
      <c r="U1184">
        <f>D1184/C1184</f>
        <v>0.23018867003983612</v>
      </c>
      <c r="V1184">
        <f>(E1184-F1184)/O1184</f>
        <v>9.559519486982776E-2</v>
      </c>
      <c r="W1184">
        <f>H1184/K1184</f>
        <v>1.6073797565103456</v>
      </c>
      <c r="X1184">
        <f>(H1184-I1184)/K1184</f>
        <v>1.5628330764611269</v>
      </c>
      <c r="Y1184">
        <f>(H1184-K1184)/G1184</f>
        <v>0.12293619975045961</v>
      </c>
      <c r="Z1184" t="e">
        <f>J1184/N1184</f>
        <v>#DIV/0!</v>
      </c>
      <c r="AA1184">
        <f>J1184/G1184</f>
        <v>0.37787645870253239</v>
      </c>
      <c r="AB1184">
        <f>C1184/G1184</f>
        <v>0.30488711766616522</v>
      </c>
      <c r="AC1184">
        <f>C1184/(G1184-K1184)</f>
        <v>0.38225766594931088</v>
      </c>
      <c r="AD1184">
        <f>Q1184/E1184</f>
        <v>0.54459179644580546</v>
      </c>
      <c r="AE1184">
        <f>Q1184/J1184</f>
        <v>8.5710485789103272E-2</v>
      </c>
      <c r="AF1184">
        <f>Q1184/G1184</f>
        <v>3.2387974843660065E-2</v>
      </c>
      <c r="AG1184">
        <f>Q1184/K1184</f>
        <v>0.16001633623241965</v>
      </c>
      <c r="AH1184">
        <f>Q1184/L1184</f>
        <v>0.43146480280711291</v>
      </c>
      <c r="AI1184" s="1">
        <f>R1184</f>
        <v>14</v>
      </c>
      <c r="AJ1184" s="1">
        <f>P1184</f>
        <v>130605</v>
      </c>
    </row>
    <row r="1185" spans="1:36" x14ac:dyDescent="0.25">
      <c r="A1185" t="s">
        <v>186</v>
      </c>
      <c r="B1185">
        <v>2018</v>
      </c>
      <c r="C1185" s="1">
        <v>374309</v>
      </c>
      <c r="D1185" s="1">
        <v>70882</v>
      </c>
      <c r="E1185" s="1">
        <v>55466</v>
      </c>
      <c r="G1185" s="1">
        <v>872618</v>
      </c>
      <c r="H1185" s="1">
        <v>256077</v>
      </c>
      <c r="I1185" s="1">
        <v>11682</v>
      </c>
      <c r="J1185" s="1">
        <v>355963</v>
      </c>
      <c r="K1185" s="1">
        <v>224251</v>
      </c>
      <c r="L1185" s="1">
        <v>127282</v>
      </c>
      <c r="M1185" s="1">
        <v>102514</v>
      </c>
      <c r="O1185" s="1">
        <v>516655</v>
      </c>
      <c r="P1185" s="1">
        <v>181340</v>
      </c>
      <c r="Q1185" s="1">
        <v>3407</v>
      </c>
      <c r="R1185" s="1">
        <v>41.1</v>
      </c>
      <c r="T1185">
        <f>E1185/G1185</f>
        <v>6.3562750252687886E-2</v>
      </c>
      <c r="U1185">
        <f>D1185/C1185</f>
        <v>0.18936760804575897</v>
      </c>
      <c r="V1185">
        <f>(E1185-F1185)/O1185</f>
        <v>0.10735597255421897</v>
      </c>
      <c r="W1185">
        <f>H1185/K1185</f>
        <v>1.1419213292248418</v>
      </c>
      <c r="X1185">
        <f>(H1185-I1185)/K1185</f>
        <v>1.0898279160405082</v>
      </c>
      <c r="Y1185">
        <f>(H1185-K1185)/G1185</f>
        <v>3.6471858247251375E-2</v>
      </c>
      <c r="Z1185" t="e">
        <f>J1185/N1185</f>
        <v>#DIV/0!</v>
      </c>
      <c r="AA1185">
        <f>J1185/G1185</f>
        <v>0.4079253464860913</v>
      </c>
      <c r="AB1185">
        <f>C1185/G1185</f>
        <v>0.4289494372107841</v>
      </c>
      <c r="AC1185">
        <f>C1185/(G1185-K1185)</f>
        <v>0.57731038131181878</v>
      </c>
      <c r="AD1185">
        <f>Q1185/E1185</f>
        <v>6.1425017127609706E-2</v>
      </c>
      <c r="AE1185">
        <f>Q1185/J1185</f>
        <v>9.5712194806763622E-3</v>
      </c>
      <c r="AF1185">
        <f>Q1185/G1185</f>
        <v>3.9043430229493319E-3</v>
      </c>
      <c r="AG1185">
        <f>Q1185/K1185</f>
        <v>1.5192797356533528E-2</v>
      </c>
      <c r="AH1185">
        <f>Q1185/L1185</f>
        <v>2.6767335522697631E-2</v>
      </c>
      <c r="AI1185" s="1">
        <f>R1185</f>
        <v>41.1</v>
      </c>
      <c r="AJ1185" s="1">
        <f>P1185</f>
        <v>181340</v>
      </c>
    </row>
    <row r="1186" spans="1:36" x14ac:dyDescent="0.25">
      <c r="A1186" t="s">
        <v>186</v>
      </c>
      <c r="B1186">
        <v>2019</v>
      </c>
      <c r="C1186" s="1">
        <v>420719</v>
      </c>
      <c r="D1186" s="1">
        <v>94040</v>
      </c>
      <c r="E1186" s="1">
        <v>80963</v>
      </c>
      <c r="G1186" s="1">
        <v>927334</v>
      </c>
      <c r="H1186" s="1">
        <v>310714</v>
      </c>
      <c r="I1186" s="1">
        <v>12278</v>
      </c>
      <c r="J1186" s="1">
        <v>315748</v>
      </c>
      <c r="K1186" s="1">
        <v>179679</v>
      </c>
      <c r="L1186" s="1">
        <v>127430</v>
      </c>
      <c r="M1186" s="1">
        <v>96162</v>
      </c>
      <c r="O1186" s="1">
        <v>611586</v>
      </c>
      <c r="P1186" s="1">
        <v>259604</v>
      </c>
      <c r="Q1186" s="1">
        <v>30716</v>
      </c>
      <c r="R1186" s="1">
        <v>46.7</v>
      </c>
      <c r="T1186">
        <f>E1186/G1186</f>
        <v>8.7307270088231428E-2</v>
      </c>
      <c r="U1186">
        <f>D1186/C1186</f>
        <v>0.22352211333455346</v>
      </c>
      <c r="V1186">
        <f>(E1186-F1186)/O1186</f>
        <v>0.13238203621404021</v>
      </c>
      <c r="W1186">
        <f>H1186/K1186</f>
        <v>1.7292727586418002</v>
      </c>
      <c r="X1186">
        <f>(H1186-I1186)/K1186</f>
        <v>1.6609397870647098</v>
      </c>
      <c r="Y1186">
        <f>(H1186-K1186)/G1186</f>
        <v>0.14130291782680243</v>
      </c>
      <c r="Z1186" t="e">
        <f>J1186/N1186</f>
        <v>#DIV/0!</v>
      </c>
      <c r="AA1186">
        <f>J1186/G1186</f>
        <v>0.3404900499712078</v>
      </c>
      <c r="AB1186">
        <f>C1186/G1186</f>
        <v>0.4536865897292669</v>
      </c>
      <c r="AC1186">
        <f>C1186/(G1186-K1186)</f>
        <v>0.56271809858825261</v>
      </c>
      <c r="AD1186">
        <f>Q1186/E1186</f>
        <v>0.37938317503056951</v>
      </c>
      <c r="AE1186">
        <f>Q1186/J1186</f>
        <v>9.7280109454375013E-2</v>
      </c>
      <c r="AF1186">
        <f>Q1186/G1186</f>
        <v>3.3122909329324712E-2</v>
      </c>
      <c r="AG1186">
        <f>Q1186/K1186</f>
        <v>0.17094930403664313</v>
      </c>
      <c r="AH1186">
        <f>Q1186/L1186</f>
        <v>0.24104214078317507</v>
      </c>
      <c r="AI1186" s="1">
        <f>R1186</f>
        <v>46.7</v>
      </c>
      <c r="AJ1186" s="1">
        <f>P1186</f>
        <v>259604</v>
      </c>
    </row>
    <row r="1187" spans="1:36" x14ac:dyDescent="0.25">
      <c r="A1187" t="s">
        <v>186</v>
      </c>
      <c r="B1187">
        <v>2020</v>
      </c>
      <c r="C1187" s="1">
        <v>239895</v>
      </c>
      <c r="D1187" s="1">
        <v>-32520</v>
      </c>
      <c r="E1187" s="1">
        <v>-33691</v>
      </c>
      <c r="G1187" s="1">
        <v>921760</v>
      </c>
      <c r="H1187" s="1">
        <v>308009</v>
      </c>
      <c r="I1187" s="1">
        <v>10950</v>
      </c>
      <c r="J1187" s="1">
        <v>358140</v>
      </c>
      <c r="K1187" s="1">
        <v>185056</v>
      </c>
      <c r="L1187" s="1">
        <v>143536</v>
      </c>
      <c r="M1187" s="1">
        <v>104306</v>
      </c>
      <c r="O1187" s="1">
        <v>563620</v>
      </c>
      <c r="P1187" s="1">
        <v>220137</v>
      </c>
      <c r="Q1187" s="1">
        <v>-12109</v>
      </c>
      <c r="R1187" s="1">
        <v>37.200000000000003</v>
      </c>
      <c r="T1187">
        <f>E1187/G1187</f>
        <v>-3.6550729040097207E-2</v>
      </c>
      <c r="U1187">
        <f>D1187/C1187</f>
        <v>-0.13555930719689865</v>
      </c>
      <c r="V1187">
        <f>(E1187-F1187)/O1187</f>
        <v>-5.9776090273588586E-2</v>
      </c>
      <c r="W1187">
        <f>H1187/K1187</f>
        <v>1.6644096922012797</v>
      </c>
      <c r="X1187">
        <f>(H1187-I1187)/K1187</f>
        <v>1.6052384143178282</v>
      </c>
      <c r="Y1187">
        <f>(H1187-K1187)/G1187</f>
        <v>0.13338938552334664</v>
      </c>
      <c r="Z1187" t="e">
        <f>J1187/N1187</f>
        <v>#DIV/0!</v>
      </c>
      <c r="AA1187">
        <f>J1187/G1187</f>
        <v>0.38853931609095643</v>
      </c>
      <c r="AB1187">
        <f>C1187/G1187</f>
        <v>0.26025755077243534</v>
      </c>
      <c r="AC1187">
        <f>C1187/(G1187-K1187)</f>
        <v>0.32563281860828774</v>
      </c>
      <c r="AD1187">
        <f>Q1187/E1187</f>
        <v>0.35941349321777327</v>
      </c>
      <c r="AE1187">
        <f>Q1187/J1187</f>
        <v>-3.3810800245713965E-2</v>
      </c>
      <c r="AF1187">
        <f>Q1187/G1187</f>
        <v>-1.3136825203957645E-2</v>
      </c>
      <c r="AG1187">
        <f>Q1187/K1187</f>
        <v>-6.5434246930658829E-2</v>
      </c>
      <c r="AH1187">
        <f>Q1187/L1187</f>
        <v>-8.4362111247352586E-2</v>
      </c>
      <c r="AI1187" s="1">
        <f>R1187</f>
        <v>37.200000000000003</v>
      </c>
      <c r="AJ1187" s="1">
        <f>P1187</f>
        <v>220137</v>
      </c>
    </row>
    <row r="1188" spans="1:36" x14ac:dyDescent="0.25">
      <c r="A1188" t="s">
        <v>186</v>
      </c>
      <c r="B1188">
        <v>2021</v>
      </c>
      <c r="C1188" s="1">
        <v>118302</v>
      </c>
      <c r="D1188" s="1">
        <v>-65435</v>
      </c>
      <c r="E1188" s="1">
        <v>-73429</v>
      </c>
      <c r="G1188" s="1">
        <v>946066</v>
      </c>
      <c r="H1188" s="1">
        <v>320210</v>
      </c>
      <c r="I1188" s="1">
        <v>11172</v>
      </c>
      <c r="J1188" s="1">
        <v>423647</v>
      </c>
      <c r="K1188" s="1">
        <v>217375</v>
      </c>
      <c r="L1188" s="1">
        <v>167861</v>
      </c>
      <c r="M1188" s="1">
        <v>136593</v>
      </c>
      <c r="O1188" s="1">
        <v>522419</v>
      </c>
      <c r="P1188" s="1">
        <v>148259</v>
      </c>
      <c r="Q1188" s="1">
        <v>-24421</v>
      </c>
      <c r="R1188" s="1">
        <v>35.799999999999997</v>
      </c>
      <c r="T1188">
        <f>E1188/G1188</f>
        <v>-7.7615092393131135E-2</v>
      </c>
      <c r="U1188">
        <f>D1188/C1188</f>
        <v>-0.55311829047691496</v>
      </c>
      <c r="V1188">
        <f>(E1188-F1188)/O1188</f>
        <v>-0.14055576079736762</v>
      </c>
      <c r="W1188">
        <f>H1188/K1188</f>
        <v>1.4730764807360552</v>
      </c>
      <c r="X1188">
        <f>(H1188-I1188)/K1188</f>
        <v>1.4216814261069579</v>
      </c>
      <c r="Y1188">
        <f>(H1188-K1188)/G1188</f>
        <v>0.10869749044992633</v>
      </c>
      <c r="Z1188" t="e">
        <f>J1188/N1188</f>
        <v>#DIV/0!</v>
      </c>
      <c r="AA1188">
        <f>J1188/G1188</f>
        <v>0.44779856796460288</v>
      </c>
      <c r="AB1188">
        <f>C1188/G1188</f>
        <v>0.12504624413095916</v>
      </c>
      <c r="AC1188">
        <f>C1188/(G1188-K1188)</f>
        <v>0.16234864983923228</v>
      </c>
      <c r="AD1188">
        <f>Q1188/E1188</f>
        <v>0.33257977093518909</v>
      </c>
      <c r="AE1188">
        <f>Q1188/J1188</f>
        <v>-5.7644690036752294E-2</v>
      </c>
      <c r="AF1188">
        <f>Q1188/G1188</f>
        <v>-2.581320964922109E-2</v>
      </c>
      <c r="AG1188">
        <f>Q1188/K1188</f>
        <v>-0.11234502587694077</v>
      </c>
      <c r="AH1188">
        <f>Q1188/L1188</f>
        <v>-0.14548346548632499</v>
      </c>
      <c r="AI1188" s="1">
        <f>R1188</f>
        <v>35.799999999999997</v>
      </c>
      <c r="AJ1188" s="1">
        <f>P1188</f>
        <v>148259</v>
      </c>
    </row>
    <row r="1189" spans="1:36" x14ac:dyDescent="0.25">
      <c r="A1189" t="s">
        <v>186</v>
      </c>
      <c r="B1189">
        <v>2022</v>
      </c>
      <c r="C1189" s="1">
        <v>114743</v>
      </c>
      <c r="D1189" s="1">
        <v>-55836</v>
      </c>
      <c r="E1189" s="1">
        <v>-18405</v>
      </c>
      <c r="G1189" s="1">
        <v>948282</v>
      </c>
      <c r="H1189" s="1">
        <v>332991</v>
      </c>
      <c r="I1189" s="1">
        <v>9224</v>
      </c>
      <c r="J1189" s="1">
        <v>444032</v>
      </c>
      <c r="K1189" s="1">
        <v>253220</v>
      </c>
      <c r="L1189" s="1">
        <v>174310</v>
      </c>
      <c r="M1189" s="1">
        <v>143042</v>
      </c>
      <c r="O1189" s="1">
        <v>504250</v>
      </c>
      <c r="P1189" s="1">
        <v>121552</v>
      </c>
      <c r="Q1189" s="1">
        <v>-4559</v>
      </c>
      <c r="R1189" s="1">
        <v>60</v>
      </c>
      <c r="T1189">
        <f>E1189/G1189</f>
        <v>-1.9408783463147037E-2</v>
      </c>
      <c r="U1189">
        <f>D1189/C1189</f>
        <v>-0.48661792004741028</v>
      </c>
      <c r="V1189">
        <f>(E1189-F1189)/O1189</f>
        <v>-3.6499752107089736E-2</v>
      </c>
      <c r="W1189">
        <f>H1189/K1189</f>
        <v>1.3150264592054339</v>
      </c>
      <c r="X1189">
        <f>(H1189-I1189)/K1189</f>
        <v>1.2785996366795671</v>
      </c>
      <c r="Y1189">
        <f>(H1189-K1189)/G1189</f>
        <v>8.4121600958364712E-2</v>
      </c>
      <c r="Z1189" t="e">
        <f>J1189/N1189</f>
        <v>#DIV/0!</v>
      </c>
      <c r="AA1189">
        <f>J1189/G1189</f>
        <v>0.46824889642532497</v>
      </c>
      <c r="AB1189">
        <f>C1189/G1189</f>
        <v>0.12100092588491609</v>
      </c>
      <c r="AC1189">
        <f>C1189/(G1189-K1189)</f>
        <v>0.16508311488759275</v>
      </c>
      <c r="AD1189">
        <f>Q1189/E1189</f>
        <v>0.24770442814452595</v>
      </c>
      <c r="AE1189">
        <f>Q1189/J1189</f>
        <v>-1.0267278034015566E-2</v>
      </c>
      <c r="AF1189">
        <f>Q1189/G1189</f>
        <v>-4.8076416087197687E-3</v>
      </c>
      <c r="AG1189">
        <f>Q1189/K1189</f>
        <v>-1.800410710054498E-2</v>
      </c>
      <c r="AH1189">
        <f>Q1189/L1189</f>
        <v>-2.6154552234524696E-2</v>
      </c>
      <c r="AI1189" s="1">
        <f>R1189</f>
        <v>60</v>
      </c>
      <c r="AJ1189" s="1">
        <f>P1189</f>
        <v>121552</v>
      </c>
    </row>
    <row r="1190" spans="1:36" x14ac:dyDescent="0.25">
      <c r="A1190" t="s">
        <v>186</v>
      </c>
      <c r="B1190">
        <v>2023</v>
      </c>
      <c r="C1190" s="1">
        <v>150003</v>
      </c>
      <c r="D1190" s="1">
        <v>-124212</v>
      </c>
      <c r="E1190" s="1">
        <v>-91387</v>
      </c>
      <c r="G1190" s="1">
        <v>930686</v>
      </c>
      <c r="H1190" s="1">
        <v>280607</v>
      </c>
      <c r="I1190" s="1">
        <v>12254</v>
      </c>
      <c r="J1190" s="1">
        <v>502662</v>
      </c>
      <c r="K1190" s="1">
        <v>288554</v>
      </c>
      <c r="L1190" s="1">
        <v>202977</v>
      </c>
      <c r="M1190" s="1">
        <v>168372</v>
      </c>
      <c r="O1190" s="1">
        <v>428024</v>
      </c>
      <c r="P1190" s="1">
        <v>8042</v>
      </c>
      <c r="Q1190" s="1">
        <v>-26645</v>
      </c>
      <c r="R1190" s="1">
        <v>55</v>
      </c>
      <c r="T1190">
        <f>E1190/G1190</f>
        <v>-9.8193160743795443E-2</v>
      </c>
      <c r="U1190">
        <f>D1190/C1190</f>
        <v>-0.82806343873122534</v>
      </c>
      <c r="V1190">
        <f>(E1190-F1190)/O1190</f>
        <v>-0.21350905556697755</v>
      </c>
      <c r="W1190">
        <f>H1190/K1190</f>
        <v>0.9724592277355365</v>
      </c>
      <c r="X1190">
        <f>(H1190-I1190)/K1190</f>
        <v>0.92999230646603404</v>
      </c>
      <c r="Y1190">
        <f>(H1190-K1190)/G1190</f>
        <v>-8.5388627313615975E-3</v>
      </c>
      <c r="Z1190" t="e">
        <f>J1190/N1190</f>
        <v>#DIV/0!</v>
      </c>
      <c r="AA1190">
        <f>J1190/G1190</f>
        <v>0.54009837904513447</v>
      </c>
      <c r="AB1190">
        <f>C1190/G1190</f>
        <v>0.16117466041178227</v>
      </c>
      <c r="AC1190">
        <f>C1190/(G1190-K1190)</f>
        <v>0.23360150249481415</v>
      </c>
      <c r="AD1190">
        <f>Q1190/E1190</f>
        <v>0.29156225721382689</v>
      </c>
      <c r="AE1190">
        <f>Q1190/J1190</f>
        <v>-5.3007786544437413E-2</v>
      </c>
      <c r="AF1190">
        <f>Q1190/G1190</f>
        <v>-2.8629419589421137E-2</v>
      </c>
      <c r="AG1190">
        <f>Q1190/K1190</f>
        <v>-9.2339735370156023E-2</v>
      </c>
      <c r="AH1190">
        <f>Q1190/L1190</f>
        <v>-0.13127103070791271</v>
      </c>
      <c r="AI1190" s="1">
        <f>R1190</f>
        <v>55</v>
      </c>
      <c r="AJ1190" s="1">
        <f>P1190</f>
        <v>8042</v>
      </c>
    </row>
    <row r="1191" spans="1:36" x14ac:dyDescent="0.25">
      <c r="A1191" t="s">
        <v>186</v>
      </c>
      <c r="B1191">
        <v>2024</v>
      </c>
      <c r="C1191" s="1">
        <v>302857</v>
      </c>
      <c r="D1191" s="1">
        <v>-43135</v>
      </c>
      <c r="E1191" s="1">
        <v>-26406</v>
      </c>
      <c r="G1191" s="1">
        <v>950551</v>
      </c>
      <c r="H1191" s="1">
        <v>284034</v>
      </c>
      <c r="I1191" s="1">
        <v>11520</v>
      </c>
      <c r="J1191" s="1">
        <v>534876</v>
      </c>
      <c r="K1191" s="1">
        <v>294603</v>
      </c>
      <c r="L1191" s="1">
        <v>227580</v>
      </c>
      <c r="M1191" s="1">
        <v>196312</v>
      </c>
      <c r="O1191" s="1">
        <v>415675</v>
      </c>
      <c r="P1191" s="1">
        <v>-25409</v>
      </c>
      <c r="Q1191" s="1">
        <v>-14571</v>
      </c>
      <c r="R1191" s="1">
        <v>47.4</v>
      </c>
      <c r="T1191">
        <f>E1191/G1191</f>
        <v>-2.7779677260872906E-2</v>
      </c>
      <c r="U1191">
        <f>D1191/C1191</f>
        <v>-0.14242695397497829</v>
      </c>
      <c r="V1191">
        <f>(E1191-F1191)/O1191</f>
        <v>-6.3525590906357135E-2</v>
      </c>
      <c r="W1191">
        <f>H1191/K1191</f>
        <v>0.9641246015824686</v>
      </c>
      <c r="X1191">
        <f>(H1191-I1191)/K1191</f>
        <v>0.92502113013105769</v>
      </c>
      <c r="Y1191">
        <f>(H1191-K1191)/G1191</f>
        <v>-1.1118814245632271E-2</v>
      </c>
      <c r="Z1191" t="e">
        <f>J1191/N1191</f>
        <v>#DIV/0!</v>
      </c>
      <c r="AA1191">
        <f>J1191/G1191</f>
        <v>0.56270100183998539</v>
      </c>
      <c r="AB1191">
        <f>C1191/G1191</f>
        <v>0.31861204711793478</v>
      </c>
      <c r="AC1191">
        <f>C1191/(G1191-K1191)</f>
        <v>0.46170885497021108</v>
      </c>
      <c r="AD1191">
        <f>Q1191/E1191</f>
        <v>0.55180640763462852</v>
      </c>
      <c r="AE1191">
        <f>Q1191/J1191</f>
        <v>-2.724182801247392E-2</v>
      </c>
      <c r="AF1191">
        <f>Q1191/G1191</f>
        <v>-1.5329003914571654E-2</v>
      </c>
      <c r="AG1191">
        <f>Q1191/K1191</f>
        <v>-4.9459781468620484E-2</v>
      </c>
      <c r="AH1191">
        <f>Q1191/L1191</f>
        <v>-6.4025837068283686E-2</v>
      </c>
      <c r="AI1191" s="1">
        <f>R1191</f>
        <v>47.4</v>
      </c>
      <c r="AJ1191" s="1">
        <f>P1191</f>
        <v>-25409</v>
      </c>
    </row>
    <row r="1192" spans="1:36" x14ac:dyDescent="0.25">
      <c r="A1192" t="s">
        <v>180</v>
      </c>
      <c r="B1192">
        <v>2018</v>
      </c>
      <c r="C1192" s="1">
        <v>1116449</v>
      </c>
      <c r="D1192" s="1">
        <v>16973</v>
      </c>
      <c r="E1192" s="1">
        <v>8849</v>
      </c>
      <c r="G1192" s="1">
        <v>1015234</v>
      </c>
      <c r="H1192" s="1">
        <v>594336</v>
      </c>
      <c r="I1192" s="1">
        <v>182733</v>
      </c>
      <c r="J1192" s="1">
        <v>461146</v>
      </c>
      <c r="K1192" s="1">
        <v>412118</v>
      </c>
      <c r="L1192" s="1">
        <v>193137</v>
      </c>
      <c r="M1192" s="1">
        <v>0</v>
      </c>
      <c r="O1192" s="1">
        <v>554088</v>
      </c>
      <c r="P1192" s="1">
        <v>334487</v>
      </c>
      <c r="Q1192" s="1">
        <v>30042</v>
      </c>
      <c r="R1192" s="1">
        <v>88.1</v>
      </c>
      <c r="T1192">
        <f>E1192/G1192</f>
        <v>8.7162171479678585E-3</v>
      </c>
      <c r="U1192">
        <f>D1192/C1192</f>
        <v>1.5202664877661228E-2</v>
      </c>
      <c r="V1192">
        <f>(E1192-F1192)/O1192</f>
        <v>1.5970387375290569E-2</v>
      </c>
      <c r="W1192">
        <f>H1192/K1192</f>
        <v>1.4421500638166738</v>
      </c>
      <c r="X1192">
        <f>(H1192-I1192)/K1192</f>
        <v>0.99875035790720135</v>
      </c>
      <c r="Y1192">
        <f>(H1192-K1192)/G1192</f>
        <v>0.17948374463424197</v>
      </c>
      <c r="Z1192" t="e">
        <f>J1192/N1192</f>
        <v>#DIV/0!</v>
      </c>
      <c r="AA1192">
        <f>J1192/G1192</f>
        <v>0.45422631629752352</v>
      </c>
      <c r="AB1192">
        <f>C1192/G1192</f>
        <v>1.09969622766771</v>
      </c>
      <c r="AC1192">
        <f>C1192/(G1192-K1192)</f>
        <v>1.8511347734100903</v>
      </c>
      <c r="AD1192">
        <f>Q1192/E1192</f>
        <v>3.3949598824725959</v>
      </c>
      <c r="AE1192">
        <f>Q1192/J1192</f>
        <v>6.5146396152194752E-2</v>
      </c>
      <c r="AF1192">
        <f>Q1192/G1192</f>
        <v>2.9591207544270581E-2</v>
      </c>
      <c r="AG1192">
        <f>Q1192/K1192</f>
        <v>7.2896597576422292E-2</v>
      </c>
      <c r="AH1192">
        <f>Q1192/L1192</f>
        <v>0.15554761645878315</v>
      </c>
      <c r="AI1192" s="1">
        <f>R1192</f>
        <v>88.1</v>
      </c>
      <c r="AJ1192" s="1">
        <f>P1192</f>
        <v>334487</v>
      </c>
    </row>
    <row r="1193" spans="1:36" x14ac:dyDescent="0.25">
      <c r="A1193" t="s">
        <v>180</v>
      </c>
      <c r="B1193">
        <v>2019</v>
      </c>
      <c r="C1193" s="1">
        <v>1569345</v>
      </c>
      <c r="D1193" s="1">
        <v>43635</v>
      </c>
      <c r="E1193" s="1">
        <v>25007</v>
      </c>
      <c r="G1193" s="1">
        <v>1195250</v>
      </c>
      <c r="H1193" s="1">
        <v>721314</v>
      </c>
      <c r="I1193" s="1">
        <v>198337</v>
      </c>
      <c r="J1193" s="1">
        <v>557113</v>
      </c>
      <c r="K1193" s="1">
        <v>375527</v>
      </c>
      <c r="L1193" s="1">
        <v>284262</v>
      </c>
      <c r="M1193" s="1">
        <v>0</v>
      </c>
      <c r="O1193" s="1">
        <v>638137</v>
      </c>
      <c r="P1193" s="1">
        <v>418537</v>
      </c>
      <c r="Q1193" s="1">
        <v>-74076</v>
      </c>
      <c r="R1193" s="1">
        <v>98.9</v>
      </c>
      <c r="T1193">
        <f>E1193/G1193</f>
        <v>2.0921982848776405E-2</v>
      </c>
      <c r="U1193">
        <f>D1193/C1193</f>
        <v>2.7804593636198541E-2</v>
      </c>
      <c r="V1193">
        <f>(E1193-F1193)/O1193</f>
        <v>3.9187509892076464E-2</v>
      </c>
      <c r="W1193">
        <f>H1193/K1193</f>
        <v>1.9208046292277252</v>
      </c>
      <c r="X1193">
        <f>(H1193-I1193)/K1193</f>
        <v>1.3926481983985173</v>
      </c>
      <c r="Y1193">
        <f>(H1193-K1193)/G1193</f>
        <v>0.28930098305793767</v>
      </c>
      <c r="Z1193" t="e">
        <f>J1193/N1193</f>
        <v>#DIV/0!</v>
      </c>
      <c r="AA1193">
        <f>J1193/G1193</f>
        <v>0.46610583559924701</v>
      </c>
      <c r="AB1193">
        <f>C1193/G1193</f>
        <v>1.3129847312277767</v>
      </c>
      <c r="AC1193">
        <f>C1193/(G1193-K1193)</f>
        <v>1.9144820872416657</v>
      </c>
      <c r="AD1193">
        <f>Q1193/E1193</f>
        <v>-2.9622105810373096</v>
      </c>
      <c r="AE1193">
        <f>Q1193/J1193</f>
        <v>-0.13296404858619346</v>
      </c>
      <c r="AF1193">
        <f>Q1193/G1193</f>
        <v>-6.1975318970926584E-2</v>
      </c>
      <c r="AG1193">
        <f>Q1193/K1193</f>
        <v>-0.19725878565322866</v>
      </c>
      <c r="AH1193">
        <f>Q1193/L1193</f>
        <v>-0.26059058192793971</v>
      </c>
      <c r="AI1193" s="1">
        <f>R1193</f>
        <v>98.9</v>
      </c>
      <c r="AJ1193" s="1">
        <f>P1193</f>
        <v>418537</v>
      </c>
    </row>
    <row r="1194" spans="1:36" x14ac:dyDescent="0.25">
      <c r="A1194" t="s">
        <v>180</v>
      </c>
      <c r="B1194">
        <v>2020</v>
      </c>
      <c r="C1194" s="1">
        <v>1590203</v>
      </c>
      <c r="D1194" s="1">
        <v>12086</v>
      </c>
      <c r="E1194" s="1">
        <v>12311</v>
      </c>
      <c r="G1194" s="1">
        <v>1178574</v>
      </c>
      <c r="H1194" s="1">
        <v>713640</v>
      </c>
      <c r="I1194" s="1">
        <v>269490</v>
      </c>
      <c r="J1194" s="1">
        <v>536165</v>
      </c>
      <c r="K1194" s="1">
        <v>457344</v>
      </c>
      <c r="L1194" s="1">
        <v>282739</v>
      </c>
      <c r="M1194" s="1">
        <v>0</v>
      </c>
      <c r="O1194" s="1">
        <v>642409</v>
      </c>
      <c r="P1194" s="1">
        <v>422809</v>
      </c>
      <c r="Q1194" s="1">
        <v>100949</v>
      </c>
      <c r="R1194" s="1">
        <v>72.099999999999994</v>
      </c>
      <c r="T1194">
        <f>E1194/G1194</f>
        <v>1.0445674179135124E-2</v>
      </c>
      <c r="U1194">
        <f>D1194/C1194</f>
        <v>7.6002875104625011E-3</v>
      </c>
      <c r="V1194">
        <f>(E1194-F1194)/O1194</f>
        <v>1.9163803744966214E-2</v>
      </c>
      <c r="W1194">
        <f>H1194/K1194</f>
        <v>1.5604009235936187</v>
      </c>
      <c r="X1194">
        <f>(H1194-I1194)/K1194</f>
        <v>0.97115081863979846</v>
      </c>
      <c r="Y1194">
        <f>(H1194-K1194)/G1194</f>
        <v>0.21746279826298562</v>
      </c>
      <c r="Z1194" t="e">
        <f>J1194/N1194</f>
        <v>#DIV/0!</v>
      </c>
      <c r="AA1194">
        <f>J1194/G1194</f>
        <v>0.45492688622012706</v>
      </c>
      <c r="AB1194">
        <f>C1194/G1194</f>
        <v>1.3492602076746985</v>
      </c>
      <c r="AC1194">
        <f>C1194/(G1194-K1194)</f>
        <v>2.2048486613146987</v>
      </c>
      <c r="AD1194">
        <f>Q1194/E1194</f>
        <v>8.1999025261960856</v>
      </c>
      <c r="AE1194">
        <f>Q1194/J1194</f>
        <v>0.18827972732274581</v>
      </c>
      <c r="AF1194">
        <f>Q1194/G1194</f>
        <v>8.5653510089311324E-2</v>
      </c>
      <c r="AG1194">
        <f>Q1194/K1194</f>
        <v>0.22072881682059894</v>
      </c>
      <c r="AH1194">
        <f>Q1194/L1194</f>
        <v>0.35703953115771081</v>
      </c>
      <c r="AI1194" s="1">
        <f>R1194</f>
        <v>72.099999999999994</v>
      </c>
      <c r="AJ1194" s="1">
        <f>P1194</f>
        <v>422809</v>
      </c>
    </row>
    <row r="1195" spans="1:36" x14ac:dyDescent="0.25">
      <c r="A1195" t="s">
        <v>180</v>
      </c>
      <c r="B1195">
        <v>2021</v>
      </c>
      <c r="C1195" s="1">
        <v>2185869</v>
      </c>
      <c r="D1195" s="1">
        <v>108360</v>
      </c>
      <c r="E1195" s="1">
        <v>98808</v>
      </c>
      <c r="G1195" s="1">
        <v>1829715</v>
      </c>
      <c r="H1195" s="1">
        <v>1221292</v>
      </c>
      <c r="I1195" s="1">
        <v>527559</v>
      </c>
      <c r="J1195" s="1">
        <v>1089934</v>
      </c>
      <c r="K1195" s="1">
        <v>440970</v>
      </c>
      <c r="L1195" s="1">
        <v>504763</v>
      </c>
      <c r="M1195" s="1">
        <v>0</v>
      </c>
      <c r="O1195" s="1">
        <v>739781</v>
      </c>
      <c r="P1195" s="1">
        <v>520181</v>
      </c>
      <c r="Q1195" s="1">
        <v>-56688</v>
      </c>
      <c r="R1195" s="1">
        <v>134.25</v>
      </c>
      <c r="T1195">
        <f>E1195/G1195</f>
        <v>5.4001852747559045E-2</v>
      </c>
      <c r="U1195">
        <f>D1195/C1195</f>
        <v>4.9572961600169087E-2</v>
      </c>
      <c r="V1195">
        <f>(E1195-F1195)/O1195</f>
        <v>0.13356385200485008</v>
      </c>
      <c r="W1195">
        <f>H1195/K1195</f>
        <v>2.7695580198199425</v>
      </c>
      <c r="X1195">
        <f>(H1195-I1195)/K1195</f>
        <v>1.5731977232011247</v>
      </c>
      <c r="Y1195">
        <f>(H1195-K1195)/G1195</f>
        <v>0.42647188223302535</v>
      </c>
      <c r="Z1195" t="e">
        <f>J1195/N1195</f>
        <v>#DIV/0!</v>
      </c>
      <c r="AA1195">
        <f>J1195/G1195</f>
        <v>0.59568512036027466</v>
      </c>
      <c r="AB1195">
        <f>C1195/G1195</f>
        <v>1.1946499864733031</v>
      </c>
      <c r="AC1195">
        <f>C1195/(G1195-K1195)</f>
        <v>1.5739887452340062</v>
      </c>
      <c r="AD1195">
        <f>Q1195/E1195</f>
        <v>-0.57371872722856454</v>
      </c>
      <c r="AE1195">
        <f>Q1195/J1195</f>
        <v>-5.2010488708490607E-2</v>
      </c>
      <c r="AF1195">
        <f>Q1195/G1195</f>
        <v>-3.0981874226313936E-2</v>
      </c>
      <c r="AG1195">
        <f>Q1195/K1195</f>
        <v>-0.12855296278658412</v>
      </c>
      <c r="AH1195">
        <f>Q1195/L1195</f>
        <v>-0.11230617141113751</v>
      </c>
      <c r="AI1195" s="1">
        <f>R1195</f>
        <v>134.25</v>
      </c>
      <c r="AJ1195" s="1">
        <f>P1195</f>
        <v>520181</v>
      </c>
    </row>
    <row r="1196" spans="1:36" x14ac:dyDescent="0.25">
      <c r="A1196" t="s">
        <v>180</v>
      </c>
      <c r="B1196">
        <v>2022</v>
      </c>
      <c r="C1196" s="1">
        <v>2885189</v>
      </c>
      <c r="D1196" s="1">
        <v>99519</v>
      </c>
      <c r="E1196" s="1">
        <v>84024</v>
      </c>
      <c r="G1196" s="1">
        <v>2092113</v>
      </c>
      <c r="H1196" s="1">
        <v>1491436</v>
      </c>
      <c r="I1196" s="1">
        <v>729844</v>
      </c>
      <c r="J1196" s="1">
        <v>1276252</v>
      </c>
      <c r="K1196" s="1">
        <v>1002535</v>
      </c>
      <c r="L1196" s="1">
        <v>788283</v>
      </c>
      <c r="M1196" s="1">
        <v>0</v>
      </c>
      <c r="O1196" s="1">
        <v>815861</v>
      </c>
      <c r="P1196" s="1">
        <v>596260</v>
      </c>
      <c r="Q1196" s="1">
        <v>-132025</v>
      </c>
      <c r="R1196" s="1">
        <v>184.75</v>
      </c>
      <c r="T1196">
        <f>E1196/G1196</f>
        <v>4.0162266569731174E-2</v>
      </c>
      <c r="U1196">
        <f>D1196/C1196</f>
        <v>3.4493060939855241E-2</v>
      </c>
      <c r="V1196">
        <f>(E1196-F1196)/O1196</f>
        <v>0.10298813155672351</v>
      </c>
      <c r="W1196">
        <f>H1196/K1196</f>
        <v>1.4876647698085355</v>
      </c>
      <c r="X1196">
        <f>(H1196-I1196)/K1196</f>
        <v>0.75966624606622213</v>
      </c>
      <c r="Y1196">
        <f>(H1196-K1196)/G1196</f>
        <v>0.23368766409844974</v>
      </c>
      <c r="Z1196" t="e">
        <f>J1196/N1196</f>
        <v>#DIV/0!</v>
      </c>
      <c r="AA1196">
        <f>J1196/G1196</f>
        <v>0.61003014655518129</v>
      </c>
      <c r="AB1196">
        <f>C1196/G1196</f>
        <v>1.379078950324385</v>
      </c>
      <c r="AC1196">
        <f>C1196/(G1196-K1196)</f>
        <v>2.6479875694993842</v>
      </c>
      <c r="AD1196">
        <f>Q1196/E1196</f>
        <v>-1.571277254117871</v>
      </c>
      <c r="AE1196">
        <f>Q1196/J1196</f>
        <v>-0.10344743828021426</v>
      </c>
      <c r="AF1196">
        <f>Q1196/G1196</f>
        <v>-6.3106055934837174E-2</v>
      </c>
      <c r="AG1196">
        <f>Q1196/K1196</f>
        <v>-0.13169116290204333</v>
      </c>
      <c r="AH1196">
        <f>Q1196/L1196</f>
        <v>-0.16748426643730741</v>
      </c>
      <c r="AI1196" s="1">
        <f>R1196</f>
        <v>184.75</v>
      </c>
      <c r="AJ1196" s="1">
        <f>P1196</f>
        <v>596260</v>
      </c>
    </row>
    <row r="1197" spans="1:36" x14ac:dyDescent="0.25">
      <c r="A1197" t="s">
        <v>180</v>
      </c>
      <c r="B1197">
        <v>2023</v>
      </c>
      <c r="C1197" s="1">
        <v>2894860</v>
      </c>
      <c r="D1197" s="1">
        <v>154648</v>
      </c>
      <c r="E1197" s="1">
        <v>92889</v>
      </c>
      <c r="G1197" s="1">
        <v>2135653</v>
      </c>
      <c r="H1197" s="1">
        <v>1489199</v>
      </c>
      <c r="I1197" s="1">
        <v>806295</v>
      </c>
      <c r="J1197" s="1">
        <v>1234274</v>
      </c>
      <c r="K1197" s="1">
        <v>1188883</v>
      </c>
      <c r="L1197" s="1">
        <v>905784</v>
      </c>
      <c r="M1197" s="1">
        <v>238269</v>
      </c>
      <c r="O1197" s="1">
        <v>901379</v>
      </c>
      <c r="P1197" s="1">
        <v>681778</v>
      </c>
      <c r="Q1197" s="1">
        <v>-12377</v>
      </c>
      <c r="R1197" s="1">
        <v>253.75</v>
      </c>
      <c r="T1197">
        <f>E1197/G1197</f>
        <v>4.3494425358426674E-2</v>
      </c>
      <c r="U1197">
        <f>D1197/C1197</f>
        <v>5.3421581699978585E-2</v>
      </c>
      <c r="V1197">
        <f>(E1197-F1197)/O1197</f>
        <v>0.10305210128037152</v>
      </c>
      <c r="W1197">
        <f>H1197/K1197</f>
        <v>1.2526034942042237</v>
      </c>
      <c r="X1197">
        <f>(H1197-I1197)/K1197</f>
        <v>0.574408078843755</v>
      </c>
      <c r="Y1197">
        <f>(H1197-K1197)/G1197</f>
        <v>0.14062022247996281</v>
      </c>
      <c r="Z1197" t="e">
        <f>J1197/N1197</f>
        <v>#DIV/0!</v>
      </c>
      <c r="AA1197">
        <f>J1197/G1197</f>
        <v>0.57793752074892313</v>
      </c>
      <c r="AB1197">
        <f>C1197/G1197</f>
        <v>1.3554917395288466</v>
      </c>
      <c r="AC1197">
        <f>C1197/(G1197-K1197)</f>
        <v>3.0576169502624713</v>
      </c>
      <c r="AD1197">
        <f>Q1197/E1197</f>
        <v>-0.13324505592696659</v>
      </c>
      <c r="AE1197">
        <f>Q1197/J1197</f>
        <v>-1.0027757207880909E-2</v>
      </c>
      <c r="AF1197">
        <f>Q1197/G1197</f>
        <v>-5.7954171393948366E-3</v>
      </c>
      <c r="AG1197">
        <f>Q1197/K1197</f>
        <v>-1.0410612314247912E-2</v>
      </c>
      <c r="AH1197">
        <f>Q1197/L1197</f>
        <v>-1.3664405641963206E-2</v>
      </c>
      <c r="AI1197" s="1">
        <f>R1197</f>
        <v>253.75</v>
      </c>
      <c r="AJ1197" s="1">
        <f>P1197</f>
        <v>681778</v>
      </c>
    </row>
    <row r="1198" spans="1:36" x14ac:dyDescent="0.25">
      <c r="A1198" t="s">
        <v>180</v>
      </c>
      <c r="B1198">
        <v>2024</v>
      </c>
      <c r="C1198" s="1">
        <v>2316265</v>
      </c>
      <c r="D1198" s="1">
        <v>-287530</v>
      </c>
      <c r="E1198" s="1">
        <v>-294584</v>
      </c>
      <c r="G1198" s="1">
        <v>1819947</v>
      </c>
      <c r="H1198" s="1">
        <v>1119611</v>
      </c>
      <c r="I1198" s="1">
        <v>493978.41499999998</v>
      </c>
      <c r="J1198" s="1">
        <v>1246903.5319999999</v>
      </c>
      <c r="K1198" s="1">
        <v>1102667</v>
      </c>
      <c r="L1198" s="1">
        <v>855679</v>
      </c>
      <c r="M1198" s="1">
        <v>160360</v>
      </c>
      <c r="O1198" s="1">
        <v>573043.46800000011</v>
      </c>
      <c r="P1198" s="1">
        <v>353443</v>
      </c>
      <c r="Q1198" s="1">
        <v>176601</v>
      </c>
      <c r="R1198" s="1">
        <v>147.5</v>
      </c>
      <c r="T1198">
        <f>E1198/G1198</f>
        <v>-0.16186405428289943</v>
      </c>
      <c r="U1198">
        <f>D1198/C1198</f>
        <v>-0.1241351917850505</v>
      </c>
      <c r="V1198">
        <f>(E1198-F1198)/O1198</f>
        <v>-0.51406920495601904</v>
      </c>
      <c r="W1198">
        <f>H1198/K1198</f>
        <v>1.0153663798771524</v>
      </c>
      <c r="X1198">
        <f>(H1198-I1198)/K1198</f>
        <v>0.56738125381461491</v>
      </c>
      <c r="Y1198">
        <f>(H1198-K1198)/G1198</f>
        <v>9.3101612299698842E-3</v>
      </c>
      <c r="Z1198" t="e">
        <f>J1198/N1198</f>
        <v>#DIV/0!</v>
      </c>
      <c r="AA1198">
        <f>J1198/G1198</f>
        <v>0.68513178240904815</v>
      </c>
      <c r="AB1198">
        <f>C1198/G1198</f>
        <v>1.2727101393612013</v>
      </c>
      <c r="AC1198">
        <f>C1198/(G1198-K1198)</f>
        <v>3.2292340508587998</v>
      </c>
      <c r="AD1198">
        <f>Q1198/E1198</f>
        <v>-0.59949284414632165</v>
      </c>
      <c r="AE1198">
        <f>Q1198/J1198</f>
        <v>0.14163164628841554</v>
      </c>
      <c r="AF1198">
        <f>Q1198/G1198</f>
        <v>9.7036342267109971E-2</v>
      </c>
      <c r="AG1198">
        <f>Q1198/K1198</f>
        <v>0.16015805315657403</v>
      </c>
      <c r="AH1198">
        <f>Q1198/L1198</f>
        <v>0.20638697455471036</v>
      </c>
      <c r="AI1198" s="1">
        <f>R1198</f>
        <v>147.5</v>
      </c>
      <c r="AJ1198" s="1">
        <f>P1198</f>
        <v>353443</v>
      </c>
    </row>
    <row r="1199" spans="1:36" x14ac:dyDescent="0.25">
      <c r="A1199" t="s">
        <v>191</v>
      </c>
      <c r="B1199">
        <v>2018</v>
      </c>
      <c r="C1199" s="1">
        <v>151124</v>
      </c>
      <c r="D1199" s="1">
        <v>-46090</v>
      </c>
      <c r="E1199" s="1">
        <v>-50737</v>
      </c>
      <c r="G1199" s="1">
        <v>359538</v>
      </c>
      <c r="H1199" s="1">
        <v>119351</v>
      </c>
      <c r="I1199" s="1">
        <v>20289</v>
      </c>
      <c r="J1199" s="1">
        <v>173723</v>
      </c>
      <c r="K1199" s="1">
        <v>168553</v>
      </c>
      <c r="L1199" s="1">
        <v>108011</v>
      </c>
      <c r="M1199" s="1">
        <v>4127</v>
      </c>
      <c r="O1199" s="1">
        <v>185815</v>
      </c>
      <c r="P1199" s="1">
        <v>-101445</v>
      </c>
      <c r="Q1199" s="1">
        <v>-3572</v>
      </c>
      <c r="R1199" s="1">
        <v>0</v>
      </c>
      <c r="T1199">
        <f>E1199/G1199</f>
        <v>-0.14111721153257792</v>
      </c>
      <c r="U1199">
        <f>D1199/C1199</f>
        <v>-0.30498133982689712</v>
      </c>
      <c r="V1199">
        <f>(E1199-F1199)/O1199</f>
        <v>-0.27305115302854988</v>
      </c>
      <c r="W1199">
        <f>H1199/K1199</f>
        <v>0.70809181681726219</v>
      </c>
      <c r="X1199">
        <f>(H1199-I1199)/K1199</f>
        <v>0.58772018296915507</v>
      </c>
      <c r="Y1199">
        <f>(H1199-K1199)/G1199</f>
        <v>-0.13684784362153654</v>
      </c>
      <c r="Z1199" t="e">
        <f>J1199/N1199</f>
        <v>#DIV/0!</v>
      </c>
      <c r="AA1199">
        <f>J1199/G1199</f>
        <v>0.48318397499012622</v>
      </c>
      <c r="AB1199">
        <f>C1199/G1199</f>
        <v>0.42032831022033834</v>
      </c>
      <c r="AC1199">
        <f>C1199/(G1199-K1199)</f>
        <v>0.79128727386967568</v>
      </c>
      <c r="AD1199">
        <f>Q1199/E1199</f>
        <v>7.0402270532353109E-2</v>
      </c>
      <c r="AE1199">
        <f>Q1199/J1199</f>
        <v>-2.0561468544752277E-2</v>
      </c>
      <c r="AF1199">
        <f>Q1199/G1199</f>
        <v>-9.934972103087851E-3</v>
      </c>
      <c r="AG1199">
        <f>Q1199/K1199</f>
        <v>-2.1192147277117584E-2</v>
      </c>
      <c r="AH1199">
        <f>Q1199/L1199</f>
        <v>-3.3070705761450221E-2</v>
      </c>
      <c r="AI1199" s="1">
        <f>R1199</f>
        <v>0</v>
      </c>
      <c r="AJ1199" s="1">
        <f>P1199</f>
        <v>-101445</v>
      </c>
    </row>
    <row r="1200" spans="1:36" x14ac:dyDescent="0.25">
      <c r="A1200" t="s">
        <v>191</v>
      </c>
      <c r="B1200">
        <v>2019</v>
      </c>
      <c r="C1200" s="1">
        <v>36144</v>
      </c>
      <c r="D1200" s="1">
        <v>-9695</v>
      </c>
      <c r="E1200" s="1">
        <v>-9851</v>
      </c>
      <c r="G1200" s="1">
        <v>259983</v>
      </c>
      <c r="H1200" s="1">
        <v>43601</v>
      </c>
      <c r="I1200" s="1">
        <v>5936</v>
      </c>
      <c r="J1200" s="1">
        <v>106762</v>
      </c>
      <c r="K1200" s="1">
        <v>104138</v>
      </c>
      <c r="L1200" s="1">
        <v>76720</v>
      </c>
      <c r="M1200" s="1">
        <v>0</v>
      </c>
      <c r="O1200" s="1">
        <v>153221</v>
      </c>
      <c r="P1200" s="1">
        <v>-110076</v>
      </c>
      <c r="Q1200" s="1">
        <v>4358</v>
      </c>
      <c r="R1200" s="1">
        <v>0</v>
      </c>
      <c r="T1200">
        <f>E1200/G1200</f>
        <v>-3.7890939022936117E-2</v>
      </c>
      <c r="U1200">
        <f>D1200/C1200</f>
        <v>-0.26823262505533424</v>
      </c>
      <c r="V1200">
        <f>(E1200-F1200)/O1200</f>
        <v>-6.4292753604270961E-2</v>
      </c>
      <c r="W1200">
        <f>H1200/K1200</f>
        <v>0.41868482206303176</v>
      </c>
      <c r="X1200">
        <f>(H1200-I1200)/K1200</f>
        <v>0.361683535308917</v>
      </c>
      <c r="Y1200">
        <f>(H1200-K1200)/G1200</f>
        <v>-0.23284984018185803</v>
      </c>
      <c r="Z1200" t="e">
        <f>J1200/N1200</f>
        <v>#DIV/0!</v>
      </c>
      <c r="AA1200">
        <f>J1200/G1200</f>
        <v>0.41064992711061876</v>
      </c>
      <c r="AB1200">
        <f>C1200/G1200</f>
        <v>0.13902447467719042</v>
      </c>
      <c r="AC1200">
        <f>C1200/(G1200-K1200)</f>
        <v>0.23192274375180469</v>
      </c>
      <c r="AD1200">
        <f>Q1200/E1200</f>
        <v>-0.44239163536696779</v>
      </c>
      <c r="AE1200">
        <f>Q1200/J1200</f>
        <v>4.0819767332946177E-2</v>
      </c>
      <c r="AF1200">
        <f>Q1200/G1200</f>
        <v>1.6762634479946765E-2</v>
      </c>
      <c r="AG1200">
        <f>Q1200/K1200</f>
        <v>4.1848316656743934E-2</v>
      </c>
      <c r="AH1200">
        <f>Q1200/L1200</f>
        <v>5.6803962460896765E-2</v>
      </c>
      <c r="AI1200" s="1">
        <f>R1200</f>
        <v>0</v>
      </c>
      <c r="AJ1200" s="1">
        <f>P1200</f>
        <v>-110076</v>
      </c>
    </row>
    <row r="1201" spans="1:36" x14ac:dyDescent="0.25">
      <c r="A1201" t="s">
        <v>191</v>
      </c>
      <c r="B1201">
        <v>2020</v>
      </c>
      <c r="C1201" s="1">
        <v>419</v>
      </c>
      <c r="D1201" s="1">
        <v>6454</v>
      </c>
      <c r="E1201" s="1">
        <v>6569</v>
      </c>
      <c r="G1201" s="1">
        <v>278319</v>
      </c>
      <c r="H1201" s="1">
        <v>28943</v>
      </c>
      <c r="I1201" s="1">
        <v>5822</v>
      </c>
      <c r="J1201" s="1">
        <v>118527</v>
      </c>
      <c r="K1201" s="1">
        <v>115624</v>
      </c>
      <c r="L1201" s="1">
        <v>90151</v>
      </c>
      <c r="M1201" s="1">
        <v>0</v>
      </c>
      <c r="O1201" s="1">
        <v>159792</v>
      </c>
      <c r="P1201" s="1">
        <v>-108395</v>
      </c>
      <c r="Q1201" s="1">
        <v>6955</v>
      </c>
      <c r="R1201" s="1">
        <v>0</v>
      </c>
      <c r="T1201">
        <f>E1201/G1201</f>
        <v>2.3602413058397019E-2</v>
      </c>
      <c r="U1201">
        <f>D1201/C1201</f>
        <v>15.403341288782816</v>
      </c>
      <c r="V1201">
        <f>(E1201-F1201)/O1201</f>
        <v>4.1109692600380492E-2</v>
      </c>
      <c r="W1201">
        <f>H1201/K1201</f>
        <v>0.25032000276759148</v>
      </c>
      <c r="X1201">
        <f>(H1201-I1201)/K1201</f>
        <v>0.19996713485089601</v>
      </c>
      <c r="Y1201">
        <f>(H1201-K1201)/G1201</f>
        <v>-0.31144478098872158</v>
      </c>
      <c r="Z1201" t="e">
        <f>J1201/N1201</f>
        <v>#DIV/0!</v>
      </c>
      <c r="AA1201">
        <f>J1201/G1201</f>
        <v>0.42586743988013753</v>
      </c>
      <c r="AB1201">
        <f>C1201/G1201</f>
        <v>1.505466748587053E-3</v>
      </c>
      <c r="AC1201">
        <f>C1201/(G1201-K1201)</f>
        <v>2.5753710931497587E-3</v>
      </c>
      <c r="AD1201">
        <f>Q1201/E1201</f>
        <v>1.0587608463997564</v>
      </c>
      <c r="AE1201">
        <f>Q1201/J1201</f>
        <v>5.8678613311734878E-2</v>
      </c>
      <c r="AF1201">
        <f>Q1201/G1201</f>
        <v>2.4989310826785092E-2</v>
      </c>
      <c r="AG1201">
        <f>Q1201/K1201</f>
        <v>6.0151871583754235E-2</v>
      </c>
      <c r="AH1201">
        <f>Q1201/L1201</f>
        <v>7.7148340007321056E-2</v>
      </c>
      <c r="AI1201" s="1">
        <f>R1201</f>
        <v>0</v>
      </c>
      <c r="AJ1201" s="1">
        <f>P1201</f>
        <v>-108395</v>
      </c>
    </row>
    <row r="1202" spans="1:36" x14ac:dyDescent="0.25">
      <c r="A1202" t="s">
        <v>191</v>
      </c>
      <c r="B1202">
        <v>2021</v>
      </c>
      <c r="C1202" s="1">
        <v>42</v>
      </c>
      <c r="D1202" s="1">
        <v>13091</v>
      </c>
      <c r="E1202" s="1">
        <v>14920</v>
      </c>
      <c r="G1202" s="1">
        <v>306420</v>
      </c>
      <c r="H1202" s="1">
        <v>13932</v>
      </c>
      <c r="I1202" s="1">
        <v>463</v>
      </c>
      <c r="J1202" s="1">
        <v>140194</v>
      </c>
      <c r="K1202" s="1">
        <v>129355</v>
      </c>
      <c r="L1202" s="1">
        <v>91374</v>
      </c>
      <c r="M1202" s="1">
        <v>0</v>
      </c>
      <c r="O1202" s="1">
        <v>166226</v>
      </c>
      <c r="P1202" s="1">
        <v>-136430</v>
      </c>
      <c r="Q1202" s="1">
        <v>30537</v>
      </c>
      <c r="R1202" s="1">
        <v>60</v>
      </c>
      <c r="T1202">
        <f>E1202/G1202</f>
        <v>4.8691338685464394E-2</v>
      </c>
      <c r="U1202">
        <f>D1202/C1202</f>
        <v>311.6904761904762</v>
      </c>
      <c r="V1202">
        <f>(E1202-F1202)/O1202</f>
        <v>8.9757318349716647E-2</v>
      </c>
      <c r="W1202">
        <f>H1202/K1202</f>
        <v>0.10770360635460555</v>
      </c>
      <c r="X1202">
        <f>(H1202-I1202)/K1202</f>
        <v>0.10412430907193383</v>
      </c>
      <c r="Y1202">
        <f>(H1202-K1202)/G1202</f>
        <v>-0.3766823314405065</v>
      </c>
      <c r="Z1202" t="e">
        <f>J1202/N1202</f>
        <v>#DIV/0!</v>
      </c>
      <c r="AA1202">
        <f>J1202/G1202</f>
        <v>0.45752235493766724</v>
      </c>
      <c r="AB1202">
        <f>C1202/G1202</f>
        <v>1.3706677109849227E-4</v>
      </c>
      <c r="AC1202">
        <f>C1202/(G1202-K1202)</f>
        <v>2.3720102787112078E-4</v>
      </c>
      <c r="AD1202">
        <f>Q1202/E1202</f>
        <v>2.0467158176943698</v>
      </c>
      <c r="AE1202">
        <f>Q1202/J1202</f>
        <v>0.21781959284990798</v>
      </c>
      <c r="AF1202">
        <f>Q1202/G1202</f>
        <v>9.9657333072253773E-2</v>
      </c>
      <c r="AG1202">
        <f>Q1202/K1202</f>
        <v>0.23607127671910633</v>
      </c>
      <c r="AH1202">
        <f>Q1202/L1202</f>
        <v>0.33419791187865255</v>
      </c>
      <c r="AI1202" s="1">
        <f>R1202</f>
        <v>60</v>
      </c>
      <c r="AJ1202" s="1">
        <f>P1202</f>
        <v>-136430</v>
      </c>
    </row>
    <row r="1203" spans="1:36" x14ac:dyDescent="0.25">
      <c r="A1203" t="s">
        <v>191</v>
      </c>
      <c r="B1203">
        <v>2022</v>
      </c>
      <c r="C1203" s="1">
        <v>0</v>
      </c>
      <c r="D1203" s="1">
        <v>36527</v>
      </c>
      <c r="E1203" s="1">
        <v>36906</v>
      </c>
      <c r="G1203" s="1">
        <v>357851</v>
      </c>
      <c r="H1203" s="1">
        <v>12292</v>
      </c>
      <c r="I1203" s="1">
        <v>1663</v>
      </c>
      <c r="J1203" s="1">
        <v>155351</v>
      </c>
      <c r="K1203" s="1">
        <v>144838</v>
      </c>
      <c r="L1203" s="1">
        <v>100741</v>
      </c>
      <c r="M1203" s="1">
        <v>0</v>
      </c>
      <c r="O1203" s="1">
        <v>202500</v>
      </c>
      <c r="P1203" s="1">
        <v>-105916</v>
      </c>
      <c r="Q1203" s="1">
        <v>9766</v>
      </c>
      <c r="R1203" s="1">
        <v>0</v>
      </c>
      <c r="T1203">
        <f>E1203/G1203</f>
        <v>0.10313230925720482</v>
      </c>
      <c r="U1203" t="e">
        <f>D1203/C1203</f>
        <v>#DIV/0!</v>
      </c>
      <c r="V1203">
        <f>(E1203-F1203)/O1203</f>
        <v>0.18225185185185186</v>
      </c>
      <c r="W1203">
        <f>H1203/K1203</f>
        <v>8.486723097529654E-2</v>
      </c>
      <c r="X1203">
        <f>(H1203-I1203)/K1203</f>
        <v>7.33854375233019E-2</v>
      </c>
      <c r="Y1203">
        <f>(H1203-K1203)/G1203</f>
        <v>-0.37039438201933206</v>
      </c>
      <c r="Z1203" t="e">
        <f>J1203/N1203</f>
        <v>#DIV/0!</v>
      </c>
      <c r="AA1203">
        <f>J1203/G1203</f>
        <v>0.43412202285308688</v>
      </c>
      <c r="AB1203">
        <f>C1203/G1203</f>
        <v>0</v>
      </c>
      <c r="AC1203">
        <f>C1203/(G1203-K1203)</f>
        <v>0</v>
      </c>
      <c r="AD1203">
        <f>Q1203/E1203</f>
        <v>0.26461821925974094</v>
      </c>
      <c r="AE1203">
        <f>Q1203/J1203</f>
        <v>6.2864094856164426E-2</v>
      </c>
      <c r="AF1203">
        <f>Q1203/G1203</f>
        <v>2.7290688023786435E-2</v>
      </c>
      <c r="AG1203">
        <f>Q1203/K1203</f>
        <v>6.7427056435465829E-2</v>
      </c>
      <c r="AH1203">
        <f>Q1203/L1203</f>
        <v>9.6941662282486768E-2</v>
      </c>
      <c r="AI1203" s="1">
        <f>R1203</f>
        <v>0</v>
      </c>
      <c r="AJ1203" s="1">
        <f>P1203</f>
        <v>-105916</v>
      </c>
    </row>
    <row r="1204" spans="1:36" x14ac:dyDescent="0.25">
      <c r="A1204" t="s">
        <v>191</v>
      </c>
      <c r="B1204">
        <v>2023</v>
      </c>
      <c r="C1204" s="1">
        <v>6532</v>
      </c>
      <c r="D1204" s="1">
        <v>4030</v>
      </c>
      <c r="E1204" s="1">
        <v>-29257</v>
      </c>
      <c r="G1204" s="1">
        <v>355284</v>
      </c>
      <c r="H1204" s="1">
        <v>11712</v>
      </c>
      <c r="I1204" s="1">
        <v>0</v>
      </c>
      <c r="J1204" s="1">
        <v>181870</v>
      </c>
      <c r="K1204" s="1">
        <v>171901</v>
      </c>
      <c r="L1204" s="1">
        <v>47898</v>
      </c>
      <c r="M1204" s="1">
        <v>0</v>
      </c>
      <c r="O1204" s="1">
        <v>173414</v>
      </c>
      <c r="P1204" s="1">
        <v>-124392</v>
      </c>
      <c r="Q1204" s="1">
        <v>-15089</v>
      </c>
      <c r="R1204" s="1">
        <v>42.4</v>
      </c>
      <c r="T1204">
        <f>E1204/G1204</f>
        <v>-8.2348205942288422E-2</v>
      </c>
      <c r="U1204">
        <f>D1204/C1204</f>
        <v>0.6169626454378444</v>
      </c>
      <c r="V1204">
        <f>(E1204-F1204)/O1204</f>
        <v>-0.16871186870725546</v>
      </c>
      <c r="W1204">
        <f>H1204/K1204</f>
        <v>6.8132238904951112E-2</v>
      </c>
      <c r="X1204">
        <f>(H1204-I1204)/K1204</f>
        <v>6.8132238904951112E-2</v>
      </c>
      <c r="Y1204">
        <f>(H1204-K1204)/G1204</f>
        <v>-0.45087591898312335</v>
      </c>
      <c r="Z1204" t="e">
        <f>J1204/N1204</f>
        <v>#DIV/0!</v>
      </c>
      <c r="AA1204">
        <f>J1204/G1204</f>
        <v>0.51190033888382247</v>
      </c>
      <c r="AB1204">
        <f>C1204/G1204</f>
        <v>1.838529176658673E-2</v>
      </c>
      <c r="AC1204">
        <f>C1204/(G1204-K1204)</f>
        <v>3.5619441278635422E-2</v>
      </c>
      <c r="AD1204">
        <f>Q1204/E1204</f>
        <v>0.51573982294835419</v>
      </c>
      <c r="AE1204">
        <f>Q1204/J1204</f>
        <v>-8.2965854731401556E-2</v>
      </c>
      <c r="AF1204">
        <f>Q1204/G1204</f>
        <v>-4.2470249152790442E-2</v>
      </c>
      <c r="AG1204">
        <f>Q1204/K1204</f>
        <v>-8.7777267147951435E-2</v>
      </c>
      <c r="AH1204">
        <f>Q1204/L1204</f>
        <v>-0.31502359179924005</v>
      </c>
      <c r="AI1204" s="1">
        <f>R1204</f>
        <v>42.4</v>
      </c>
      <c r="AJ1204" s="1">
        <f>P1204</f>
        <v>-124392</v>
      </c>
    </row>
    <row r="1205" spans="1:36" x14ac:dyDescent="0.25">
      <c r="A1205" t="s">
        <v>191</v>
      </c>
      <c r="B1205">
        <v>2024</v>
      </c>
      <c r="C1205" s="1">
        <v>8541</v>
      </c>
      <c r="D1205" s="1">
        <v>70729</v>
      </c>
      <c r="E1205" s="1">
        <v>-80727</v>
      </c>
      <c r="G1205" s="1">
        <v>251790</v>
      </c>
      <c r="H1205" s="1">
        <v>3983</v>
      </c>
      <c r="I1205" s="1">
        <v>587</v>
      </c>
      <c r="J1205" s="1">
        <v>149518</v>
      </c>
      <c r="K1205" s="1">
        <v>80187</v>
      </c>
      <c r="L1205" s="1">
        <v>82913</v>
      </c>
      <c r="M1205" s="1">
        <v>63843</v>
      </c>
      <c r="O1205" s="1">
        <v>102272</v>
      </c>
      <c r="P1205" s="1">
        <v>-126011</v>
      </c>
      <c r="Q1205" s="1">
        <v>55152</v>
      </c>
      <c r="R1205" s="1">
        <v>37</v>
      </c>
      <c r="T1205">
        <f>E1205/G1205</f>
        <v>-0.32061241510782795</v>
      </c>
      <c r="U1205">
        <f>D1205/C1205</f>
        <v>8.2811146235803772</v>
      </c>
      <c r="V1205">
        <f>(E1205-F1205)/O1205</f>
        <v>-0.78933627972465581</v>
      </c>
      <c r="W1205">
        <f>H1205/K1205</f>
        <v>4.9671393118585309E-2</v>
      </c>
      <c r="X1205">
        <f>(H1205-I1205)/K1205</f>
        <v>4.2351004526918326E-2</v>
      </c>
      <c r="Y1205">
        <f>(H1205-K1205)/G1205</f>
        <v>-0.30264903292426226</v>
      </c>
      <c r="Z1205" t="e">
        <f>J1205/N1205</f>
        <v>#DIV/0!</v>
      </c>
      <c r="AA1205">
        <f>J1205/G1205</f>
        <v>0.59382024703125624</v>
      </c>
      <c r="AB1205">
        <f>C1205/G1205</f>
        <v>3.3921124746812817E-2</v>
      </c>
      <c r="AC1205">
        <f>C1205/(G1205-K1205)</f>
        <v>4.9771857135364764E-2</v>
      </c>
      <c r="AD1205">
        <f>Q1205/E1205</f>
        <v>-0.68319149726857187</v>
      </c>
      <c r="AE1205">
        <f>Q1205/J1205</f>
        <v>0.36886528712262068</v>
      </c>
      <c r="AF1205">
        <f>Q1205/G1205</f>
        <v>0.21903967592040988</v>
      </c>
      <c r="AG1205">
        <f>Q1205/K1205</f>
        <v>0.68779228553256766</v>
      </c>
      <c r="AH1205">
        <f>Q1205/L1205</f>
        <v>0.66517916370171148</v>
      </c>
      <c r="AI1205" s="1">
        <f>R1205</f>
        <v>37</v>
      </c>
      <c r="AJ1205" s="1">
        <f>P1205</f>
        <v>-126011</v>
      </c>
    </row>
    <row r="1206" spans="1:36" x14ac:dyDescent="0.25">
      <c r="A1206" t="s">
        <v>188</v>
      </c>
      <c r="B1206">
        <v>2018</v>
      </c>
      <c r="C1206" s="1">
        <v>488314</v>
      </c>
      <c r="D1206" s="1">
        <v>-66003</v>
      </c>
      <c r="E1206" s="1">
        <v>-49046</v>
      </c>
      <c r="G1206" s="1">
        <v>874050</v>
      </c>
      <c r="H1206" s="1">
        <v>82760</v>
      </c>
      <c r="I1206" s="1">
        <v>35479</v>
      </c>
      <c r="J1206" s="1">
        <v>448481</v>
      </c>
      <c r="K1206" s="1">
        <v>178654</v>
      </c>
      <c r="L1206" s="1">
        <v>295886</v>
      </c>
      <c r="M1206" s="1">
        <v>215570</v>
      </c>
      <c r="O1206" s="1">
        <v>425569</v>
      </c>
      <c r="P1206" s="1">
        <v>-530849</v>
      </c>
      <c r="Q1206" s="1">
        <v>12820</v>
      </c>
      <c r="R1206" s="1">
        <v>1.6</v>
      </c>
      <c r="T1206">
        <f>E1206/G1206</f>
        <v>-5.6113494651335735E-2</v>
      </c>
      <c r="U1206">
        <f>D1206/C1206</f>
        <v>-0.13516507820787443</v>
      </c>
      <c r="V1206">
        <f>(E1206-F1206)/O1206</f>
        <v>-0.11524805613190811</v>
      </c>
      <c r="W1206">
        <f>H1206/K1206</f>
        <v>0.46324179699307039</v>
      </c>
      <c r="X1206">
        <f>(H1206-I1206)/K1206</f>
        <v>0.26465122527343354</v>
      </c>
      <c r="Y1206">
        <f>(H1206-K1206)/G1206</f>
        <v>-0.1097122590240833</v>
      </c>
      <c r="Z1206" t="e">
        <f>J1206/N1206</f>
        <v>#DIV/0!</v>
      </c>
      <c r="AA1206">
        <f>J1206/G1206</f>
        <v>0.51310680167038503</v>
      </c>
      <c r="AB1206">
        <f>C1206/G1206</f>
        <v>0.55867970939877576</v>
      </c>
      <c r="AC1206">
        <f>C1206/(G1206-K1206)</f>
        <v>0.70220996381917644</v>
      </c>
      <c r="AD1206">
        <f>Q1206/E1206</f>
        <v>-0.26138726909431964</v>
      </c>
      <c r="AE1206">
        <f>Q1206/J1206</f>
        <v>2.8585380428602328E-2</v>
      </c>
      <c r="AF1206">
        <f>Q1206/G1206</f>
        <v>1.4667353126251359E-2</v>
      </c>
      <c r="AG1206">
        <f>Q1206/K1206</f>
        <v>7.1758818722222839E-2</v>
      </c>
      <c r="AH1206">
        <f>Q1206/L1206</f>
        <v>4.3327497752512795E-2</v>
      </c>
      <c r="AI1206" s="1">
        <f>R1206</f>
        <v>1.6</v>
      </c>
      <c r="AJ1206" s="1">
        <f>P1206</f>
        <v>-530849</v>
      </c>
    </row>
    <row r="1207" spans="1:36" x14ac:dyDescent="0.25">
      <c r="A1207" t="s">
        <v>188</v>
      </c>
      <c r="B1207">
        <v>2019</v>
      </c>
      <c r="C1207" s="1">
        <v>595107</v>
      </c>
      <c r="D1207" s="1">
        <v>17518</v>
      </c>
      <c r="E1207" s="1">
        <v>-11873</v>
      </c>
      <c r="G1207" s="1">
        <v>881116</v>
      </c>
      <c r="H1207" s="1">
        <v>94027</v>
      </c>
      <c r="I1207" s="1">
        <v>39368</v>
      </c>
      <c r="J1207" s="1">
        <v>401785</v>
      </c>
      <c r="K1207" s="1">
        <v>122426</v>
      </c>
      <c r="L1207" s="1">
        <v>225507</v>
      </c>
      <c r="M1207" s="1">
        <v>188330</v>
      </c>
      <c r="O1207" s="1">
        <v>479331</v>
      </c>
      <c r="P1207" s="1">
        <v>-542722</v>
      </c>
      <c r="Q1207" s="1">
        <v>86552</v>
      </c>
      <c r="R1207" s="1">
        <v>1.3</v>
      </c>
      <c r="T1207">
        <f>E1207/G1207</f>
        <v>-1.347495675938242E-2</v>
      </c>
      <c r="U1207">
        <f>D1207/C1207</f>
        <v>2.9436723143905212E-2</v>
      </c>
      <c r="V1207">
        <f>(E1207-F1207)/O1207</f>
        <v>-2.4769939770221412E-2</v>
      </c>
      <c r="W1207">
        <f>H1207/K1207</f>
        <v>0.76803130054073476</v>
      </c>
      <c r="X1207">
        <f>(H1207-I1207)/K1207</f>
        <v>0.44646562004802903</v>
      </c>
      <c r="Y1207">
        <f>(H1207-K1207)/G1207</f>
        <v>-3.2230716500438079E-2</v>
      </c>
      <c r="Z1207" t="e">
        <f>J1207/N1207</f>
        <v>#DIV/0!</v>
      </c>
      <c r="AA1207">
        <f>J1207/G1207</f>
        <v>0.45599557833474819</v>
      </c>
      <c r="AB1207">
        <f>C1207/G1207</f>
        <v>0.67540142274116011</v>
      </c>
      <c r="AC1207">
        <f>C1207/(G1207-K1207)</f>
        <v>0.78438756277267396</v>
      </c>
      <c r="AD1207">
        <f>Q1207/E1207</f>
        <v>-7.2898172323759791</v>
      </c>
      <c r="AE1207">
        <f>Q1207/J1207</f>
        <v>0.21541869407767836</v>
      </c>
      <c r="AF1207">
        <f>Q1207/G1207</f>
        <v>9.8229971990067139E-2</v>
      </c>
      <c r="AG1207">
        <f>Q1207/K1207</f>
        <v>0.70697400878898276</v>
      </c>
      <c r="AH1207">
        <f>Q1207/L1207</f>
        <v>0.38381070210680823</v>
      </c>
      <c r="AI1207" s="1">
        <f>R1207</f>
        <v>1.3</v>
      </c>
      <c r="AJ1207" s="1">
        <f>P1207</f>
        <v>-542722</v>
      </c>
    </row>
    <row r="1208" spans="1:36" x14ac:dyDescent="0.25">
      <c r="A1208" t="s">
        <v>188</v>
      </c>
      <c r="B1208">
        <v>2020</v>
      </c>
      <c r="C1208" s="1">
        <v>671631</v>
      </c>
      <c r="D1208" s="1">
        <v>-18846</v>
      </c>
      <c r="E1208" s="1">
        <v>-5750</v>
      </c>
      <c r="G1208" s="1">
        <v>934789</v>
      </c>
      <c r="H1208" s="1">
        <v>110156</v>
      </c>
      <c r="I1208" s="1">
        <v>48596</v>
      </c>
      <c r="J1208" s="1">
        <v>461943</v>
      </c>
      <c r="K1208" s="1">
        <v>188589</v>
      </c>
      <c r="L1208" s="1">
        <v>193325</v>
      </c>
      <c r="M1208" s="1">
        <v>165066</v>
      </c>
      <c r="O1208" s="1">
        <v>472846</v>
      </c>
      <c r="P1208" s="1">
        <v>-9120</v>
      </c>
      <c r="Q1208" s="1">
        <v>83515</v>
      </c>
      <c r="R1208" s="1">
        <v>1.4</v>
      </c>
      <c r="T1208">
        <f>E1208/G1208</f>
        <v>-6.1511207341977707E-3</v>
      </c>
      <c r="U1208">
        <f>D1208/C1208</f>
        <v>-2.8060050831483357E-2</v>
      </c>
      <c r="V1208">
        <f>(E1208-F1208)/O1208</f>
        <v>-1.2160407405370883E-2</v>
      </c>
      <c r="W1208">
        <f>H1208/K1208</f>
        <v>0.58410617798493014</v>
      </c>
      <c r="X1208">
        <f>(H1208-I1208)/K1208</f>
        <v>0.32642412866073844</v>
      </c>
      <c r="Y1208">
        <f>(H1208-K1208)/G1208</f>
        <v>-8.3904496094840658E-2</v>
      </c>
      <c r="Z1208" t="e">
        <f>J1208/N1208</f>
        <v>#DIV/0!</v>
      </c>
      <c r="AA1208">
        <f>J1208/G1208</f>
        <v>0.49416820266391664</v>
      </c>
      <c r="AB1208">
        <f>C1208/G1208</f>
        <v>0.71848406431825795</v>
      </c>
      <c r="AC1208">
        <f>C1208/(G1208-K1208)</f>
        <v>0.90006834628785848</v>
      </c>
      <c r="AD1208">
        <f>Q1208/E1208</f>
        <v>-14.524347826086956</v>
      </c>
      <c r="AE1208">
        <f>Q1208/J1208</f>
        <v>0.18079070361494817</v>
      </c>
      <c r="AF1208">
        <f>Q1208/G1208</f>
        <v>8.9341017063743797E-2</v>
      </c>
      <c r="AG1208">
        <f>Q1208/K1208</f>
        <v>0.44284131099905083</v>
      </c>
      <c r="AH1208">
        <f>Q1208/L1208</f>
        <v>0.43199275830854778</v>
      </c>
      <c r="AI1208" s="1">
        <f>R1208</f>
        <v>1.4</v>
      </c>
      <c r="AJ1208" s="1">
        <f>P1208</f>
        <v>-9120</v>
      </c>
    </row>
    <row r="1209" spans="1:36" x14ac:dyDescent="0.25">
      <c r="A1209" t="s">
        <v>188</v>
      </c>
      <c r="B1209">
        <v>2021</v>
      </c>
      <c r="C1209" s="1">
        <v>700337</v>
      </c>
      <c r="D1209" s="1">
        <v>5801</v>
      </c>
      <c r="E1209" s="1">
        <v>2299</v>
      </c>
      <c r="G1209" s="1">
        <v>952033</v>
      </c>
      <c r="H1209" s="1">
        <v>148729</v>
      </c>
      <c r="I1209" s="1">
        <v>67886</v>
      </c>
      <c r="J1209" s="1">
        <v>475522</v>
      </c>
      <c r="K1209" s="1">
        <v>146864</v>
      </c>
      <c r="L1209" s="1">
        <v>241764</v>
      </c>
      <c r="M1209" s="1">
        <v>206905</v>
      </c>
      <c r="O1209" s="1">
        <v>476511</v>
      </c>
      <c r="P1209" s="1">
        <v>-6821</v>
      </c>
      <c r="Q1209" s="1">
        <v>56177</v>
      </c>
      <c r="R1209" s="1">
        <v>2</v>
      </c>
      <c r="T1209">
        <f>E1209/G1209</f>
        <v>2.4148322589658132E-3</v>
      </c>
      <c r="U1209">
        <f>D1209/C1209</f>
        <v>8.2831551096115164E-3</v>
      </c>
      <c r="V1209">
        <f>(E1209-F1209)/O1209</f>
        <v>4.8246525263844903E-3</v>
      </c>
      <c r="W1209">
        <f>H1209/K1209</f>
        <v>1.012698823401242</v>
      </c>
      <c r="X1209">
        <f>(H1209-I1209)/K1209</f>
        <v>0.55046165159603444</v>
      </c>
      <c r="Y1209">
        <f>(H1209-K1209)/G1209</f>
        <v>1.9589657081214621E-3</v>
      </c>
      <c r="Z1209" t="e">
        <f>J1209/N1209</f>
        <v>#DIV/0!</v>
      </c>
      <c r="AA1209">
        <f>J1209/G1209</f>
        <v>0.49948058523181443</v>
      </c>
      <c r="AB1209">
        <f>C1209/G1209</f>
        <v>0.73562260972046134</v>
      </c>
      <c r="AC1209">
        <f>C1209/(G1209-K1209)</f>
        <v>0.86980124669479331</v>
      </c>
      <c r="AD1209">
        <f>Q1209/E1209</f>
        <v>24.435406698564595</v>
      </c>
      <c r="AE1209">
        <f>Q1209/J1209</f>
        <v>0.11813754148073065</v>
      </c>
      <c r="AF1209">
        <f>Q1209/G1209</f>
        <v>5.9007408356643101E-2</v>
      </c>
      <c r="AG1209">
        <f>Q1209/K1209</f>
        <v>0.38251034971129755</v>
      </c>
      <c r="AH1209">
        <f>Q1209/L1209</f>
        <v>0.23236296553663904</v>
      </c>
      <c r="AI1209" s="1">
        <f>R1209</f>
        <v>2</v>
      </c>
      <c r="AJ1209" s="1">
        <f>P1209</f>
        <v>-6821</v>
      </c>
    </row>
    <row r="1210" spans="1:36" x14ac:dyDescent="0.25">
      <c r="A1210" t="s">
        <v>188</v>
      </c>
      <c r="B1210">
        <v>2022</v>
      </c>
      <c r="C1210" s="1">
        <v>1001669</v>
      </c>
      <c r="D1210" s="1">
        <v>14143</v>
      </c>
      <c r="E1210" s="1">
        <v>16413</v>
      </c>
      <c r="G1210" s="1">
        <v>952613</v>
      </c>
      <c r="H1210" s="1">
        <v>137193</v>
      </c>
      <c r="I1210" s="1">
        <v>84950</v>
      </c>
      <c r="J1210" s="1">
        <v>458245</v>
      </c>
      <c r="K1210" s="1">
        <v>174512</v>
      </c>
      <c r="L1210" s="1">
        <v>235027</v>
      </c>
      <c r="M1210" s="1">
        <v>172023</v>
      </c>
      <c r="O1210" s="1">
        <v>494368</v>
      </c>
      <c r="P1210" s="1">
        <v>9591</v>
      </c>
      <c r="Q1210" s="1">
        <v>137802</v>
      </c>
      <c r="R1210" s="1">
        <v>2.2000000000000002</v>
      </c>
      <c r="T1210">
        <f>E1210/G1210</f>
        <v>1.7229452044009476E-2</v>
      </c>
      <c r="U1210">
        <f>D1210/C1210</f>
        <v>1.4119434663546541E-2</v>
      </c>
      <c r="V1210">
        <f>(E1210-F1210)/O1210</f>
        <v>3.3199964398990228E-2</v>
      </c>
      <c r="W1210">
        <f>H1210/K1210</f>
        <v>0.78615224167965525</v>
      </c>
      <c r="X1210">
        <f>(H1210-I1210)/K1210</f>
        <v>0.29936623269459978</v>
      </c>
      <c r="Y1210">
        <f>(H1210-K1210)/G1210</f>
        <v>-3.9175404912593047E-2</v>
      </c>
      <c r="Z1210" t="e">
        <f>J1210/N1210</f>
        <v>#DIV/0!</v>
      </c>
      <c r="AA1210">
        <f>J1210/G1210</f>
        <v>0.48104004459313487</v>
      </c>
      <c r="AB1210">
        <f>C1210/G1210</f>
        <v>1.0514962529379717</v>
      </c>
      <c r="AC1210">
        <f>C1210/(G1210-K1210)</f>
        <v>1.2873251672983328</v>
      </c>
      <c r="AD1210">
        <f>Q1210/E1210</f>
        <v>8.3959056845183699</v>
      </c>
      <c r="AE1210">
        <f>Q1210/J1210</f>
        <v>0.30071686543224696</v>
      </c>
      <c r="AF1210">
        <f>Q1210/G1210</f>
        <v>0.1446568543574358</v>
      </c>
      <c r="AG1210">
        <f>Q1210/K1210</f>
        <v>0.78964197304483363</v>
      </c>
      <c r="AH1210">
        <f>Q1210/L1210</f>
        <v>0.58632412446229587</v>
      </c>
      <c r="AI1210" s="1">
        <f>R1210</f>
        <v>2.2000000000000002</v>
      </c>
      <c r="AJ1210" s="1">
        <f>P1210</f>
        <v>9591</v>
      </c>
    </row>
    <row r="1211" spans="1:36" x14ac:dyDescent="0.25">
      <c r="A1211" t="s">
        <v>188</v>
      </c>
      <c r="B1211">
        <v>2023</v>
      </c>
      <c r="C1211" s="1">
        <v>1071706</v>
      </c>
      <c r="D1211" s="1">
        <v>15947</v>
      </c>
      <c r="E1211" s="1">
        <v>-12726</v>
      </c>
      <c r="G1211" s="1">
        <v>981193</v>
      </c>
      <c r="H1211" s="1">
        <v>190211</v>
      </c>
      <c r="I1211" s="1">
        <v>110358</v>
      </c>
      <c r="J1211" s="1">
        <v>507579</v>
      </c>
      <c r="K1211" s="1">
        <v>211311</v>
      </c>
      <c r="L1211" s="1">
        <v>225909</v>
      </c>
      <c r="M1211" s="1">
        <v>165781</v>
      </c>
      <c r="O1211" s="1">
        <v>473614</v>
      </c>
      <c r="P1211" s="1">
        <v>-3134</v>
      </c>
      <c r="Q1211" s="1">
        <v>117462</v>
      </c>
      <c r="R1211" s="1">
        <v>2.6</v>
      </c>
      <c r="T1211">
        <f>E1211/G1211</f>
        <v>-1.2969925386748581E-2</v>
      </c>
      <c r="U1211">
        <f>D1211/C1211</f>
        <v>1.4880013735110189E-2</v>
      </c>
      <c r="V1211">
        <f>(E1211-F1211)/O1211</f>
        <v>-2.6869982728551099E-2</v>
      </c>
      <c r="W1211">
        <f>H1211/K1211</f>
        <v>0.90014717643662656</v>
      </c>
      <c r="X1211">
        <f>(H1211-I1211)/K1211</f>
        <v>0.37789324739365199</v>
      </c>
      <c r="Y1211">
        <f>(H1211-K1211)/G1211</f>
        <v>-2.1504433888134139E-2</v>
      </c>
      <c r="Z1211" t="e">
        <f>J1211/N1211</f>
        <v>#DIV/0!</v>
      </c>
      <c r="AA1211">
        <f>J1211/G1211</f>
        <v>0.51730801177749941</v>
      </c>
      <c r="AB1211">
        <f>C1211/G1211</f>
        <v>1.0922479063751984</v>
      </c>
      <c r="AC1211">
        <f>C1211/(G1211-K1211)</f>
        <v>1.3920392995290187</v>
      </c>
      <c r="AD1211">
        <f>Q1211/E1211</f>
        <v>-9.2300801508722294</v>
      </c>
      <c r="AE1211">
        <f>Q1211/J1211</f>
        <v>0.23141619334133209</v>
      </c>
      <c r="AF1211">
        <f>Q1211/G1211</f>
        <v>0.1197134508705219</v>
      </c>
      <c r="AG1211">
        <f>Q1211/K1211</f>
        <v>0.55587262376307911</v>
      </c>
      <c r="AH1211">
        <f>Q1211/L1211</f>
        <v>0.51995272432705208</v>
      </c>
      <c r="AI1211" s="1">
        <f>R1211</f>
        <v>2.6</v>
      </c>
      <c r="AJ1211" s="1">
        <f>P1211</f>
        <v>-3134</v>
      </c>
    </row>
    <row r="1212" spans="1:36" x14ac:dyDescent="0.25">
      <c r="A1212" t="s">
        <v>188</v>
      </c>
      <c r="B1212">
        <v>2024</v>
      </c>
      <c r="C1212" s="1">
        <v>1272305</v>
      </c>
      <c r="D1212" s="1">
        <v>32486</v>
      </c>
      <c r="E1212" s="1">
        <v>24628</v>
      </c>
      <c r="G1212" s="1">
        <v>1350209</v>
      </c>
      <c r="H1212" s="1">
        <v>163262.42499999999</v>
      </c>
      <c r="I1212" s="1">
        <v>64882</v>
      </c>
      <c r="J1212" s="1">
        <v>551650</v>
      </c>
      <c r="K1212" s="1">
        <v>184984</v>
      </c>
      <c r="L1212" s="1">
        <v>214035</v>
      </c>
      <c r="M1212" s="1">
        <v>147243</v>
      </c>
      <c r="O1212" s="1">
        <v>798559</v>
      </c>
      <c r="P1212" s="1">
        <v>21493</v>
      </c>
      <c r="Q1212" s="1">
        <v>121547</v>
      </c>
      <c r="R1212" s="1">
        <v>2.2999999999999998</v>
      </c>
      <c r="T1212">
        <f>E1212/G1212</f>
        <v>1.8240139119203028E-2</v>
      </c>
      <c r="U1212">
        <f>D1212/C1212</f>
        <v>2.5533185832013552E-2</v>
      </c>
      <c r="V1212">
        <f>(E1212-F1212)/O1212</f>
        <v>3.0840551543467671E-2</v>
      </c>
      <c r="W1212">
        <f>H1212/K1212</f>
        <v>0.88257592548544728</v>
      </c>
      <c r="X1212">
        <f>(H1212-I1212)/K1212</f>
        <v>0.53183207736885341</v>
      </c>
      <c r="Y1212">
        <f>(H1212-K1212)/G1212</f>
        <v>-1.6087564962165124E-2</v>
      </c>
      <c r="Z1212" t="e">
        <f>J1212/N1212</f>
        <v>#DIV/0!</v>
      </c>
      <c r="AA1212">
        <f>J1212/G1212</f>
        <v>0.40856637750155717</v>
      </c>
      <c r="AB1212">
        <f>C1212/G1212</f>
        <v>0.9423022657973692</v>
      </c>
      <c r="AC1212">
        <f>C1212/(G1212-K1212)</f>
        <v>1.0918964148554999</v>
      </c>
      <c r="AD1212">
        <f>Q1212/E1212</f>
        <v>4.9353175247685561</v>
      </c>
      <c r="AE1212">
        <f>Q1212/J1212</f>
        <v>0.22033354482008519</v>
      </c>
      <c r="AF1212">
        <f>Q1212/G1212</f>
        <v>9.0020878249219199E-2</v>
      </c>
      <c r="AG1212">
        <f>Q1212/K1212</f>
        <v>0.6570676382822298</v>
      </c>
      <c r="AH1212">
        <f>Q1212/L1212</f>
        <v>0.56788375732940877</v>
      </c>
      <c r="AI1212" s="1">
        <f>R1212</f>
        <v>2.2999999999999998</v>
      </c>
      <c r="AJ1212" s="1">
        <f>P1212</f>
        <v>21493</v>
      </c>
    </row>
    <row r="1213" spans="1:36" x14ac:dyDescent="0.25">
      <c r="A1213" t="s">
        <v>187</v>
      </c>
      <c r="B1213">
        <v>2018</v>
      </c>
      <c r="C1213" s="1">
        <v>65122304</v>
      </c>
      <c r="D1213" s="1">
        <v>2049052</v>
      </c>
      <c r="E1213" s="1">
        <v>1220295</v>
      </c>
      <c r="G1213" s="1">
        <v>50582115</v>
      </c>
      <c r="H1213" s="1">
        <v>35406813</v>
      </c>
      <c r="I1213" s="1">
        <v>12573709</v>
      </c>
      <c r="J1213" s="1">
        <v>42397547</v>
      </c>
      <c r="K1213" s="1">
        <v>35192785</v>
      </c>
      <c r="L1213" s="1">
        <v>19091083</v>
      </c>
      <c r="M1213" s="1">
        <v>4332359</v>
      </c>
      <c r="O1213" s="1">
        <v>8184568</v>
      </c>
      <c r="P1213" s="1">
        <v>5495478</v>
      </c>
      <c r="Q1213" s="1">
        <v>-4696911</v>
      </c>
      <c r="R1213" s="1">
        <v>40.200000000000003</v>
      </c>
      <c r="T1213">
        <f>E1213/G1213</f>
        <v>2.4125029172860801E-2</v>
      </c>
      <c r="U1213">
        <f>D1213/C1213</f>
        <v>3.1464672994370717E-2</v>
      </c>
      <c r="V1213">
        <f>(E1213-F1213)/O1213</f>
        <v>0.14909705680250931</v>
      </c>
      <c r="W1213">
        <f>H1213/K1213</f>
        <v>1.0060815874617481</v>
      </c>
      <c r="X1213">
        <f>(H1213-I1213)/K1213</f>
        <v>0.64880071298705122</v>
      </c>
      <c r="Y1213">
        <f>(H1213-K1213)/G1213</f>
        <v>4.2312979597630505E-3</v>
      </c>
      <c r="Z1213" t="e">
        <f>J1213/N1213</f>
        <v>#DIV/0!</v>
      </c>
      <c r="AA1213">
        <f>J1213/G1213</f>
        <v>0.83819245201589532</v>
      </c>
      <c r="AB1213">
        <f>C1213/G1213</f>
        <v>1.2874571179951648</v>
      </c>
      <c r="AC1213">
        <f>C1213/(G1213-K1213)</f>
        <v>4.2316529699473593</v>
      </c>
      <c r="AD1213">
        <f>Q1213/E1213</f>
        <v>-3.8489963492434205</v>
      </c>
      <c r="AE1213">
        <f>Q1213/J1213</f>
        <v>-0.11078261202234177</v>
      </c>
      <c r="AF1213">
        <f>Q1213/G1213</f>
        <v>-9.2857149211732243E-2</v>
      </c>
      <c r="AG1213">
        <f>Q1213/K1213</f>
        <v>-0.13346232757651888</v>
      </c>
      <c r="AH1213">
        <f>Q1213/L1213</f>
        <v>-0.24602643024494733</v>
      </c>
      <c r="AI1213" s="1">
        <f>R1213</f>
        <v>40.200000000000003</v>
      </c>
      <c r="AJ1213" s="1">
        <f>P1213</f>
        <v>5495478</v>
      </c>
    </row>
    <row r="1214" spans="1:36" x14ac:dyDescent="0.25">
      <c r="A1214" t="s">
        <v>187</v>
      </c>
      <c r="B1214">
        <v>2019</v>
      </c>
      <c r="C1214" s="1">
        <v>58505395</v>
      </c>
      <c r="D1214" s="1">
        <v>627129</v>
      </c>
      <c r="E1214" s="1">
        <v>385981</v>
      </c>
      <c r="G1214" s="1">
        <v>58042350</v>
      </c>
      <c r="H1214" s="1">
        <v>39510816</v>
      </c>
      <c r="I1214" s="1">
        <v>14125716</v>
      </c>
      <c r="J1214" s="1">
        <v>49590706</v>
      </c>
      <c r="K1214" s="1">
        <v>35409664</v>
      </c>
      <c r="L1214" s="1">
        <v>19491167</v>
      </c>
      <c r="M1214" s="1">
        <v>10640159</v>
      </c>
      <c r="O1214" s="1">
        <v>8451644</v>
      </c>
      <c r="P1214" s="1">
        <v>5035831</v>
      </c>
      <c r="Q1214" s="1">
        <v>-6370197</v>
      </c>
      <c r="R1214" s="1">
        <v>25</v>
      </c>
      <c r="T1214">
        <f>E1214/G1214</f>
        <v>6.6499891889284287E-3</v>
      </c>
      <c r="U1214">
        <f>D1214/C1214</f>
        <v>1.0719165300909429E-2</v>
      </c>
      <c r="V1214">
        <f>(E1214-F1214)/O1214</f>
        <v>4.566933959830774E-2</v>
      </c>
      <c r="W1214">
        <f>H1214/K1214</f>
        <v>1.1158201331704249</v>
      </c>
      <c r="X1214">
        <f>(H1214-I1214)/K1214</f>
        <v>0.71689751136864788</v>
      </c>
      <c r="Y1214">
        <f>(H1214-K1214)/G1214</f>
        <v>7.0657924773893543E-2</v>
      </c>
      <c r="Z1214" t="e">
        <f>J1214/N1214</f>
        <v>#DIV/0!</v>
      </c>
      <c r="AA1214">
        <f>J1214/G1214</f>
        <v>0.85438832163067135</v>
      </c>
      <c r="AB1214">
        <f>C1214/G1214</f>
        <v>1.0079777093794444</v>
      </c>
      <c r="AC1214">
        <f>C1214/(G1214-K1214)</f>
        <v>2.584995656282246</v>
      </c>
      <c r="AD1214">
        <f>Q1214/E1214</f>
        <v>-16.50391340506398</v>
      </c>
      <c r="AE1214">
        <f>Q1214/J1214</f>
        <v>-0.12845546098900065</v>
      </c>
      <c r="AF1214">
        <f>Q1214/G1214</f>
        <v>-0.10975084571868644</v>
      </c>
      <c r="AG1214">
        <f>Q1214/K1214</f>
        <v>-0.17989995612497198</v>
      </c>
      <c r="AH1214">
        <f>Q1214/L1214</f>
        <v>-0.32682481249070411</v>
      </c>
      <c r="AI1214" s="1">
        <f>R1214</f>
        <v>25</v>
      </c>
      <c r="AJ1214" s="1">
        <f>P1214</f>
        <v>5035831</v>
      </c>
    </row>
    <row r="1215" spans="1:36" x14ac:dyDescent="0.25">
      <c r="A1215" t="s">
        <v>187</v>
      </c>
      <c r="B1215">
        <v>2020</v>
      </c>
      <c r="C1215" s="1">
        <v>54751038</v>
      </c>
      <c r="D1215" s="1">
        <v>610717</v>
      </c>
      <c r="E1215" s="1">
        <v>427268</v>
      </c>
      <c r="G1215" s="1">
        <v>64717686</v>
      </c>
      <c r="H1215" s="1">
        <v>41670719</v>
      </c>
      <c r="I1215" s="1">
        <v>16047455</v>
      </c>
      <c r="J1215" s="1">
        <v>56529779</v>
      </c>
      <c r="K1215" s="1">
        <v>39861199</v>
      </c>
      <c r="L1215" s="1">
        <v>21725176</v>
      </c>
      <c r="M1215" s="1">
        <v>8175498</v>
      </c>
      <c r="O1215" s="1">
        <v>8187907</v>
      </c>
      <c r="P1215" s="1">
        <v>4667856</v>
      </c>
      <c r="Q1215" s="1">
        <v>770510</v>
      </c>
      <c r="R1215" s="1">
        <v>20.2</v>
      </c>
      <c r="T1215">
        <f>E1215/G1215</f>
        <v>6.6020283852546895E-3</v>
      </c>
      <c r="U1215">
        <f>D1215/C1215</f>
        <v>1.1154436925926409E-2</v>
      </c>
      <c r="V1215">
        <f>(E1215-F1215)/O1215</f>
        <v>5.2182810576622329E-2</v>
      </c>
      <c r="W1215">
        <f>H1215/K1215</f>
        <v>1.0453955236017862</v>
      </c>
      <c r="X1215">
        <f>(H1215-I1215)/K1215</f>
        <v>0.64281217431517801</v>
      </c>
      <c r="Y1215">
        <f>(H1215-K1215)/G1215</f>
        <v>2.7960208589658166E-2</v>
      </c>
      <c r="Z1215" t="e">
        <f>J1215/N1215</f>
        <v>#DIV/0!</v>
      </c>
      <c r="AA1215">
        <f>J1215/G1215</f>
        <v>0.87348269837707115</v>
      </c>
      <c r="AB1215">
        <f>C1215/G1215</f>
        <v>0.84599807848506825</v>
      </c>
      <c r="AC1215">
        <f>C1215/(G1215-K1215)</f>
        <v>2.2026860835161459</v>
      </c>
      <c r="AD1215">
        <f>Q1215/E1215</f>
        <v>1.8033412284561445</v>
      </c>
      <c r="AE1215">
        <f>Q1215/J1215</f>
        <v>1.3630161193448146E-2</v>
      </c>
      <c r="AF1215">
        <f>Q1215/G1215</f>
        <v>1.1905709978567528E-2</v>
      </c>
      <c r="AG1215">
        <f>Q1215/K1215</f>
        <v>1.9329824975912038E-2</v>
      </c>
      <c r="AH1215">
        <f>Q1215/L1215</f>
        <v>3.5466225912277993E-2</v>
      </c>
      <c r="AI1215" s="1">
        <f>R1215</f>
        <v>20.2</v>
      </c>
      <c r="AJ1215" s="1">
        <f>P1215</f>
        <v>4667856</v>
      </c>
    </row>
    <row r="1216" spans="1:36" x14ac:dyDescent="0.25">
      <c r="A1216" t="s">
        <v>187</v>
      </c>
      <c r="B1216">
        <v>2021</v>
      </c>
      <c r="C1216" s="1">
        <v>67412239</v>
      </c>
      <c r="D1216" s="1">
        <v>3818007</v>
      </c>
      <c r="E1216" s="1">
        <v>2607521</v>
      </c>
      <c r="G1216" s="1">
        <v>69303583</v>
      </c>
      <c r="H1216" s="1">
        <v>44929302</v>
      </c>
      <c r="I1216" s="1">
        <v>18180683</v>
      </c>
      <c r="J1216" s="1">
        <v>59044945</v>
      </c>
      <c r="K1216" s="1">
        <v>42577157</v>
      </c>
      <c r="L1216" s="1">
        <v>12085398</v>
      </c>
      <c r="M1216" s="1">
        <v>7129286</v>
      </c>
      <c r="O1216" s="1">
        <v>10258638</v>
      </c>
      <c r="P1216" s="1">
        <v>6416501</v>
      </c>
      <c r="Q1216" s="1">
        <v>14121995</v>
      </c>
      <c r="R1216" s="1">
        <v>17.399999999999999</v>
      </c>
      <c r="T1216">
        <f>E1216/G1216</f>
        <v>3.7624620360537493E-2</v>
      </c>
      <c r="U1216">
        <f>D1216/C1216</f>
        <v>5.6636703611046058E-2</v>
      </c>
      <c r="V1216">
        <f>(E1216-F1216)/O1216</f>
        <v>0.25417808874823344</v>
      </c>
      <c r="W1216">
        <f>H1216/K1216</f>
        <v>1.0552442944934064</v>
      </c>
      <c r="X1216">
        <f>(H1216-I1216)/K1216</f>
        <v>0.62823872904430889</v>
      </c>
      <c r="Y1216">
        <f>(H1216-K1216)/G1216</f>
        <v>3.3939731514314349E-2</v>
      </c>
      <c r="Z1216" t="e">
        <f>J1216/N1216</f>
        <v>#DIV/0!</v>
      </c>
      <c r="AA1216">
        <f>J1216/G1216</f>
        <v>0.85197535890748965</v>
      </c>
      <c r="AB1216">
        <f>C1216/G1216</f>
        <v>0.97270928979241955</v>
      </c>
      <c r="AC1216">
        <f>C1216/(G1216-K1216)</f>
        <v>2.5223065366091224</v>
      </c>
      <c r="AD1216">
        <f>Q1216/E1216</f>
        <v>5.4158700927049104</v>
      </c>
      <c r="AE1216">
        <f>Q1216/J1216</f>
        <v>0.23917364983573106</v>
      </c>
      <c r="AF1216">
        <f>Q1216/G1216</f>
        <v>0.20377005616001123</v>
      </c>
      <c r="AG1216">
        <f>Q1216/K1216</f>
        <v>0.33168008375946756</v>
      </c>
      <c r="AH1216">
        <f>Q1216/L1216</f>
        <v>1.1685171642671595</v>
      </c>
      <c r="AI1216" s="1">
        <f>R1216</f>
        <v>17.399999999999999</v>
      </c>
      <c r="AJ1216" s="1">
        <f>P1216</f>
        <v>6416501</v>
      </c>
    </row>
    <row r="1217" spans="1:36" x14ac:dyDescent="0.25">
      <c r="A1217" t="s">
        <v>187</v>
      </c>
      <c r="B1217">
        <v>2022</v>
      </c>
      <c r="C1217" s="1">
        <v>76847842</v>
      </c>
      <c r="D1217" s="1">
        <v>5535560</v>
      </c>
      <c r="E1217" s="1">
        <v>4109791</v>
      </c>
      <c r="G1217" s="1">
        <v>89350680</v>
      </c>
      <c r="H1217" s="1">
        <v>62938881</v>
      </c>
      <c r="I1217" s="1">
        <v>23022191</v>
      </c>
      <c r="J1217" s="1">
        <v>75810054</v>
      </c>
      <c r="K1217" s="1">
        <v>53539227</v>
      </c>
      <c r="L1217" s="1">
        <v>20235742</v>
      </c>
      <c r="M1217" s="1">
        <v>12112183</v>
      </c>
      <c r="O1217" s="1">
        <v>13540626</v>
      </c>
      <c r="P1217" s="1">
        <v>9080204</v>
      </c>
      <c r="Q1217" s="1">
        <v>-5990446</v>
      </c>
      <c r="R1217" s="1">
        <v>14</v>
      </c>
      <c r="T1217">
        <f>E1217/G1217</f>
        <v>4.5996191635027286E-2</v>
      </c>
      <c r="U1217">
        <f>D1217/C1217</f>
        <v>7.2032731901567254E-2</v>
      </c>
      <c r="V1217">
        <f>(E1217-F1217)/O1217</f>
        <v>0.30351558340064927</v>
      </c>
      <c r="W1217">
        <f>H1217/K1217</f>
        <v>1.1755657398639692</v>
      </c>
      <c r="X1217">
        <f>(H1217-I1217)/K1217</f>
        <v>0.74555969961986934</v>
      </c>
      <c r="Y1217">
        <f>(H1217-K1217)/G1217</f>
        <v>0.10519957990246968</v>
      </c>
      <c r="Z1217" t="e">
        <f>J1217/N1217</f>
        <v>#DIV/0!</v>
      </c>
      <c r="AA1217">
        <f>J1217/G1217</f>
        <v>0.84845525518104614</v>
      </c>
      <c r="AB1217">
        <f>C1217/G1217</f>
        <v>0.86007002968528057</v>
      </c>
      <c r="AC1217">
        <f>C1217/(G1217-K1217)</f>
        <v>2.145901256785085</v>
      </c>
      <c r="AD1217">
        <f>Q1217/E1217</f>
        <v>-1.4576035618356262</v>
      </c>
      <c r="AE1217">
        <f>Q1217/J1217</f>
        <v>-7.9019149623610604E-2</v>
      </c>
      <c r="AF1217">
        <f>Q1217/G1217</f>
        <v>-6.7044212758089805E-2</v>
      </c>
      <c r="AG1217">
        <f>Q1217/K1217</f>
        <v>-0.11188891464570454</v>
      </c>
      <c r="AH1217">
        <f>Q1217/L1217</f>
        <v>-0.29603293024787525</v>
      </c>
      <c r="AI1217" s="1">
        <f>R1217</f>
        <v>14</v>
      </c>
      <c r="AJ1217" s="1">
        <f>P1217</f>
        <v>9080204</v>
      </c>
    </row>
    <row r="1218" spans="1:36" x14ac:dyDescent="0.25">
      <c r="A1218" t="s">
        <v>187</v>
      </c>
      <c r="B1218">
        <v>2023</v>
      </c>
      <c r="C1218" s="1">
        <v>54767234</v>
      </c>
      <c r="D1218" s="1">
        <v>174192</v>
      </c>
      <c r="E1218" s="1">
        <v>95931</v>
      </c>
      <c r="G1218" s="1">
        <v>78797912</v>
      </c>
      <c r="H1218" s="1">
        <v>56872937</v>
      </c>
      <c r="I1218" s="1">
        <v>20227337</v>
      </c>
      <c r="J1218" s="1">
        <v>66707928</v>
      </c>
      <c r="K1218" s="1">
        <v>42857541</v>
      </c>
      <c r="L1218" s="1">
        <v>18399810</v>
      </c>
      <c r="M1218" s="1">
        <v>10242000</v>
      </c>
      <c r="O1218" s="1">
        <v>12089984</v>
      </c>
      <c r="P1218" s="1">
        <v>7916760</v>
      </c>
      <c r="Q1218" s="1">
        <v>8958674</v>
      </c>
      <c r="R1218" s="1">
        <v>15</v>
      </c>
      <c r="T1218">
        <f>E1218/G1218</f>
        <v>1.2174307359819382E-3</v>
      </c>
      <c r="U1218">
        <f>D1218/C1218</f>
        <v>3.1805878675559918E-3</v>
      </c>
      <c r="V1218">
        <f>(E1218-F1218)/O1218</f>
        <v>7.9347499550040754E-3</v>
      </c>
      <c r="W1218">
        <f>H1218/K1218</f>
        <v>1.3270228686242171</v>
      </c>
      <c r="X1218">
        <f>(H1218-I1218)/K1218</f>
        <v>0.85505605652923489</v>
      </c>
      <c r="Y1218">
        <f>(H1218-K1218)/G1218</f>
        <v>0.17786506830282509</v>
      </c>
      <c r="Z1218" t="e">
        <f>J1218/N1218</f>
        <v>#DIV/0!</v>
      </c>
      <c r="AA1218">
        <f>J1218/G1218</f>
        <v>0.84656974159416809</v>
      </c>
      <c r="AB1218">
        <f>C1218/G1218</f>
        <v>0.69503407653745952</v>
      </c>
      <c r="AC1218">
        <f>C1218/(G1218-K1218)</f>
        <v>1.5238360783754847</v>
      </c>
      <c r="AD1218">
        <f>Q1218/E1218</f>
        <v>93.386642482617717</v>
      </c>
      <c r="AE1218">
        <f>Q1218/J1218</f>
        <v>0.13429699090638822</v>
      </c>
      <c r="AF1218">
        <f>Q1218/G1218</f>
        <v>0.11369176888849541</v>
      </c>
      <c r="AG1218">
        <f>Q1218/K1218</f>
        <v>0.2090337847428064</v>
      </c>
      <c r="AH1218">
        <f>Q1218/L1218</f>
        <v>0.48688948418489103</v>
      </c>
      <c r="AI1218" s="1">
        <f>R1218</f>
        <v>15</v>
      </c>
      <c r="AJ1218" s="1">
        <f>P1218</f>
        <v>7916760</v>
      </c>
    </row>
    <row r="1219" spans="1:36" x14ac:dyDescent="0.25">
      <c r="A1219" t="s">
        <v>187</v>
      </c>
      <c r="B1219">
        <v>2024</v>
      </c>
      <c r="C1219" s="1">
        <v>69973442</v>
      </c>
      <c r="D1219" s="1">
        <v>338653</v>
      </c>
      <c r="E1219" s="1">
        <v>-91299</v>
      </c>
      <c r="G1219" s="1">
        <v>93842429</v>
      </c>
      <c r="H1219" s="1">
        <v>68951940</v>
      </c>
      <c r="I1219" s="1">
        <v>21600919</v>
      </c>
      <c r="J1219" s="1">
        <v>81398684</v>
      </c>
      <c r="K1219" s="1">
        <v>62097712</v>
      </c>
      <c r="L1219" s="1">
        <v>25312181</v>
      </c>
      <c r="M1219" s="1">
        <v>8405000</v>
      </c>
      <c r="O1219" s="1">
        <v>12443745</v>
      </c>
      <c r="P1219" s="1">
        <v>6930271</v>
      </c>
      <c r="Q1219" s="1">
        <v>-2103667</v>
      </c>
      <c r="R1219" s="1">
        <v>16.100000000000001</v>
      </c>
      <c r="T1219">
        <f>E1219/G1219</f>
        <v>-9.7289681195272554E-4</v>
      </c>
      <c r="U1219">
        <f>D1219/C1219</f>
        <v>4.8397361959127295E-3</v>
      </c>
      <c r="V1219">
        <f>(E1219-F1219)/O1219</f>
        <v>-7.3369391610001652E-3</v>
      </c>
      <c r="W1219">
        <f>H1219/K1219</f>
        <v>1.1103781086169486</v>
      </c>
      <c r="X1219">
        <f>(H1219-I1219)/K1219</f>
        <v>0.76252440669633692</v>
      </c>
      <c r="Y1219">
        <f>(H1219-K1219)/G1219</f>
        <v>7.3039754757413616E-2</v>
      </c>
      <c r="Z1219" t="e">
        <f>J1219/N1219</f>
        <v>#DIV/0!</v>
      </c>
      <c r="AA1219">
        <f>J1219/G1219</f>
        <v>0.8673974540876388</v>
      </c>
      <c r="AB1219">
        <f>C1219/G1219</f>
        <v>0.74564823977435624</v>
      </c>
      <c r="AC1219">
        <f>C1219/(G1219-K1219)</f>
        <v>2.2042547111067332</v>
      </c>
      <c r="AD1219">
        <f>Q1219/E1219</f>
        <v>23.041511955224045</v>
      </c>
      <c r="AE1219">
        <f>Q1219/J1219</f>
        <v>-2.5843992760374357E-2</v>
      </c>
      <c r="AF1219">
        <f>Q1219/G1219</f>
        <v>-2.2417013523808083E-2</v>
      </c>
      <c r="AG1219">
        <f>Q1219/K1219</f>
        <v>-3.3876723187482333E-2</v>
      </c>
      <c r="AH1219">
        <f>Q1219/L1219</f>
        <v>-8.3108879475853936E-2</v>
      </c>
      <c r="AI1219" s="1">
        <f>R1219</f>
        <v>16.100000000000001</v>
      </c>
      <c r="AJ1219" s="1">
        <f>P1219</f>
        <v>6930271</v>
      </c>
    </row>
    <row r="1220" spans="1:36" x14ac:dyDescent="0.25">
      <c r="A1220" t="s">
        <v>185</v>
      </c>
      <c r="B1220">
        <v>2018</v>
      </c>
      <c r="C1220" s="1">
        <v>4069119</v>
      </c>
      <c r="D1220" s="1">
        <v>169031</v>
      </c>
      <c r="E1220" s="1">
        <v>-38725</v>
      </c>
      <c r="G1220" s="1">
        <v>5020154</v>
      </c>
      <c r="H1220" s="1">
        <v>3418897</v>
      </c>
      <c r="I1220" s="1">
        <v>1144406</v>
      </c>
      <c r="J1220" s="1">
        <v>3188914</v>
      </c>
      <c r="K1220" s="1">
        <v>2786873</v>
      </c>
      <c r="L1220" s="1">
        <v>327079</v>
      </c>
      <c r="M1220" s="1">
        <v>97601</v>
      </c>
      <c r="O1220" s="1">
        <v>1831240</v>
      </c>
      <c r="P1220" s="1">
        <v>366236</v>
      </c>
      <c r="Q1220" s="1">
        <v>91792</v>
      </c>
      <c r="R1220" s="1">
        <v>2.2000000000000002</v>
      </c>
      <c r="T1220">
        <f>E1220/G1220</f>
        <v>-7.7139067845329052E-3</v>
      </c>
      <c r="U1220">
        <f>D1220/C1220</f>
        <v>4.1539950048155388E-2</v>
      </c>
      <c r="V1220">
        <f>(E1220-F1220)/O1220</f>
        <v>-2.1146873156986521E-2</v>
      </c>
      <c r="W1220">
        <f>H1220/K1220</f>
        <v>1.2267860788776526</v>
      </c>
      <c r="X1220">
        <f>(H1220-I1220)/K1220</f>
        <v>0.81614447447013194</v>
      </c>
      <c r="Y1220">
        <f>(H1220-K1220)/G1220</f>
        <v>0.1258973330300226</v>
      </c>
      <c r="Z1220" t="e">
        <f>J1220/N1220</f>
        <v>#DIV/0!</v>
      </c>
      <c r="AA1220">
        <f>J1220/G1220</f>
        <v>0.63522234576867564</v>
      </c>
      <c r="AB1220">
        <f>C1220/G1220</f>
        <v>0.81055660842276955</v>
      </c>
      <c r="AC1220">
        <f>C1220/(G1220-K1220)</f>
        <v>1.8220362775665042</v>
      </c>
      <c r="AD1220">
        <f>Q1220/E1220</f>
        <v>-2.3703550677856682</v>
      </c>
      <c r="AE1220">
        <f>Q1220/J1220</f>
        <v>2.8784721068050127E-2</v>
      </c>
      <c r="AF1220">
        <f>Q1220/G1220</f>
        <v>1.8284698039143819E-2</v>
      </c>
      <c r="AG1220">
        <f>Q1220/K1220</f>
        <v>3.2937274142022258E-2</v>
      </c>
      <c r="AH1220">
        <f>Q1220/L1220</f>
        <v>0.28064167983881572</v>
      </c>
      <c r="AI1220" s="1">
        <f>R1220</f>
        <v>2.2000000000000002</v>
      </c>
      <c r="AJ1220" s="1">
        <f>P1220</f>
        <v>366236</v>
      </c>
    </row>
    <row r="1221" spans="1:36" x14ac:dyDescent="0.25">
      <c r="A1221" t="s">
        <v>185</v>
      </c>
      <c r="B1221">
        <v>2019</v>
      </c>
      <c r="C1221" s="1">
        <v>4699675</v>
      </c>
      <c r="D1221" s="1">
        <v>302240</v>
      </c>
      <c r="E1221" s="1">
        <v>12396</v>
      </c>
      <c r="G1221" s="1">
        <v>5304842</v>
      </c>
      <c r="H1221" s="1">
        <v>3819142</v>
      </c>
      <c r="I1221" s="1">
        <v>1577039</v>
      </c>
      <c r="J1221" s="1">
        <v>3507905</v>
      </c>
      <c r="K1221" s="1">
        <v>3173057</v>
      </c>
      <c r="L1221" s="1">
        <v>244624</v>
      </c>
      <c r="M1221" s="1">
        <v>61585</v>
      </c>
      <c r="O1221" s="1">
        <v>1796937</v>
      </c>
      <c r="P1221" s="1">
        <v>325013</v>
      </c>
      <c r="Q1221" s="1">
        <v>115395</v>
      </c>
      <c r="R1221" s="1">
        <v>1.6</v>
      </c>
      <c r="T1221">
        <f>E1221/G1221</f>
        <v>2.3367331204209286E-3</v>
      </c>
      <c r="U1221">
        <f>D1221/C1221</f>
        <v>6.4310830004202416E-2</v>
      </c>
      <c r="V1221">
        <f>(E1221-F1221)/O1221</f>
        <v>6.8984054532796645E-3</v>
      </c>
      <c r="W1221">
        <f>H1221/K1221</f>
        <v>1.2036159451279949</v>
      </c>
      <c r="X1221">
        <f>(H1221-I1221)/K1221</f>
        <v>0.70660659420867633</v>
      </c>
      <c r="Y1221">
        <f>(H1221-K1221)/G1221</f>
        <v>0.12179156325485282</v>
      </c>
      <c r="Z1221" t="e">
        <f>J1221/N1221</f>
        <v>#DIV/0!</v>
      </c>
      <c r="AA1221">
        <f>J1221/G1221</f>
        <v>0.66126474643354127</v>
      </c>
      <c r="AB1221">
        <f>C1221/G1221</f>
        <v>0.88592176732125105</v>
      </c>
      <c r="AC1221">
        <f>C1221/(G1221-K1221)</f>
        <v>2.204572693775404</v>
      </c>
      <c r="AD1221">
        <f>Q1221/E1221</f>
        <v>9.3090513068731848</v>
      </c>
      <c r="AE1221">
        <f>Q1221/J1221</f>
        <v>3.2895702705746023E-2</v>
      </c>
      <c r="AF1221">
        <f>Q1221/G1221</f>
        <v>2.1752768508468301E-2</v>
      </c>
      <c r="AG1221">
        <f>Q1221/K1221</f>
        <v>3.6367137432450791E-2</v>
      </c>
      <c r="AH1221">
        <f>Q1221/L1221</f>
        <v>0.47172395186081495</v>
      </c>
      <c r="AI1221" s="1">
        <f>R1221</f>
        <v>1.6</v>
      </c>
      <c r="AJ1221" s="1">
        <f>P1221</f>
        <v>325013</v>
      </c>
    </row>
    <row r="1222" spans="1:36" x14ac:dyDescent="0.25">
      <c r="A1222" t="s">
        <v>185</v>
      </c>
      <c r="B1222">
        <v>2020</v>
      </c>
      <c r="C1222" s="1">
        <v>5563252</v>
      </c>
      <c r="D1222" s="1">
        <v>473118</v>
      </c>
      <c r="E1222" s="1">
        <v>228758</v>
      </c>
      <c r="G1222" s="1">
        <v>4898190</v>
      </c>
      <c r="H1222" s="1">
        <v>3387938</v>
      </c>
      <c r="I1222" s="1">
        <v>1417054</v>
      </c>
      <c r="J1222" s="1">
        <v>2876208</v>
      </c>
      <c r="K1222" s="1">
        <v>2499723</v>
      </c>
      <c r="L1222" s="1">
        <v>323805</v>
      </c>
      <c r="M1222" s="1">
        <v>113244</v>
      </c>
      <c r="O1222" s="1">
        <v>2021982</v>
      </c>
      <c r="P1222" s="1">
        <v>557715</v>
      </c>
      <c r="Q1222" s="1">
        <v>696020</v>
      </c>
      <c r="R1222" s="1">
        <v>2.1</v>
      </c>
      <c r="T1222">
        <f>E1222/G1222</f>
        <v>4.6702557475312309E-2</v>
      </c>
      <c r="U1222">
        <f>D1222/C1222</f>
        <v>8.5043424241792384E-2</v>
      </c>
      <c r="V1222">
        <f>(E1222-F1222)/O1222</f>
        <v>0.11313552741814714</v>
      </c>
      <c r="W1222">
        <f>H1222/K1222</f>
        <v>1.3553253700510017</v>
      </c>
      <c r="X1222">
        <f>(H1222-I1222)/K1222</f>
        <v>0.78844095925828583</v>
      </c>
      <c r="Y1222">
        <f>(H1222-K1222)/G1222</f>
        <v>0.1813353504049455</v>
      </c>
      <c r="Z1222" t="e">
        <f>J1222/N1222</f>
        <v>#DIV/0!</v>
      </c>
      <c r="AA1222">
        <f>J1222/G1222</f>
        <v>0.58719812828820439</v>
      </c>
      <c r="AB1222">
        <f>C1222/G1222</f>
        <v>1.1357770931711511</v>
      </c>
      <c r="AC1222">
        <f>C1222/(G1222-K1222)</f>
        <v>2.3195032493671999</v>
      </c>
      <c r="AD1222">
        <f>Q1222/E1222</f>
        <v>3.0426039745058095</v>
      </c>
      <c r="AE1222">
        <f>Q1222/J1222</f>
        <v>0.24199223421950011</v>
      </c>
      <c r="AF1222">
        <f>Q1222/G1222</f>
        <v>0.14209738699397123</v>
      </c>
      <c r="AG1222">
        <f>Q1222/K1222</f>
        <v>0.27843885102469351</v>
      </c>
      <c r="AH1222">
        <f>Q1222/L1222</f>
        <v>2.1495035592409013</v>
      </c>
      <c r="AI1222" s="1">
        <f>R1222</f>
        <v>2.1</v>
      </c>
      <c r="AJ1222" s="1">
        <f>P1222</f>
        <v>557715</v>
      </c>
    </row>
    <row r="1223" spans="1:36" x14ac:dyDescent="0.25">
      <c r="A1223" t="s">
        <v>185</v>
      </c>
      <c r="B1223">
        <v>2021</v>
      </c>
      <c r="C1223" s="1">
        <v>5498555</v>
      </c>
      <c r="D1223" s="1">
        <v>495404</v>
      </c>
      <c r="E1223" s="1">
        <v>319961</v>
      </c>
      <c r="G1223" s="1">
        <v>6649994</v>
      </c>
      <c r="H1223" s="1">
        <v>4641080</v>
      </c>
      <c r="I1223" s="1">
        <v>1742847</v>
      </c>
      <c r="J1223" s="1">
        <v>3931614</v>
      </c>
      <c r="K1223" s="1">
        <v>3519984</v>
      </c>
      <c r="L1223" s="1">
        <v>216706</v>
      </c>
      <c r="M1223" s="1">
        <v>142094</v>
      </c>
      <c r="O1223" s="1">
        <v>2718380</v>
      </c>
      <c r="P1223" s="1">
        <v>771663</v>
      </c>
      <c r="Q1223" s="1">
        <v>54507</v>
      </c>
      <c r="R1223" s="1">
        <v>5.7</v>
      </c>
      <c r="T1223">
        <f>E1223/G1223</f>
        <v>4.8114479501786017E-2</v>
      </c>
      <c r="U1223">
        <f>D1223/C1223</f>
        <v>9.0097125517522331E-2</v>
      </c>
      <c r="V1223">
        <f>(E1223-F1223)/O1223</f>
        <v>0.1177028230048779</v>
      </c>
      <c r="W1223">
        <f>H1223/K1223</f>
        <v>1.3184946295210433</v>
      </c>
      <c r="X1223">
        <f>(H1223-I1223)/K1223</f>
        <v>0.82336539029722866</v>
      </c>
      <c r="Y1223">
        <f>(H1223-K1223)/G1223</f>
        <v>0.16858601676933843</v>
      </c>
      <c r="Z1223" t="e">
        <f>J1223/N1223</f>
        <v>#DIV/0!</v>
      </c>
      <c r="AA1223">
        <f>J1223/G1223</f>
        <v>0.59122068380813575</v>
      </c>
      <c r="AB1223">
        <f>C1223/G1223</f>
        <v>0.82685112197093713</v>
      </c>
      <c r="AC1223">
        <f>C1223/(G1223-K1223)</f>
        <v>1.756721224532829</v>
      </c>
      <c r="AD1223">
        <f>Q1223/E1223</f>
        <v>0.17035513703232583</v>
      </c>
      <c r="AE1223">
        <f>Q1223/J1223</f>
        <v>1.38637719776153E-2</v>
      </c>
      <c r="AF1223">
        <f>Q1223/G1223</f>
        <v>8.1965487487657886E-3</v>
      </c>
      <c r="AG1223">
        <f>Q1223/K1223</f>
        <v>1.5485013568243493E-2</v>
      </c>
      <c r="AH1223">
        <f>Q1223/L1223</f>
        <v>0.25152510774967007</v>
      </c>
      <c r="AI1223" s="1">
        <f>R1223</f>
        <v>5.7</v>
      </c>
      <c r="AJ1223" s="1">
        <f>P1223</f>
        <v>771663</v>
      </c>
    </row>
    <row r="1224" spans="1:36" x14ac:dyDescent="0.25">
      <c r="A1224" t="s">
        <v>185</v>
      </c>
      <c r="B1224">
        <v>2022</v>
      </c>
      <c r="C1224" s="1">
        <v>8257835</v>
      </c>
      <c r="D1224" s="1">
        <v>1078940</v>
      </c>
      <c r="E1224" s="1">
        <v>471680</v>
      </c>
      <c r="G1224" s="1">
        <v>8070655</v>
      </c>
      <c r="H1224" s="1">
        <v>5187457</v>
      </c>
      <c r="I1224" s="1">
        <v>2032132</v>
      </c>
      <c r="J1224" s="1">
        <v>4274234</v>
      </c>
      <c r="K1224" s="1">
        <v>3598185</v>
      </c>
      <c r="L1224" s="1">
        <v>434635</v>
      </c>
      <c r="M1224" s="1">
        <v>301965</v>
      </c>
      <c r="O1224" s="1">
        <v>3796421</v>
      </c>
      <c r="P1224" s="1">
        <v>1233047</v>
      </c>
      <c r="Q1224" s="1">
        <v>-139354</v>
      </c>
      <c r="R1224" s="1">
        <v>6.8</v>
      </c>
      <c r="T1224">
        <f>E1224/G1224</f>
        <v>5.8443831386671835E-2</v>
      </c>
      <c r="U1224">
        <f>D1224/C1224</f>
        <v>0.13065652195763175</v>
      </c>
      <c r="V1224">
        <f>(E1224-F1224)/O1224</f>
        <v>0.12424333339216066</v>
      </c>
      <c r="W1224">
        <f>H1224/K1224</f>
        <v>1.4416871283716652</v>
      </c>
      <c r="X1224">
        <f>(H1224-I1224)/K1224</f>
        <v>0.87692128114591106</v>
      </c>
      <c r="Y1224">
        <f>(H1224-K1224)/G1224</f>
        <v>0.19691982868800612</v>
      </c>
      <c r="Z1224" t="e">
        <f>J1224/N1224</f>
        <v>#DIV/0!</v>
      </c>
      <c r="AA1224">
        <f>J1224/G1224</f>
        <v>0.52960187246264401</v>
      </c>
      <c r="AB1224">
        <f>C1224/G1224</f>
        <v>1.0231926652793362</v>
      </c>
      <c r="AC1224">
        <f>C1224/(G1224-K1224)</f>
        <v>1.8463701265743537</v>
      </c>
      <c r="AD1224">
        <f>Q1224/E1224</f>
        <v>-0.29544182496607868</v>
      </c>
      <c r="AE1224">
        <f>Q1224/J1224</f>
        <v>-3.2603268796233431E-2</v>
      </c>
      <c r="AF1224">
        <f>Q1224/G1224</f>
        <v>-1.7266752202888116E-2</v>
      </c>
      <c r="AG1224">
        <f>Q1224/K1224</f>
        <v>-3.8728970300304179E-2</v>
      </c>
      <c r="AH1224">
        <f>Q1224/L1224</f>
        <v>-0.32062305152599307</v>
      </c>
      <c r="AI1224" s="1">
        <f>R1224</f>
        <v>6.8</v>
      </c>
      <c r="AJ1224" s="1">
        <f>P1224</f>
        <v>1233047</v>
      </c>
    </row>
    <row r="1225" spans="1:36" x14ac:dyDescent="0.25">
      <c r="A1225" t="s">
        <v>185</v>
      </c>
      <c r="B1225">
        <v>2023</v>
      </c>
      <c r="C1225" s="1">
        <v>7069360</v>
      </c>
      <c r="D1225" s="1">
        <v>1725536</v>
      </c>
      <c r="E1225" s="1">
        <v>703352</v>
      </c>
      <c r="G1225" s="1">
        <v>7691464</v>
      </c>
      <c r="H1225" s="1">
        <v>4763189</v>
      </c>
      <c r="I1225" s="1">
        <v>2289819</v>
      </c>
      <c r="J1225" s="1">
        <v>3381245</v>
      </c>
      <c r="K1225" s="1">
        <v>2408113</v>
      </c>
      <c r="L1225" s="1">
        <v>1301958</v>
      </c>
      <c r="M1225" s="1">
        <v>379635</v>
      </c>
      <c r="O1225" s="1">
        <v>4310219</v>
      </c>
      <c r="P1225" s="1">
        <v>1958401</v>
      </c>
      <c r="Q1225" s="1">
        <v>783289</v>
      </c>
      <c r="R1225" s="1">
        <v>12</v>
      </c>
      <c r="T1225">
        <f>E1225/G1225</f>
        <v>9.1445789774222436E-2</v>
      </c>
      <c r="U1225">
        <f>D1225/C1225</f>
        <v>0.24408659341156766</v>
      </c>
      <c r="V1225">
        <f>(E1225-F1225)/O1225</f>
        <v>0.16318242762142712</v>
      </c>
      <c r="W1225">
        <f>H1225/K1225</f>
        <v>1.9779757013063757</v>
      </c>
      <c r="X1225">
        <f>(H1225-I1225)/K1225</f>
        <v>1.0270988113929869</v>
      </c>
      <c r="Y1225">
        <f>(H1225-K1225)/G1225</f>
        <v>0.30619346329905461</v>
      </c>
      <c r="Z1225" t="e">
        <f>J1225/N1225</f>
        <v>#DIV/0!</v>
      </c>
      <c r="AA1225">
        <f>J1225/G1225</f>
        <v>0.43961006643208628</v>
      </c>
      <c r="AB1225">
        <f>C1225/G1225</f>
        <v>0.91911760881933535</v>
      </c>
      <c r="AC1225">
        <f>C1225/(G1225-K1225)</f>
        <v>1.338044737137472</v>
      </c>
      <c r="AD1225">
        <f>Q1225/E1225</f>
        <v>1.1136514860269111</v>
      </c>
      <c r="AE1225">
        <f>Q1225/J1225</f>
        <v>0.23165697842067048</v>
      </c>
      <c r="AF1225">
        <f>Q1225/G1225</f>
        <v>0.10183873967296733</v>
      </c>
      <c r="AG1225">
        <f>Q1225/K1225</f>
        <v>0.32527086561137286</v>
      </c>
      <c r="AH1225">
        <f>Q1225/L1225</f>
        <v>0.60162386190645167</v>
      </c>
      <c r="AI1225" s="1">
        <f>R1225</f>
        <v>12</v>
      </c>
      <c r="AJ1225" s="1">
        <f>P1225</f>
        <v>1958401</v>
      </c>
    </row>
    <row r="1226" spans="1:36" x14ac:dyDescent="0.25">
      <c r="A1226" t="s">
        <v>185</v>
      </c>
      <c r="B1226">
        <v>2024</v>
      </c>
      <c r="C1226" s="1">
        <v>8150443</v>
      </c>
      <c r="D1226" s="1">
        <v>1227960</v>
      </c>
      <c r="E1226" s="1">
        <v>727728</v>
      </c>
      <c r="G1226" s="1">
        <v>8965022</v>
      </c>
      <c r="H1226" s="1">
        <v>6076001</v>
      </c>
      <c r="I1226" s="1">
        <v>2316836</v>
      </c>
      <c r="J1226" s="1">
        <v>3934455</v>
      </c>
      <c r="K1226" s="1">
        <v>3234003</v>
      </c>
      <c r="L1226" s="1">
        <v>1429634</v>
      </c>
      <c r="M1226" s="1">
        <v>95540</v>
      </c>
      <c r="O1226" s="1">
        <v>5030567</v>
      </c>
      <c r="P1226" s="1">
        <v>2695671</v>
      </c>
      <c r="Q1226" s="1">
        <v>307214</v>
      </c>
      <c r="R1226" s="1">
        <v>11.9</v>
      </c>
      <c r="T1226">
        <f>E1226/G1226</f>
        <v>8.117414547337419E-2</v>
      </c>
      <c r="U1226">
        <f>D1226/C1226</f>
        <v>0.15066174930614201</v>
      </c>
      <c r="V1226">
        <f>(E1226-F1226)/O1226</f>
        <v>0.14466122804844861</v>
      </c>
      <c r="W1226">
        <f>H1226/K1226</f>
        <v>1.8787864451579048</v>
      </c>
      <c r="X1226">
        <f>(H1226-I1226)/K1226</f>
        <v>1.1623876044641888</v>
      </c>
      <c r="Y1226">
        <f>(H1226-K1226)/G1226</f>
        <v>0.31700959573774612</v>
      </c>
      <c r="Z1226" t="e">
        <f>J1226/N1226</f>
        <v>#DIV/0!</v>
      </c>
      <c r="AA1226">
        <f>J1226/G1226</f>
        <v>0.43886730004678182</v>
      </c>
      <c r="AB1226">
        <f>C1226/G1226</f>
        <v>0.90913809246647692</v>
      </c>
      <c r="AC1226">
        <f>C1226/(G1226-K1226)</f>
        <v>1.4221629696219817</v>
      </c>
      <c r="AD1226">
        <f>Q1226/E1226</f>
        <v>0.42215498098190535</v>
      </c>
      <c r="AE1226">
        <f>Q1226/J1226</f>
        <v>7.8082987351488331E-2</v>
      </c>
      <c r="AF1226">
        <f>Q1226/G1226</f>
        <v>3.4268069838534698E-2</v>
      </c>
      <c r="AG1226">
        <f>Q1226/K1226</f>
        <v>9.499496444499278E-2</v>
      </c>
      <c r="AH1226">
        <f>Q1226/L1226</f>
        <v>0.21488996484414893</v>
      </c>
      <c r="AI1226" s="1">
        <f>R1226</f>
        <v>11.9</v>
      </c>
      <c r="AJ1226" s="1">
        <f>P1226</f>
        <v>2695671</v>
      </c>
    </row>
    <row r="1227" spans="1:36" x14ac:dyDescent="0.25">
      <c r="A1227" t="s">
        <v>183</v>
      </c>
      <c r="B1227">
        <v>2018</v>
      </c>
      <c r="C1227" s="1">
        <v>12728</v>
      </c>
      <c r="D1227" s="1">
        <v>224179</v>
      </c>
      <c r="E1227" s="1">
        <v>213798</v>
      </c>
      <c r="G1227" s="1">
        <v>542912</v>
      </c>
      <c r="H1227" s="1">
        <v>15537</v>
      </c>
      <c r="I1227" s="1">
        <v>0</v>
      </c>
      <c r="J1227" s="1">
        <v>36516</v>
      </c>
      <c r="K1227" s="1">
        <v>2362</v>
      </c>
      <c r="L1227" s="1">
        <v>0</v>
      </c>
      <c r="M1227" s="1">
        <v>0</v>
      </c>
      <c r="O1227" s="1">
        <v>506396</v>
      </c>
      <c r="P1227" s="1">
        <v>152363</v>
      </c>
      <c r="Q1227" s="1">
        <v>-941</v>
      </c>
      <c r="R1227" s="1">
        <v>1481.7</v>
      </c>
      <c r="T1227">
        <f>E1227/G1227</f>
        <v>0.39379862666509491</v>
      </c>
      <c r="U1227">
        <f>D1227/C1227</f>
        <v>17.613057825267127</v>
      </c>
      <c r="V1227">
        <f>(E1227-F1227)/O1227</f>
        <v>0.42219527800377571</v>
      </c>
      <c r="W1227">
        <f>H1227/K1227</f>
        <v>6.5779000846740052</v>
      </c>
      <c r="X1227">
        <f>(H1227-I1227)/K1227</f>
        <v>6.5779000846740052</v>
      </c>
      <c r="Y1227">
        <f>(H1227-K1227)/G1227</f>
        <v>2.4267284569138278E-2</v>
      </c>
      <c r="Z1227" t="e">
        <f>J1227/N1227</f>
        <v>#DIV/0!</v>
      </c>
      <c r="AA1227">
        <f>J1227/G1227</f>
        <v>6.7259519038076157E-2</v>
      </c>
      <c r="AB1227">
        <f>C1227/G1227</f>
        <v>2.344394671696334E-2</v>
      </c>
      <c r="AC1227">
        <f>C1227/(G1227-K1227)</f>
        <v>2.354638793821108E-2</v>
      </c>
      <c r="AD1227">
        <f>Q1227/E1227</f>
        <v>-4.4013508077718217E-3</v>
      </c>
      <c r="AE1227">
        <f>Q1227/J1227</f>
        <v>-2.5769525687369919E-2</v>
      </c>
      <c r="AF1227">
        <f>Q1227/G1227</f>
        <v>-1.7332459035718495E-3</v>
      </c>
      <c r="AG1227">
        <f>Q1227/K1227</f>
        <v>-0.39839119390347161</v>
      </c>
      <c r="AH1227" t="e">
        <f>Q1227/L1227</f>
        <v>#DIV/0!</v>
      </c>
      <c r="AI1227" s="1">
        <f>R1227</f>
        <v>1481.7</v>
      </c>
      <c r="AJ1227" s="1">
        <f>P1227</f>
        <v>152363</v>
      </c>
    </row>
    <row r="1228" spans="1:36" x14ac:dyDescent="0.25">
      <c r="A1228" t="s">
        <v>183</v>
      </c>
      <c r="B1228">
        <v>2019</v>
      </c>
      <c r="C1228" s="1">
        <v>26374</v>
      </c>
      <c r="D1228" s="1">
        <v>6960</v>
      </c>
      <c r="E1228" s="1">
        <v>7111</v>
      </c>
      <c r="G1228" s="1">
        <v>556439</v>
      </c>
      <c r="H1228" s="1">
        <v>30064</v>
      </c>
      <c r="I1228" s="1">
        <v>0</v>
      </c>
      <c r="J1228" s="1">
        <v>47645</v>
      </c>
      <c r="K1228" s="1">
        <v>13492</v>
      </c>
      <c r="L1228" s="1">
        <v>0</v>
      </c>
      <c r="M1228" s="1">
        <v>0</v>
      </c>
      <c r="O1228" s="1">
        <v>508794</v>
      </c>
      <c r="P1228" s="1">
        <v>155874</v>
      </c>
      <c r="Q1228" s="1">
        <v>13265</v>
      </c>
      <c r="R1228" s="1">
        <v>1300</v>
      </c>
      <c r="T1228">
        <f>E1228/G1228</f>
        <v>1.2779478073966778E-2</v>
      </c>
      <c r="U1228">
        <f>D1228/C1228</f>
        <v>0.26389626146962919</v>
      </c>
      <c r="V1228">
        <f>(E1228-F1228)/O1228</f>
        <v>1.3976186826102509E-2</v>
      </c>
      <c r="W1228">
        <f>H1228/K1228</f>
        <v>2.228283427216128</v>
      </c>
      <c r="X1228">
        <f>(H1228-I1228)/K1228</f>
        <v>2.228283427216128</v>
      </c>
      <c r="Y1228">
        <f>(H1228-K1228)/G1228</f>
        <v>2.9782240281504353E-2</v>
      </c>
      <c r="Z1228" t="e">
        <f>J1228/N1228</f>
        <v>#DIV/0!</v>
      </c>
      <c r="AA1228">
        <f>J1228/G1228</f>
        <v>8.5624839380417261E-2</v>
      </c>
      <c r="AB1228">
        <f>C1228/G1228</f>
        <v>4.7397827973955815E-2</v>
      </c>
      <c r="AC1228">
        <f>C1228/(G1228-K1228)</f>
        <v>4.8575643663193648E-2</v>
      </c>
      <c r="AD1228">
        <f>Q1228/E1228</f>
        <v>1.8654197721839403</v>
      </c>
      <c r="AE1228">
        <f>Q1228/J1228</f>
        <v>0.27841326477069994</v>
      </c>
      <c r="AF1228">
        <f>Q1228/G1228</f>
        <v>2.3839091077368767E-2</v>
      </c>
      <c r="AG1228">
        <f>Q1228/K1228</f>
        <v>0.98317521494218796</v>
      </c>
      <c r="AH1228" t="e">
        <f>Q1228/L1228</f>
        <v>#DIV/0!</v>
      </c>
      <c r="AI1228" s="1">
        <f>R1228</f>
        <v>1300</v>
      </c>
      <c r="AJ1228" s="1">
        <f>P1228</f>
        <v>155874</v>
      </c>
    </row>
    <row r="1229" spans="1:36" x14ac:dyDescent="0.25">
      <c r="A1229" t="s">
        <v>183</v>
      </c>
      <c r="B1229">
        <v>2020</v>
      </c>
      <c r="C1229" s="1">
        <v>26374</v>
      </c>
      <c r="D1229" s="1">
        <v>82957</v>
      </c>
      <c r="E1229" s="1">
        <v>76553</v>
      </c>
      <c r="G1229" s="1">
        <v>629636</v>
      </c>
      <c r="H1229" s="1">
        <v>35417</v>
      </c>
      <c r="I1229" s="1">
        <v>0</v>
      </c>
      <c r="J1229" s="1">
        <v>53092</v>
      </c>
      <c r="K1229" s="1">
        <v>13585</v>
      </c>
      <c r="L1229" s="1">
        <v>0</v>
      </c>
      <c r="M1229" s="1">
        <v>0</v>
      </c>
      <c r="O1229" s="1">
        <v>576544</v>
      </c>
      <c r="P1229" s="1">
        <v>161143</v>
      </c>
      <c r="Q1229" s="1">
        <v>11457</v>
      </c>
      <c r="R1229" s="1">
        <v>1177</v>
      </c>
      <c r="T1229">
        <f>E1229/G1229</f>
        <v>0.12158294633724882</v>
      </c>
      <c r="U1229">
        <f>D1229/C1229</f>
        <v>3.1454083567149467</v>
      </c>
      <c r="V1229">
        <f>(E1229-F1229)/O1229</f>
        <v>0.13277911139479381</v>
      </c>
      <c r="W1229">
        <f>H1229/K1229</f>
        <v>2.6070666175929333</v>
      </c>
      <c r="X1229">
        <f>(H1229-I1229)/K1229</f>
        <v>2.6070666175929333</v>
      </c>
      <c r="Y1229">
        <f>(H1229-K1229)/G1229</f>
        <v>3.4674002121860885E-2</v>
      </c>
      <c r="Z1229" t="e">
        <f>J1229/N1229</f>
        <v>#DIV/0!</v>
      </c>
      <c r="AA1229">
        <f>J1229/G1229</f>
        <v>8.4321735097739006E-2</v>
      </c>
      <c r="AB1229">
        <f>C1229/G1229</f>
        <v>4.1887693842156418E-2</v>
      </c>
      <c r="AC1229">
        <f>C1229/(G1229-K1229)</f>
        <v>4.2811390615387364E-2</v>
      </c>
      <c r="AD1229">
        <f>Q1229/E1229</f>
        <v>0.14966101916319413</v>
      </c>
      <c r="AE1229">
        <f>Q1229/J1229</f>
        <v>0.21579522338582083</v>
      </c>
      <c r="AF1229">
        <f>Q1229/G1229</f>
        <v>1.8196227661696599E-2</v>
      </c>
      <c r="AG1229">
        <f>Q1229/K1229</f>
        <v>0.8433566433566434</v>
      </c>
      <c r="AH1229" t="e">
        <f>Q1229/L1229</f>
        <v>#DIV/0!</v>
      </c>
      <c r="AI1229" s="1">
        <f>R1229</f>
        <v>1177</v>
      </c>
      <c r="AJ1229" s="1">
        <f>P1229</f>
        <v>161143</v>
      </c>
    </row>
    <row r="1230" spans="1:36" x14ac:dyDescent="0.25">
      <c r="A1230" t="s">
        <v>183</v>
      </c>
      <c r="B1230">
        <v>2021</v>
      </c>
      <c r="C1230" s="1">
        <v>28475</v>
      </c>
      <c r="D1230" s="1">
        <v>20731</v>
      </c>
      <c r="E1230" s="1">
        <v>19134</v>
      </c>
      <c r="G1230" s="1">
        <v>647546</v>
      </c>
      <c r="H1230" s="1">
        <v>51328</v>
      </c>
      <c r="I1230" s="1">
        <v>0</v>
      </c>
      <c r="J1230" s="1">
        <v>58852</v>
      </c>
      <c r="K1230" s="1">
        <v>19347</v>
      </c>
      <c r="L1230" s="1">
        <v>0</v>
      </c>
      <c r="M1230" s="1">
        <v>0</v>
      </c>
      <c r="O1230" s="1">
        <v>588694</v>
      </c>
      <c r="P1230" s="1">
        <v>107276</v>
      </c>
      <c r="Q1230" s="1">
        <v>17327</v>
      </c>
      <c r="R1230" s="1">
        <v>2707.4</v>
      </c>
      <c r="T1230">
        <f>E1230/G1230</f>
        <v>2.9548479953547702E-2</v>
      </c>
      <c r="U1230">
        <f>D1230/C1230</f>
        <v>0.72804214223002639</v>
      </c>
      <c r="V1230">
        <f>(E1230-F1230)/O1230</f>
        <v>3.2502454585913908E-2</v>
      </c>
      <c r="W1230">
        <f>H1230/K1230</f>
        <v>2.6530211402284594</v>
      </c>
      <c r="X1230">
        <f>(H1230-I1230)/K1230</f>
        <v>2.6530211402284594</v>
      </c>
      <c r="Y1230">
        <f>(H1230-K1230)/G1230</f>
        <v>4.9387997146148693E-2</v>
      </c>
      <c r="Z1230" t="e">
        <f>J1230/N1230</f>
        <v>#DIV/0!</v>
      </c>
      <c r="AA1230">
        <f>J1230/G1230</f>
        <v>9.0884663020078887E-2</v>
      </c>
      <c r="AB1230">
        <f>C1230/G1230</f>
        <v>4.3973709975816393E-2</v>
      </c>
      <c r="AC1230">
        <f>C1230/(G1230-K1230)</f>
        <v>4.5327993199607133E-2</v>
      </c>
      <c r="AD1230">
        <f>Q1230/E1230</f>
        <v>0.90556078185429079</v>
      </c>
      <c r="AE1230">
        <f>Q1230/J1230</f>
        <v>0.29441650241283218</v>
      </c>
      <c r="AF1230">
        <f>Q1230/G1230</f>
        <v>2.6757944609340494E-2</v>
      </c>
      <c r="AG1230">
        <f>Q1230/K1230</f>
        <v>0.89559104770765496</v>
      </c>
      <c r="AH1230" t="e">
        <f>Q1230/L1230</f>
        <v>#DIV/0!</v>
      </c>
      <c r="AI1230" s="1">
        <f>R1230</f>
        <v>2707.4</v>
      </c>
      <c r="AJ1230" s="1">
        <f>P1230</f>
        <v>107276</v>
      </c>
    </row>
    <row r="1231" spans="1:36" x14ac:dyDescent="0.25">
      <c r="A1231" t="s">
        <v>183</v>
      </c>
      <c r="B1231">
        <v>2022</v>
      </c>
      <c r="C1231" s="1">
        <v>27046</v>
      </c>
      <c r="D1231" s="1">
        <v>66929</v>
      </c>
      <c r="E1231" s="1">
        <v>62328</v>
      </c>
      <c r="G1231" s="1">
        <v>703751</v>
      </c>
      <c r="H1231" s="1">
        <v>61424</v>
      </c>
      <c r="I1231" s="1">
        <v>0</v>
      </c>
      <c r="J1231" s="1">
        <v>62418</v>
      </c>
      <c r="K1231" s="1">
        <v>19823</v>
      </c>
      <c r="L1231" s="1">
        <v>0</v>
      </c>
      <c r="M1231" s="1">
        <v>0</v>
      </c>
      <c r="O1231" s="1">
        <v>641333</v>
      </c>
      <c r="P1231" s="1">
        <v>113786</v>
      </c>
      <c r="Q1231" s="1">
        <v>15561</v>
      </c>
      <c r="R1231" s="1">
        <v>1215</v>
      </c>
      <c r="T1231">
        <f>E1231/G1231</f>
        <v>8.856541589283709E-2</v>
      </c>
      <c r="U1231">
        <f>D1231/C1231</f>
        <v>2.4746358056644238</v>
      </c>
      <c r="V1231">
        <f>(E1231-F1231)/O1231</f>
        <v>9.7185081697027914E-2</v>
      </c>
      <c r="W1231">
        <f>H1231/K1231</f>
        <v>3.0986228118851837</v>
      </c>
      <c r="X1231">
        <f>(H1231-I1231)/K1231</f>
        <v>3.0986228118851837</v>
      </c>
      <c r="Y1231">
        <f>(H1231-K1231)/G1231</f>
        <v>5.9113237494511556E-2</v>
      </c>
      <c r="Z1231" t="e">
        <f>J1231/N1231</f>
        <v>#DIV/0!</v>
      </c>
      <c r="AA1231">
        <f>J1231/G1231</f>
        <v>8.8693302034384316E-2</v>
      </c>
      <c r="AB1231">
        <f>C1231/G1231</f>
        <v>3.843120649206893E-2</v>
      </c>
      <c r="AC1231">
        <f>C1231/(G1231-K1231)</f>
        <v>3.9545098314442459E-2</v>
      </c>
      <c r="AD1231">
        <f>Q1231/E1231</f>
        <v>0.24966307277628033</v>
      </c>
      <c r="AE1231">
        <f>Q1231/J1231</f>
        <v>0.24930308564837067</v>
      </c>
      <c r="AF1231">
        <f>Q1231/G1231</f>
        <v>2.2111513873514923E-2</v>
      </c>
      <c r="AG1231">
        <f>Q1231/K1231</f>
        <v>0.78499722544518991</v>
      </c>
      <c r="AH1231" t="e">
        <f>Q1231/L1231</f>
        <v>#DIV/0!</v>
      </c>
      <c r="AI1231" s="1">
        <f>R1231</f>
        <v>1215</v>
      </c>
      <c r="AJ1231" s="1">
        <f>P1231</f>
        <v>113786</v>
      </c>
    </row>
    <row r="1232" spans="1:36" x14ac:dyDescent="0.25">
      <c r="A1232" t="s">
        <v>183</v>
      </c>
      <c r="B1232">
        <v>2023</v>
      </c>
      <c r="C1232" s="1">
        <v>27046</v>
      </c>
      <c r="D1232" s="1">
        <v>89471</v>
      </c>
      <c r="E1232" s="1">
        <v>28895</v>
      </c>
      <c r="G1232" s="1">
        <v>783339</v>
      </c>
      <c r="H1232" s="1">
        <v>70627</v>
      </c>
      <c r="I1232" s="1">
        <v>0</v>
      </c>
      <c r="J1232" s="1">
        <v>122457</v>
      </c>
      <c r="K1232" s="1">
        <v>18533</v>
      </c>
      <c r="L1232" s="1">
        <v>0</v>
      </c>
      <c r="M1232" s="1">
        <v>0</v>
      </c>
      <c r="O1232" s="1">
        <v>660882</v>
      </c>
      <c r="P1232" s="1">
        <v>62934</v>
      </c>
      <c r="Q1232" s="1">
        <v>13724</v>
      </c>
      <c r="R1232" s="1">
        <v>1319.5</v>
      </c>
      <c r="T1232">
        <f>E1232/G1232</f>
        <v>3.6886967200662805E-2</v>
      </c>
      <c r="U1232">
        <f>D1232/C1232</f>
        <v>3.3081047104932337</v>
      </c>
      <c r="V1232">
        <f>(E1232-F1232)/O1232</f>
        <v>4.3721874706831171E-2</v>
      </c>
      <c r="W1232">
        <f>H1232/K1232</f>
        <v>3.8108778934872931</v>
      </c>
      <c r="X1232">
        <f>(H1232-I1232)/K1232</f>
        <v>3.8108778934872931</v>
      </c>
      <c r="Y1232">
        <f>(H1232-K1232)/G1232</f>
        <v>6.6502497641506425E-2</v>
      </c>
      <c r="Z1232" t="e">
        <f>J1232/N1232</f>
        <v>#DIV/0!</v>
      </c>
      <c r="AA1232">
        <f>J1232/G1232</f>
        <v>0.15632695423054385</v>
      </c>
      <c r="AB1232">
        <f>C1232/G1232</f>
        <v>3.4526558744043132E-2</v>
      </c>
      <c r="AC1232">
        <f>C1232/(G1232-K1232)</f>
        <v>3.5363216292759209E-2</v>
      </c>
      <c r="AD1232">
        <f>Q1232/E1232</f>
        <v>0.47496106592836129</v>
      </c>
      <c r="AE1232">
        <f>Q1232/J1232</f>
        <v>0.11207199261781686</v>
      </c>
      <c r="AF1232">
        <f>Q1232/G1232</f>
        <v>1.7519873260491307E-2</v>
      </c>
      <c r="AG1232">
        <f>Q1232/K1232</f>
        <v>0.7405169157718664</v>
      </c>
      <c r="AH1232" t="e">
        <f>Q1232/L1232</f>
        <v>#DIV/0!</v>
      </c>
      <c r="AI1232" s="1">
        <f>R1232</f>
        <v>1319.5</v>
      </c>
      <c r="AJ1232" s="1">
        <f>P1232</f>
        <v>62934</v>
      </c>
    </row>
    <row r="1233" spans="1:36" x14ac:dyDescent="0.25">
      <c r="A1233" t="s">
        <v>183</v>
      </c>
      <c r="B1233">
        <v>2024</v>
      </c>
      <c r="C1233" s="1">
        <v>27046</v>
      </c>
      <c r="D1233" s="1">
        <v>55671</v>
      </c>
      <c r="E1233" s="1">
        <v>49407</v>
      </c>
      <c r="G1233" s="1">
        <v>828606</v>
      </c>
      <c r="H1233" s="1">
        <v>80134</v>
      </c>
      <c r="I1233" s="1">
        <v>0</v>
      </c>
      <c r="J1233" s="1">
        <v>127761</v>
      </c>
      <c r="K1233" s="1">
        <v>18421</v>
      </c>
      <c r="L1233" s="1">
        <v>0</v>
      </c>
      <c r="M1233" s="1">
        <v>0</v>
      </c>
      <c r="O1233" s="1">
        <v>700845</v>
      </c>
      <c r="P1233" s="1">
        <v>67118</v>
      </c>
      <c r="Q1233" s="1">
        <v>8889</v>
      </c>
      <c r="R1233" s="1">
        <v>1300</v>
      </c>
      <c r="T1233">
        <f>E1233/G1233</f>
        <v>5.9626650060462992E-2</v>
      </c>
      <c r="U1233">
        <f>D1233/C1233</f>
        <v>2.0583820158248911</v>
      </c>
      <c r="V1233">
        <f>(E1233-F1233)/O1233</f>
        <v>7.0496329430901269E-2</v>
      </c>
      <c r="W1233">
        <f>H1233/K1233</f>
        <v>4.3501438575538787</v>
      </c>
      <c r="X1233">
        <f>(H1233-I1233)/K1233</f>
        <v>4.3501438575538787</v>
      </c>
      <c r="Y1233">
        <f>(H1233-K1233)/G1233</f>
        <v>7.4478099362061095E-2</v>
      </c>
      <c r="Z1233" t="e">
        <f>J1233/N1233</f>
        <v>#DIV/0!</v>
      </c>
      <c r="AA1233">
        <f>J1233/G1233</f>
        <v>0.15418787698858083</v>
      </c>
      <c r="AB1233">
        <f>C1233/G1233</f>
        <v>3.2640362246954525E-2</v>
      </c>
      <c r="AC1233">
        <f>C1233/(G1233-K1233)</f>
        <v>3.3382499058856929E-2</v>
      </c>
      <c r="AD1233">
        <f>Q1233/E1233</f>
        <v>0.17991377739996356</v>
      </c>
      <c r="AE1233">
        <f>Q1233/J1233</f>
        <v>6.9575222485735083E-2</v>
      </c>
      <c r="AF1233">
        <f>Q1233/G1233</f>
        <v>1.0727655846083664E-2</v>
      </c>
      <c r="AG1233">
        <f>Q1233/K1233</f>
        <v>0.48254709299169424</v>
      </c>
      <c r="AH1233" t="e">
        <f>Q1233/L1233</f>
        <v>#DIV/0!</v>
      </c>
      <c r="AI1233" s="1">
        <f>R1233</f>
        <v>1300</v>
      </c>
      <c r="AJ1233" s="1">
        <f>P1233</f>
        <v>67118</v>
      </c>
    </row>
    <row r="1234" spans="1:36" x14ac:dyDescent="0.25">
      <c r="A1234" t="s">
        <v>190</v>
      </c>
      <c r="B1234">
        <v>2018</v>
      </c>
      <c r="C1234" s="1">
        <v>81445000</v>
      </c>
      <c r="D1234" s="1">
        <v>7169000</v>
      </c>
      <c r="E1234" s="1">
        <v>4948000</v>
      </c>
      <c r="F1234" s="1">
        <v>0</v>
      </c>
      <c r="G1234" s="1">
        <v>180435000</v>
      </c>
      <c r="H1234" s="1">
        <v>45377000</v>
      </c>
      <c r="I1234" s="1">
        <v>2173000</v>
      </c>
      <c r="J1234" s="1">
        <v>106715000</v>
      </c>
      <c r="K1234" s="1">
        <v>52378000</v>
      </c>
      <c r="L1234" s="1">
        <v>55835000</v>
      </c>
      <c r="M1234" s="1">
        <v>38886000</v>
      </c>
      <c r="N1234" s="1">
        <v>0</v>
      </c>
      <c r="O1234" s="1">
        <v>73720000</v>
      </c>
      <c r="P1234" s="1">
        <v>55456000</v>
      </c>
      <c r="Q1234" s="1">
        <v>19656000</v>
      </c>
      <c r="R1234" s="1">
        <v>23.4</v>
      </c>
      <c r="T1234">
        <f>E1234/G1234</f>
        <v>2.742261756311137E-2</v>
      </c>
      <c r="U1234">
        <f>D1234/C1234</f>
        <v>8.8022591933206454E-2</v>
      </c>
      <c r="V1234">
        <f>(E1234-F1234)/O1234</f>
        <v>6.711882799782963E-2</v>
      </c>
      <c r="W1234">
        <f>H1234/K1234</f>
        <v>0.8663370117224789</v>
      </c>
      <c r="X1234">
        <f>(H1234-I1234)/K1234</f>
        <v>0.82485012791630075</v>
      </c>
      <c r="Y1234">
        <f>(H1234-K1234)/G1234</f>
        <v>-3.8800676143763681E-2</v>
      </c>
      <c r="Z1234" t="e">
        <f>J1234/N1234</f>
        <v>#DIV/0!</v>
      </c>
      <c r="AA1234">
        <f>J1234/G1234</f>
        <v>0.59143181755202701</v>
      </c>
      <c r="AB1234">
        <f>C1234/G1234</f>
        <v>0.45138138387785076</v>
      </c>
      <c r="AC1234">
        <f>C1234/(G1234-K1234)</f>
        <v>0.63600584114886338</v>
      </c>
      <c r="AD1234">
        <f>Q1234/E1234</f>
        <v>3.9725141471301537</v>
      </c>
      <c r="AE1234">
        <f>Q1234/J1234</f>
        <v>0.18419153820924894</v>
      </c>
      <c r="AF1234">
        <f>Q1234/G1234</f>
        <v>0.10893673622079973</v>
      </c>
      <c r="AG1234">
        <f>Q1234/K1234</f>
        <v>0.37527206078888081</v>
      </c>
      <c r="AH1234">
        <f>Q1234/L1234</f>
        <v>0.35203725261932478</v>
      </c>
      <c r="AI1234" s="1">
        <f>R1234</f>
        <v>23.4</v>
      </c>
      <c r="AJ1234" s="1">
        <f>P1234</f>
        <v>55456000</v>
      </c>
    </row>
    <row r="1235" spans="1:36" x14ac:dyDescent="0.25">
      <c r="A1235" t="s">
        <v>190</v>
      </c>
      <c r="B1235">
        <v>2019</v>
      </c>
      <c r="C1235" s="1">
        <v>85948000</v>
      </c>
      <c r="D1235" s="1">
        <v>8216000</v>
      </c>
      <c r="E1235" s="1">
        <v>6322000</v>
      </c>
      <c r="F1235" s="1">
        <v>0</v>
      </c>
      <c r="G1235" s="1">
        <v>209019000</v>
      </c>
      <c r="H1235" s="1">
        <v>46718000</v>
      </c>
      <c r="I1235" s="1">
        <v>3565000</v>
      </c>
      <c r="J1235" s="1">
        <v>130852000</v>
      </c>
      <c r="K1235" s="1">
        <v>56949000</v>
      </c>
      <c r="L1235" s="1">
        <v>61676000</v>
      </c>
      <c r="M1235" s="1">
        <v>49178000</v>
      </c>
      <c r="N1235" s="1">
        <v>0</v>
      </c>
      <c r="O1235" s="1">
        <v>78167000</v>
      </c>
      <c r="P1235" s="1">
        <v>59574000</v>
      </c>
      <c r="Q1235" s="1">
        <v>20410000</v>
      </c>
      <c r="R1235" s="1">
        <v>31.9</v>
      </c>
      <c r="T1235">
        <f>E1235/G1235</f>
        <v>3.0246054186461518E-2</v>
      </c>
      <c r="U1235">
        <f>D1235/C1235</f>
        <v>9.559268394843394E-2</v>
      </c>
      <c r="V1235">
        <f>(E1235-F1235)/O1235</f>
        <v>8.0878119922729544E-2</v>
      </c>
      <c r="W1235">
        <f>H1235/K1235</f>
        <v>0.82034803069412987</v>
      </c>
      <c r="X1235">
        <f>(H1235-I1235)/K1235</f>
        <v>0.75774816063495409</v>
      </c>
      <c r="Y1235">
        <f>(H1235-K1235)/G1235</f>
        <v>-4.8947703318837042E-2</v>
      </c>
      <c r="Z1235" t="e">
        <f>J1235/N1235</f>
        <v>#DIV/0!</v>
      </c>
      <c r="AA1235">
        <f>J1235/G1235</f>
        <v>0.62602921265530886</v>
      </c>
      <c r="AB1235">
        <f>C1235/G1235</f>
        <v>0.41119706820911017</v>
      </c>
      <c r="AC1235">
        <f>C1235/(G1235-K1235)</f>
        <v>0.56518708489511404</v>
      </c>
      <c r="AD1235">
        <f>Q1235/E1235</f>
        <v>3.2284087314141097</v>
      </c>
      <c r="AE1235">
        <f>Q1235/J1235</f>
        <v>0.1559777458502736</v>
      </c>
      <c r="AF1235">
        <f>Q1235/G1235</f>
        <v>9.7646625426396641E-2</v>
      </c>
      <c r="AG1235">
        <f>Q1235/K1235</f>
        <v>0.35839084092784773</v>
      </c>
      <c r="AH1235">
        <f>Q1235/L1235</f>
        <v>0.33092288734677994</v>
      </c>
      <c r="AI1235" s="1">
        <f>R1235</f>
        <v>31.9</v>
      </c>
      <c r="AJ1235" s="1">
        <f>P1235</f>
        <v>59574000</v>
      </c>
    </row>
    <row r="1236" spans="1:36" x14ac:dyDescent="0.25">
      <c r="A1236" t="s">
        <v>190</v>
      </c>
      <c r="B1236">
        <v>2020</v>
      </c>
      <c r="C1236" s="1">
        <v>91119000</v>
      </c>
      <c r="D1236" s="1">
        <v>9713000</v>
      </c>
      <c r="E1236" s="1">
        <v>7881000</v>
      </c>
      <c r="F1236" s="1">
        <v>0</v>
      </c>
      <c r="G1236" s="1">
        <v>204456000</v>
      </c>
      <c r="H1236" s="1">
        <v>46762000</v>
      </c>
      <c r="I1236" s="1">
        <v>3367000</v>
      </c>
      <c r="J1236" s="1">
        <v>120175000</v>
      </c>
      <c r="K1236" s="1">
        <v>46686000</v>
      </c>
      <c r="L1236" s="1">
        <v>55374000</v>
      </c>
      <c r="M1236" s="1">
        <v>45684000</v>
      </c>
      <c r="N1236" s="1">
        <v>0</v>
      </c>
      <c r="O1236" s="1">
        <v>84281000</v>
      </c>
      <c r="P1236" s="1">
        <v>65056000</v>
      </c>
      <c r="Q1236" s="1">
        <v>32300000</v>
      </c>
      <c r="R1236" s="1">
        <v>33.5</v>
      </c>
      <c r="T1236">
        <f>E1236/G1236</f>
        <v>3.8546190867472706E-2</v>
      </c>
      <c r="U1236">
        <f>D1236/C1236</f>
        <v>0.10659686783217551</v>
      </c>
      <c r="V1236">
        <f>(E1236-F1236)/O1236</f>
        <v>9.3508619973659543E-2</v>
      </c>
      <c r="W1236">
        <f>H1236/K1236</f>
        <v>1.0016278970140942</v>
      </c>
      <c r="X1236">
        <f>(H1236-I1236)/K1236</f>
        <v>0.92950777535021201</v>
      </c>
      <c r="Y1236">
        <f>(H1236-K1236)/G1236</f>
        <v>3.7171812028015806E-4</v>
      </c>
      <c r="Z1236" t="e">
        <f>J1236/N1236</f>
        <v>#DIV/0!</v>
      </c>
      <c r="AA1236">
        <f>J1236/G1236</f>
        <v>0.58777927769299998</v>
      </c>
      <c r="AB1236">
        <f>C1236/G1236</f>
        <v>0.44566557107641741</v>
      </c>
      <c r="AC1236">
        <f>C1236/(G1236-K1236)</f>
        <v>0.57754325917474802</v>
      </c>
      <c r="AD1236">
        <f>Q1236/E1236</f>
        <v>4.0984646618449432</v>
      </c>
      <c r="AE1236">
        <f>Q1236/J1236</f>
        <v>0.26877470355731226</v>
      </c>
      <c r="AF1236">
        <f>Q1236/G1236</f>
        <v>0.15798020111906719</v>
      </c>
      <c r="AG1236">
        <f>Q1236/K1236</f>
        <v>0.69185623099001847</v>
      </c>
      <c r="AH1236">
        <f>Q1236/L1236</f>
        <v>0.58330624480803261</v>
      </c>
      <c r="AI1236" s="1">
        <f>R1236</f>
        <v>33.5</v>
      </c>
      <c r="AJ1236" s="1">
        <f>P1236</f>
        <v>65056000</v>
      </c>
    </row>
    <row r="1237" spans="1:36" x14ac:dyDescent="0.25">
      <c r="A1237" t="s">
        <v>190</v>
      </c>
      <c r="B1237">
        <v>2021</v>
      </c>
      <c r="C1237" s="1">
        <v>102348000</v>
      </c>
      <c r="D1237" s="1">
        <v>12818000</v>
      </c>
      <c r="E1237" s="1">
        <v>12161000</v>
      </c>
      <c r="F1237" s="1">
        <v>0</v>
      </c>
      <c r="G1237" s="1">
        <v>219941000</v>
      </c>
      <c r="H1237" s="1">
        <v>58417000</v>
      </c>
      <c r="I1237" s="1">
        <v>2689000</v>
      </c>
      <c r="J1237" s="1">
        <v>125965000</v>
      </c>
      <c r="K1237" s="1">
        <v>55432000</v>
      </c>
      <c r="L1237" s="1">
        <v>46589000</v>
      </c>
      <c r="M1237" s="1">
        <v>37837000</v>
      </c>
      <c r="N1237" s="1">
        <v>0</v>
      </c>
      <c r="O1237" s="1">
        <v>93976000</v>
      </c>
      <c r="P1237" s="1">
        <v>74714000</v>
      </c>
      <c r="Q1237" s="1">
        <v>43381000</v>
      </c>
      <c r="R1237" s="1">
        <v>38.799999999999997</v>
      </c>
      <c r="T1237">
        <f>E1237/G1237</f>
        <v>5.529210106346702E-2</v>
      </c>
      <c r="U1237">
        <f>D1237/C1237</f>
        <v>0.12523937937233751</v>
      </c>
      <c r="V1237">
        <f>(E1237-F1237)/O1237</f>
        <v>0.12940538009704605</v>
      </c>
      <c r="W1237">
        <f>H1237/K1237</f>
        <v>1.0538497618703997</v>
      </c>
      <c r="X1237">
        <f>(H1237-I1237)/K1237</f>
        <v>1.005339875883966</v>
      </c>
      <c r="Y1237">
        <f>(H1237-K1237)/G1237</f>
        <v>1.3571821533956833E-2</v>
      </c>
      <c r="Z1237" t="e">
        <f>J1237/N1237</f>
        <v>#DIV/0!</v>
      </c>
      <c r="AA1237">
        <f>J1237/G1237</f>
        <v>0.57272177538521696</v>
      </c>
      <c r="AB1237">
        <f>C1237/G1237</f>
        <v>0.4653429783441923</v>
      </c>
      <c r="AC1237">
        <f>C1237/(G1237-K1237)</f>
        <v>0.62214225361530373</v>
      </c>
      <c r="AD1237">
        <f>Q1237/E1237</f>
        <v>3.5672230902063977</v>
      </c>
      <c r="AE1237">
        <f>Q1237/J1237</f>
        <v>0.34438931449212085</v>
      </c>
      <c r="AF1237">
        <f>Q1237/G1237</f>
        <v>0.19723925961962527</v>
      </c>
      <c r="AG1237">
        <f>Q1237/K1237</f>
        <v>0.7825984990619137</v>
      </c>
      <c r="AH1237">
        <f>Q1237/L1237</f>
        <v>0.93114254437742816</v>
      </c>
      <c r="AI1237" s="1">
        <f>R1237</f>
        <v>38.799999999999997</v>
      </c>
      <c r="AJ1237" s="1">
        <f>P1237</f>
        <v>74714000</v>
      </c>
    </row>
    <row r="1238" spans="1:36" x14ac:dyDescent="0.25">
      <c r="A1238" t="s">
        <v>190</v>
      </c>
      <c r="B1238">
        <v>2022</v>
      </c>
      <c r="C1238" s="1">
        <v>107710000</v>
      </c>
      <c r="D1238" s="1">
        <v>10588000</v>
      </c>
      <c r="E1238" s="1">
        <v>4765000</v>
      </c>
      <c r="F1238" s="1">
        <v>0</v>
      </c>
      <c r="G1238" s="1">
        <v>240584000</v>
      </c>
      <c r="H1238" s="1">
        <v>55451000</v>
      </c>
      <c r="I1238" s="1">
        <v>3283000</v>
      </c>
      <c r="J1238" s="1">
        <v>148096000</v>
      </c>
      <c r="K1238" s="1">
        <v>73425000</v>
      </c>
      <c r="L1238" s="1">
        <v>47295000</v>
      </c>
      <c r="M1238" s="1">
        <v>30332000</v>
      </c>
      <c r="N1238" s="1">
        <v>0</v>
      </c>
      <c r="O1238" s="1">
        <v>92488000</v>
      </c>
      <c r="P1238" s="1">
        <v>74024000</v>
      </c>
      <c r="Q1238" s="1">
        <v>28914000</v>
      </c>
      <c r="R1238" s="1">
        <v>68</v>
      </c>
      <c r="T1238">
        <f>E1238/G1238</f>
        <v>1.9805972134472782E-2</v>
      </c>
      <c r="U1238">
        <f>D1238/C1238</f>
        <v>9.830099340822579E-2</v>
      </c>
      <c r="V1238">
        <f>(E1238-F1238)/O1238</f>
        <v>5.1520197214773807E-2</v>
      </c>
      <c r="W1238">
        <f>H1238/K1238</f>
        <v>0.75520599250936327</v>
      </c>
      <c r="X1238">
        <f>(H1238-I1238)/K1238</f>
        <v>0.71049370105549881</v>
      </c>
      <c r="Y1238">
        <f>(H1238-K1238)/G1238</f>
        <v>-7.4709872643234795E-2</v>
      </c>
      <c r="Z1238" t="e">
        <f>J1238/N1238</f>
        <v>#DIV/0!</v>
      </c>
      <c r="AA1238">
        <f>J1238/G1238</f>
        <v>0.61556878262893622</v>
      </c>
      <c r="AB1238">
        <f>C1238/G1238</f>
        <v>0.44770225783925782</v>
      </c>
      <c r="AC1238">
        <f>C1238/(G1238-K1238)</f>
        <v>0.64435657069018115</v>
      </c>
      <c r="AD1238">
        <f>Q1238/E1238</f>
        <v>6.0679958027282268</v>
      </c>
      <c r="AE1238">
        <f>Q1238/J1238</f>
        <v>0.19523822385479689</v>
      </c>
      <c r="AF1238">
        <f>Q1238/G1238</f>
        <v>0.12018255578093306</v>
      </c>
      <c r="AG1238">
        <f>Q1238/K1238</f>
        <v>0.39378958120531155</v>
      </c>
      <c r="AH1238">
        <f>Q1238/L1238</f>
        <v>0.61135426577862351</v>
      </c>
      <c r="AI1238" s="1">
        <f>R1238</f>
        <v>68</v>
      </c>
      <c r="AJ1238" s="1">
        <f>P1238</f>
        <v>74024000</v>
      </c>
    </row>
    <row r="1239" spans="1:36" x14ac:dyDescent="0.25">
      <c r="A1239" t="s">
        <v>190</v>
      </c>
      <c r="B1239">
        <v>2023</v>
      </c>
      <c r="C1239" s="1">
        <v>106418000</v>
      </c>
      <c r="D1239" s="1">
        <v>-2651000</v>
      </c>
      <c r="E1239" s="1">
        <v>-3921000</v>
      </c>
      <c r="F1239" s="1">
        <v>0</v>
      </c>
      <c r="G1239" s="1">
        <v>246338000</v>
      </c>
      <c r="H1239" s="1">
        <v>50279000</v>
      </c>
      <c r="I1239" s="1">
        <v>4078000</v>
      </c>
      <c r="J1239" s="1">
        <v>157953000</v>
      </c>
      <c r="K1239" s="1">
        <v>81379000</v>
      </c>
      <c r="L1239" s="1">
        <v>63774000</v>
      </c>
      <c r="M1239" s="1">
        <v>36318000</v>
      </c>
      <c r="N1239" s="1">
        <v>0</v>
      </c>
      <c r="O1239" s="1">
        <v>88385000</v>
      </c>
      <c r="P1239" s="1">
        <v>69916000</v>
      </c>
      <c r="Q1239" s="1">
        <v>17224000</v>
      </c>
      <c r="R1239" s="1">
        <v>92.9</v>
      </c>
      <c r="T1239">
        <f>E1239/G1239</f>
        <v>-1.5917154478805543E-2</v>
      </c>
      <c r="U1239">
        <f>D1239/C1239</f>
        <v>-2.4911199233212427E-2</v>
      </c>
      <c r="V1239">
        <f>(E1239-F1239)/O1239</f>
        <v>-4.4362731232675229E-2</v>
      </c>
      <c r="W1239">
        <f>H1239/K1239</f>
        <v>0.6178375256515809</v>
      </c>
      <c r="X1239">
        <f>(H1239-I1239)/K1239</f>
        <v>0.56772631760036374</v>
      </c>
      <c r="Y1239">
        <f>(H1239-K1239)/G1239</f>
        <v>-0.12624929974263005</v>
      </c>
      <c r="Z1239" t="e">
        <f>J1239/N1239</f>
        <v>#DIV/0!</v>
      </c>
      <c r="AA1239">
        <f>J1239/G1239</f>
        <v>0.6412043614870625</v>
      </c>
      <c r="AB1239">
        <f>C1239/G1239</f>
        <v>0.4319999350485918</v>
      </c>
      <c r="AC1239">
        <f>C1239/(G1239-K1239)</f>
        <v>0.64511787777568974</v>
      </c>
      <c r="AD1239">
        <f>Q1239/E1239</f>
        <v>-4.3927569497577146</v>
      </c>
      <c r="AE1239">
        <f>Q1239/J1239</f>
        <v>0.10904509569302261</v>
      </c>
      <c r="AF1239">
        <f>Q1239/G1239</f>
        <v>6.9920190957140194E-2</v>
      </c>
      <c r="AG1239">
        <f>Q1239/K1239</f>
        <v>0.21165165460376756</v>
      </c>
      <c r="AH1239">
        <f>Q1239/L1239</f>
        <v>0.27007871546398221</v>
      </c>
      <c r="AI1239" s="1">
        <f>R1239</f>
        <v>92.9</v>
      </c>
      <c r="AJ1239" s="1">
        <f>P1239</f>
        <v>69916000</v>
      </c>
    </row>
    <row r="1240" spans="1:36" x14ac:dyDescent="0.25">
      <c r="A1240" t="s">
        <v>190</v>
      </c>
      <c r="B1240">
        <v>2024</v>
      </c>
      <c r="C1240" s="1">
        <v>111148000</v>
      </c>
      <c r="D1240" s="1">
        <v>6037000</v>
      </c>
      <c r="E1240" s="1">
        <v>3120000</v>
      </c>
      <c r="F1240" s="1">
        <v>0</v>
      </c>
      <c r="G1240" s="1">
        <v>239161000</v>
      </c>
      <c r="H1240" s="1">
        <v>44714000</v>
      </c>
      <c r="I1240" s="1">
        <v>3143000</v>
      </c>
      <c r="J1240" s="1">
        <v>147686000</v>
      </c>
      <c r="K1240" s="1">
        <v>54817000</v>
      </c>
      <c r="L1240" s="1">
        <v>71725000</v>
      </c>
      <c r="M1240" s="1">
        <v>57360000</v>
      </c>
      <c r="N1240" s="1">
        <v>0</v>
      </c>
      <c r="O1240" s="1">
        <v>91475000</v>
      </c>
      <c r="P1240" s="1">
        <v>73002000</v>
      </c>
      <c r="Q1240" s="1">
        <v>22931000</v>
      </c>
      <c r="R1240" s="1">
        <v>69.5</v>
      </c>
      <c r="T1240">
        <f>E1240/G1240</f>
        <v>1.3045605261727456E-2</v>
      </c>
      <c r="U1240">
        <f>D1240/C1240</f>
        <v>5.4314967430812967E-2</v>
      </c>
      <c r="V1240">
        <f>(E1240-F1240)/O1240</f>
        <v>3.4107679693905442E-2</v>
      </c>
      <c r="W1240">
        <f>H1240/K1240</f>
        <v>0.81569586077311784</v>
      </c>
      <c r="X1240">
        <f>(H1240-I1240)/K1240</f>
        <v>0.75835963296057796</v>
      </c>
      <c r="Y1240">
        <f>(H1240-K1240)/G1240</f>
        <v>-4.2243509602318104E-2</v>
      </c>
      <c r="Z1240" t="e">
        <f>J1240/N1240</f>
        <v>#DIV/0!</v>
      </c>
      <c r="AA1240">
        <f>J1240/G1240</f>
        <v>0.61751707009085932</v>
      </c>
      <c r="AB1240">
        <f>C1240/G1240</f>
        <v>0.46474132488156517</v>
      </c>
      <c r="AC1240">
        <f>C1240/(G1240-K1240)</f>
        <v>0.6029379855053596</v>
      </c>
      <c r="AD1240">
        <f>Q1240/E1240</f>
        <v>7.349679487179487</v>
      </c>
      <c r="AE1240">
        <f>Q1240/J1240</f>
        <v>0.15526861043023713</v>
      </c>
      <c r="AF1240">
        <f>Q1240/G1240</f>
        <v>9.5881017389959064E-2</v>
      </c>
      <c r="AG1240">
        <f>Q1240/K1240</f>
        <v>0.41831913457504061</v>
      </c>
      <c r="AH1240">
        <f>Q1240/L1240</f>
        <v>0.31970721505751132</v>
      </c>
      <c r="AI1240" s="1">
        <f>R1240</f>
        <v>69.5</v>
      </c>
      <c r="AJ1240" s="1">
        <f>P1240</f>
        <v>73002000</v>
      </c>
    </row>
    <row r="1241" spans="1:36" x14ac:dyDescent="0.25">
      <c r="A1241" t="s">
        <v>181</v>
      </c>
      <c r="B1241">
        <v>2018</v>
      </c>
      <c r="C1241" s="1">
        <v>8177000</v>
      </c>
      <c r="D1241" s="1">
        <v>635000</v>
      </c>
      <c r="E1241" s="1">
        <v>384000</v>
      </c>
      <c r="F1241" s="1">
        <v>0</v>
      </c>
      <c r="G1241" s="1">
        <v>5382000</v>
      </c>
      <c r="H1241" s="1">
        <v>3696411</v>
      </c>
      <c r="I1241" s="1">
        <v>2086217</v>
      </c>
      <c r="J1241" s="1">
        <v>3509891</v>
      </c>
      <c r="K1241" s="1">
        <v>3336570</v>
      </c>
      <c r="L1241" s="1">
        <v>2126950</v>
      </c>
      <c r="M1241" s="1">
        <v>108405</v>
      </c>
      <c r="O1241" s="1">
        <v>1872109</v>
      </c>
      <c r="P1241" s="1">
        <v>1481000</v>
      </c>
      <c r="Q1241" s="1">
        <v>-792000</v>
      </c>
      <c r="R1241" s="1">
        <v>440</v>
      </c>
      <c r="T1241">
        <f>E1241/G1241</f>
        <v>7.1348940914158304E-2</v>
      </c>
      <c r="U1241">
        <f>D1241/C1241</f>
        <v>7.7656842362724715E-2</v>
      </c>
      <c r="V1241">
        <f>(E1241-F1241)/O1241</f>
        <v>0.20511626192705659</v>
      </c>
      <c r="W1241">
        <f>H1241/K1241</f>
        <v>1.1078475799998202</v>
      </c>
      <c r="X1241">
        <f>(H1241-I1241)/K1241</f>
        <v>0.48258960549306623</v>
      </c>
      <c r="Y1241">
        <f>(H1241-K1241)/G1241</f>
        <v>6.6860089186176141E-2</v>
      </c>
      <c r="Z1241" t="e">
        <f>J1241/N1241</f>
        <v>#DIV/0!</v>
      </c>
      <c r="AA1241">
        <f>J1241/G1241</f>
        <v>0.65215366034931255</v>
      </c>
      <c r="AB1241">
        <f>C1241/G1241</f>
        <v>1.5193236714975846</v>
      </c>
      <c r="AC1241">
        <f>C1241/(G1241-K1241)</f>
        <v>3.9976924167534453</v>
      </c>
      <c r="AD1241">
        <f>Q1241/E1241</f>
        <v>-2.0625</v>
      </c>
      <c r="AE1241">
        <f>Q1241/J1241</f>
        <v>-0.2256480329446128</v>
      </c>
      <c r="AF1241">
        <f>Q1241/G1241</f>
        <v>-0.14715719063545152</v>
      </c>
      <c r="AG1241">
        <f>Q1241/K1241</f>
        <v>-0.23736951420171015</v>
      </c>
      <c r="AH1241">
        <f>Q1241/L1241</f>
        <v>-0.3723641834551823</v>
      </c>
      <c r="AI1241" s="1">
        <f>R1241</f>
        <v>440</v>
      </c>
      <c r="AJ1241" s="1">
        <f>P1241</f>
        <v>1481000</v>
      </c>
    </row>
    <row r="1242" spans="1:36" x14ac:dyDescent="0.25">
      <c r="A1242" t="s">
        <v>181</v>
      </c>
      <c r="B1242">
        <v>2019</v>
      </c>
      <c r="C1242" s="1">
        <v>11126000</v>
      </c>
      <c r="D1242" s="1">
        <v>595000</v>
      </c>
      <c r="E1242" s="1">
        <v>176000</v>
      </c>
      <c r="F1242" s="1">
        <v>0</v>
      </c>
      <c r="G1242" s="1">
        <v>7014000</v>
      </c>
      <c r="H1242" s="1">
        <v>5102425</v>
      </c>
      <c r="I1242" s="1">
        <v>2056960</v>
      </c>
      <c r="J1242" s="1">
        <v>4966109</v>
      </c>
      <c r="K1242" s="1">
        <v>4811176</v>
      </c>
      <c r="L1242" s="1">
        <v>3307408</v>
      </c>
      <c r="M1242" s="1">
        <v>83052</v>
      </c>
      <c r="O1242" s="1">
        <v>2047891</v>
      </c>
      <c r="P1242" s="1">
        <v>1616000</v>
      </c>
      <c r="Q1242" s="1">
        <v>-565000</v>
      </c>
      <c r="R1242" s="1">
        <v>457.9</v>
      </c>
      <c r="T1242">
        <f>E1242/G1242</f>
        <v>2.5092671799258625E-2</v>
      </c>
      <c r="U1242">
        <f>D1242/C1242</f>
        <v>5.3478339025705555E-2</v>
      </c>
      <c r="V1242">
        <f>(E1242-F1242)/O1242</f>
        <v>8.5942074065465404E-2</v>
      </c>
      <c r="W1242">
        <f>H1242/K1242</f>
        <v>1.0605359271828758</v>
      </c>
      <c r="X1242">
        <f>(H1242-I1242)/K1242</f>
        <v>0.63299804455293263</v>
      </c>
      <c r="Y1242">
        <f>(H1242-K1242)/G1242</f>
        <v>4.1523952095808385E-2</v>
      </c>
      <c r="Z1242" t="e">
        <f>J1242/N1242</f>
        <v>#DIV/0!</v>
      </c>
      <c r="AA1242">
        <f>J1242/G1242</f>
        <v>0.70802808668377526</v>
      </c>
      <c r="AB1242">
        <f>C1242/G1242</f>
        <v>1.5862560593099515</v>
      </c>
      <c r="AC1242">
        <f>C1242/(G1242-K1242)</f>
        <v>5.0507893503974897</v>
      </c>
      <c r="AD1242">
        <f>Q1242/E1242</f>
        <v>-3.2102272727272729</v>
      </c>
      <c r="AE1242">
        <f>Q1242/J1242</f>
        <v>-0.11377116370180357</v>
      </c>
      <c r="AF1242">
        <f>Q1242/G1242</f>
        <v>-8.0553179355574558E-2</v>
      </c>
      <c r="AG1242">
        <f>Q1242/K1242</f>
        <v>-0.11743490572783037</v>
      </c>
      <c r="AH1242">
        <f>Q1242/L1242</f>
        <v>-0.17082863680561938</v>
      </c>
      <c r="AI1242" s="1">
        <f>R1242</f>
        <v>457.9</v>
      </c>
      <c r="AJ1242" s="1">
        <f>P1242</f>
        <v>1616000</v>
      </c>
    </row>
    <row r="1243" spans="1:36" x14ac:dyDescent="0.25">
      <c r="A1243" t="s">
        <v>181</v>
      </c>
      <c r="B1243">
        <v>2020</v>
      </c>
      <c r="C1243" s="1">
        <v>4196000</v>
      </c>
      <c r="D1243" s="1">
        <v>195000</v>
      </c>
      <c r="E1243" s="1">
        <v>-80000</v>
      </c>
      <c r="F1243" s="1">
        <v>0</v>
      </c>
      <c r="G1243" s="1">
        <v>6547000</v>
      </c>
      <c r="H1243" s="1">
        <v>4921561</v>
      </c>
      <c r="I1243" s="1">
        <v>2638593</v>
      </c>
      <c r="J1243" s="1">
        <v>4376220</v>
      </c>
      <c r="K1243" s="1">
        <v>4030107</v>
      </c>
      <c r="L1243" s="1">
        <v>3038992</v>
      </c>
      <c r="M1243" s="1">
        <v>54492</v>
      </c>
      <c r="O1243" s="1">
        <v>2170780</v>
      </c>
      <c r="P1243" s="1">
        <v>1537000</v>
      </c>
      <c r="Q1243" s="1">
        <v>-166000</v>
      </c>
      <c r="R1243" s="1">
        <v>260.2</v>
      </c>
      <c r="T1243">
        <f>E1243/G1243</f>
        <v>-1.2219337100962274E-2</v>
      </c>
      <c r="U1243">
        <f>D1243/C1243</f>
        <v>4.6472831267874166E-2</v>
      </c>
      <c r="V1243">
        <f>(E1243-F1243)/O1243</f>
        <v>-3.6853112706031935E-2</v>
      </c>
      <c r="W1243">
        <f>H1243/K1243</f>
        <v>1.2211985934864757</v>
      </c>
      <c r="X1243">
        <f>(H1243-I1243)/K1243</f>
        <v>0.56647825975836374</v>
      </c>
      <c r="Y1243">
        <f>(H1243-K1243)/G1243</f>
        <v>0.13616221170001527</v>
      </c>
      <c r="Z1243" t="e">
        <f>J1243/N1243</f>
        <v>#DIV/0!</v>
      </c>
      <c r="AA1243">
        <f>J1243/G1243</f>
        <v>0.66843134259966397</v>
      </c>
      <c r="AB1243">
        <f>C1243/G1243</f>
        <v>0.64090423094547122</v>
      </c>
      <c r="AC1243">
        <f>C1243/(G1243-K1243)</f>
        <v>1.6671348364829177</v>
      </c>
      <c r="AD1243">
        <f>Q1243/E1243</f>
        <v>2.0750000000000002</v>
      </c>
      <c r="AE1243">
        <f>Q1243/J1243</f>
        <v>-3.7932279455786047E-2</v>
      </c>
      <c r="AF1243">
        <f>Q1243/G1243</f>
        <v>-2.5355124484496717E-2</v>
      </c>
      <c r="AG1243">
        <f>Q1243/K1243</f>
        <v>-4.1189973367952763E-2</v>
      </c>
      <c r="AH1243">
        <f>Q1243/L1243</f>
        <v>-5.4623375119118446E-2</v>
      </c>
      <c r="AI1243" s="1">
        <f>R1243</f>
        <v>260.2</v>
      </c>
      <c r="AJ1243" s="1">
        <f>P1243</f>
        <v>1537000</v>
      </c>
    </row>
    <row r="1244" spans="1:36" x14ac:dyDescent="0.25">
      <c r="A1244" t="s">
        <v>181</v>
      </c>
      <c r="B1244">
        <v>2021</v>
      </c>
      <c r="C1244" s="1">
        <v>3882000</v>
      </c>
      <c r="D1244" s="1">
        <v>111000</v>
      </c>
      <c r="E1244" s="1">
        <v>-13000</v>
      </c>
      <c r="F1244" s="1">
        <v>0</v>
      </c>
      <c r="G1244" s="1">
        <v>3872000</v>
      </c>
      <c r="H1244" s="1">
        <v>1737090</v>
      </c>
      <c r="I1244" s="1">
        <v>838009</v>
      </c>
      <c r="J1244" s="1">
        <v>1711431</v>
      </c>
      <c r="K1244" s="1">
        <v>1426553</v>
      </c>
      <c r="L1244" s="1">
        <v>816000</v>
      </c>
      <c r="M1244" s="1">
        <v>0</v>
      </c>
      <c r="O1244" s="1">
        <v>2160569</v>
      </c>
      <c r="P1244" s="1">
        <v>1535000</v>
      </c>
      <c r="Q1244" s="1">
        <v>2374000</v>
      </c>
      <c r="R1244" s="1">
        <v>225</v>
      </c>
      <c r="T1244">
        <f>E1244/G1244</f>
        <v>-3.3574380165289257E-3</v>
      </c>
      <c r="U1244">
        <f>D1244/C1244</f>
        <v>2.8593508500772798E-2</v>
      </c>
      <c r="V1244">
        <f>(E1244-F1244)/O1244</f>
        <v>-6.0169335022394561E-3</v>
      </c>
      <c r="W1244">
        <f>H1244/K1244</f>
        <v>1.2176834649676529</v>
      </c>
      <c r="X1244">
        <f>(H1244-I1244)/K1244</f>
        <v>0.63024717623530291</v>
      </c>
      <c r="Y1244">
        <f>(H1244-K1244)/G1244</f>
        <v>8.0200671487603306E-2</v>
      </c>
      <c r="Z1244" t="e">
        <f>J1244/N1244</f>
        <v>#DIV/0!</v>
      </c>
      <c r="AA1244">
        <f>J1244/G1244</f>
        <v>0.44200180785123966</v>
      </c>
      <c r="AB1244">
        <f>C1244/G1244</f>
        <v>1.0025826446280992</v>
      </c>
      <c r="AC1244">
        <f>C1244/(G1244-K1244)</f>
        <v>1.5874398422865021</v>
      </c>
      <c r="AD1244">
        <f>Q1244/E1244</f>
        <v>-182.61538461538461</v>
      </c>
      <c r="AE1244">
        <f>Q1244/J1244</f>
        <v>1.3871432736698119</v>
      </c>
      <c r="AF1244">
        <f>Q1244/G1244</f>
        <v>0.61311983471074383</v>
      </c>
      <c r="AG1244">
        <f>Q1244/K1244</f>
        <v>1.6641512793425832</v>
      </c>
      <c r="AH1244">
        <f>Q1244/L1244</f>
        <v>2.909313725490196</v>
      </c>
      <c r="AI1244" s="1">
        <f>R1244</f>
        <v>225</v>
      </c>
      <c r="AJ1244" s="1">
        <f>P1244</f>
        <v>1535000</v>
      </c>
    </row>
    <row r="1245" spans="1:36" x14ac:dyDescent="0.25">
      <c r="A1245" t="s">
        <v>181</v>
      </c>
      <c r="B1245">
        <v>2022</v>
      </c>
      <c r="C1245" s="1">
        <v>3194000</v>
      </c>
      <c r="D1245" s="1">
        <v>107000</v>
      </c>
      <c r="E1245" s="1">
        <v>-2000</v>
      </c>
      <c r="F1245" s="1">
        <v>0</v>
      </c>
      <c r="G1245" s="1">
        <v>4065000</v>
      </c>
      <c r="H1245" s="1">
        <v>1935104</v>
      </c>
      <c r="I1245" s="1">
        <v>763085</v>
      </c>
      <c r="J1245" s="1">
        <v>1906380</v>
      </c>
      <c r="K1245" s="1">
        <v>1499343</v>
      </c>
      <c r="L1245" s="1">
        <v>919164</v>
      </c>
      <c r="M1245" s="1">
        <v>39999</v>
      </c>
      <c r="O1245" s="1">
        <v>2158620</v>
      </c>
      <c r="P1245" s="1">
        <v>1556000</v>
      </c>
      <c r="Q1245" s="1">
        <v>43000</v>
      </c>
      <c r="R1245" s="1">
        <v>185</v>
      </c>
      <c r="T1245">
        <f>E1245/G1245</f>
        <v>-4.9200492004920044E-4</v>
      </c>
      <c r="U1245">
        <f>D1245/C1245</f>
        <v>3.35003130870382E-2</v>
      </c>
      <c r="V1245">
        <f>(E1245-F1245)/O1245</f>
        <v>-9.265178678970824E-4</v>
      </c>
      <c r="W1245">
        <f>H1245/K1245</f>
        <v>1.2906346313018435</v>
      </c>
      <c r="X1245">
        <f>(H1245-I1245)/K1245</f>
        <v>0.78168837951022552</v>
      </c>
      <c r="Y1245">
        <f>(H1245-K1245)/G1245</f>
        <v>0.10719827798277982</v>
      </c>
      <c r="Z1245" t="e">
        <f>J1245/N1245</f>
        <v>#DIV/0!</v>
      </c>
      <c r="AA1245">
        <f>J1245/G1245</f>
        <v>0.46897416974169742</v>
      </c>
      <c r="AB1245">
        <f>C1245/G1245</f>
        <v>0.7857318573185732</v>
      </c>
      <c r="AC1245">
        <f>C1245/(G1245-K1245)</f>
        <v>1.2449053010593387</v>
      </c>
      <c r="AD1245">
        <f>Q1245/E1245</f>
        <v>-21.5</v>
      </c>
      <c r="AE1245">
        <f>Q1245/J1245</f>
        <v>2.2555838814926718E-2</v>
      </c>
      <c r="AF1245">
        <f>Q1245/G1245</f>
        <v>1.0578105781057811E-2</v>
      </c>
      <c r="AG1245">
        <f>Q1245/K1245</f>
        <v>2.8679228168604517E-2</v>
      </c>
      <c r="AH1245">
        <f>Q1245/L1245</f>
        <v>4.6781640708295796E-2</v>
      </c>
      <c r="AI1245" s="1">
        <f>R1245</f>
        <v>185</v>
      </c>
      <c r="AJ1245" s="1">
        <f>P1245</f>
        <v>1556000</v>
      </c>
    </row>
    <row r="1246" spans="1:36" x14ac:dyDescent="0.25">
      <c r="A1246" t="s">
        <v>181</v>
      </c>
      <c r="B1246">
        <v>2023</v>
      </c>
      <c r="C1246" s="1">
        <v>1931000</v>
      </c>
      <c r="D1246" s="1">
        <v>135000</v>
      </c>
      <c r="E1246" s="1">
        <v>-55000</v>
      </c>
      <c r="F1246" s="1">
        <v>0</v>
      </c>
      <c r="G1246" s="1">
        <v>3584000</v>
      </c>
      <c r="H1246" s="1">
        <v>1601004</v>
      </c>
      <c r="I1246" s="1">
        <v>982507</v>
      </c>
      <c r="J1246" s="1">
        <v>1480605</v>
      </c>
      <c r="K1246" s="1">
        <v>1179649</v>
      </c>
      <c r="L1246" s="1">
        <v>764999</v>
      </c>
      <c r="M1246" s="1">
        <v>54999</v>
      </c>
      <c r="O1246" s="1">
        <v>2103395</v>
      </c>
      <c r="P1246" s="1">
        <v>1523000</v>
      </c>
      <c r="Q1246" s="1">
        <v>196000</v>
      </c>
      <c r="R1246" s="1">
        <v>149.75</v>
      </c>
      <c r="T1246">
        <f>E1246/G1246</f>
        <v>-1.5345982142857142E-2</v>
      </c>
      <c r="U1246">
        <f>D1246/C1246</f>
        <v>6.991196271361988E-2</v>
      </c>
      <c r="V1246">
        <f>(E1246-F1246)/O1246</f>
        <v>-2.61482032618695E-2</v>
      </c>
      <c r="W1246">
        <f>H1246/K1246</f>
        <v>1.3571867563995732</v>
      </c>
      <c r="X1246">
        <f>(H1246-I1246)/K1246</f>
        <v>0.52430595880639075</v>
      </c>
      <c r="Y1246">
        <f>(H1246-K1246)/G1246</f>
        <v>0.11756556919642858</v>
      </c>
      <c r="Z1246" t="e">
        <f>J1246/N1246</f>
        <v>#DIV/0!</v>
      </c>
      <c r="AA1246">
        <f>J1246/G1246</f>
        <v>0.41311523437499997</v>
      </c>
      <c r="AB1246">
        <f>C1246/G1246</f>
        <v>0.5387834821428571</v>
      </c>
      <c r="AC1246">
        <f>C1246/(G1246-K1246)</f>
        <v>0.80312733041057649</v>
      </c>
      <c r="AD1246">
        <f>Q1246/E1246</f>
        <v>-3.5636363636363635</v>
      </c>
      <c r="AE1246">
        <f>Q1246/J1246</f>
        <v>0.1323783183225776</v>
      </c>
      <c r="AF1246">
        <f>Q1246/G1246</f>
        <v>5.46875E-2</v>
      </c>
      <c r="AG1246">
        <f>Q1246/K1246</f>
        <v>0.1661511178325078</v>
      </c>
      <c r="AH1246">
        <f>Q1246/L1246</f>
        <v>0.25620948524115716</v>
      </c>
      <c r="AI1246" s="1">
        <f>R1246</f>
        <v>149.75</v>
      </c>
      <c r="AJ1246" s="1">
        <f>P1246</f>
        <v>1523000</v>
      </c>
    </row>
    <row r="1247" spans="1:36" x14ac:dyDescent="0.25">
      <c r="A1247" t="s">
        <v>181</v>
      </c>
      <c r="B1247">
        <v>2024</v>
      </c>
      <c r="C1247" s="1">
        <v>2173000</v>
      </c>
      <c r="D1247" s="1">
        <v>299000</v>
      </c>
      <c r="E1247" s="1">
        <v>119000</v>
      </c>
      <c r="F1247" s="1">
        <v>0</v>
      </c>
      <c r="G1247" s="1">
        <v>3871000</v>
      </c>
      <c r="H1247" s="1">
        <v>1907297</v>
      </c>
      <c r="I1247" s="1">
        <v>957784</v>
      </c>
      <c r="J1247" s="1">
        <v>1645679</v>
      </c>
      <c r="K1247" s="1">
        <v>1317774</v>
      </c>
      <c r="L1247" s="1">
        <v>1005013</v>
      </c>
      <c r="M1247" s="1">
        <v>122509</v>
      </c>
      <c r="O1247" s="1">
        <v>2225321</v>
      </c>
      <c r="P1247" s="1">
        <v>1611000</v>
      </c>
      <c r="Q1247" s="1">
        <v>-32000</v>
      </c>
      <c r="R1247" s="1">
        <v>200</v>
      </c>
      <c r="T1247">
        <f>E1247/G1247</f>
        <v>3.074141048824593E-2</v>
      </c>
      <c r="U1247">
        <f>D1247/C1247</f>
        <v>0.13759779107225034</v>
      </c>
      <c r="V1247">
        <f>(E1247-F1247)/O1247</f>
        <v>5.3475431184984101E-2</v>
      </c>
      <c r="W1247">
        <f>H1247/K1247</f>
        <v>1.4473627496065335</v>
      </c>
      <c r="X1247">
        <f>(H1247-I1247)/K1247</f>
        <v>0.72054312803257614</v>
      </c>
      <c r="Y1247">
        <f>(H1247-K1247)/G1247</f>
        <v>0.15229217256522862</v>
      </c>
      <c r="Z1247" t="e">
        <f>J1247/N1247</f>
        <v>#DIV/0!</v>
      </c>
      <c r="AA1247">
        <f>J1247/G1247</f>
        <v>0.42513019891500903</v>
      </c>
      <c r="AB1247">
        <f>C1247/G1247</f>
        <v>0.56135365538620507</v>
      </c>
      <c r="AC1247">
        <f>C1247/(G1247-K1247)</f>
        <v>0.85108016289979815</v>
      </c>
      <c r="AD1247">
        <f>Q1247/E1247</f>
        <v>-0.26890756302521007</v>
      </c>
      <c r="AE1247">
        <f>Q1247/J1247</f>
        <v>-1.9444861361176756E-2</v>
      </c>
      <c r="AF1247">
        <f>Q1247/G1247</f>
        <v>-8.266597778351847E-3</v>
      </c>
      <c r="AG1247">
        <f>Q1247/K1247</f>
        <v>-2.4283374842727204E-2</v>
      </c>
      <c r="AH1247">
        <f>Q1247/L1247</f>
        <v>-3.1840384154234819E-2</v>
      </c>
      <c r="AI1247" s="1">
        <f>R1247</f>
        <v>200</v>
      </c>
      <c r="AJ1247" s="1">
        <f>P1247</f>
        <v>1611000</v>
      </c>
    </row>
    <row r="1248" spans="1:36" x14ac:dyDescent="0.25">
      <c r="A1248" t="s">
        <v>73</v>
      </c>
      <c r="B1248">
        <v>2018</v>
      </c>
      <c r="C1248" s="1">
        <v>1915822.41</v>
      </c>
      <c r="D1248" s="1">
        <v>208690.56</v>
      </c>
      <c r="E1248" s="1">
        <v>170382.565</v>
      </c>
      <c r="G1248" s="1">
        <v>1248517.3019999999</v>
      </c>
      <c r="H1248" s="1">
        <v>981225.26899999997</v>
      </c>
      <c r="I1248" s="1">
        <v>160131</v>
      </c>
      <c r="J1248" s="1">
        <f>G1248-O1248</f>
        <v>351202.88499999989</v>
      </c>
      <c r="K1248" s="1">
        <v>277799</v>
      </c>
      <c r="L1248" s="1">
        <v>0</v>
      </c>
      <c r="M1248" s="1">
        <v>0</v>
      </c>
      <c r="N1248" s="1">
        <v>897314.41700000002</v>
      </c>
      <c r="O1248" s="1">
        <v>897314.41700000002</v>
      </c>
      <c r="P1248" s="1">
        <v>803179.29399999999</v>
      </c>
      <c r="Q1248" s="1">
        <v>170433.47099999999</v>
      </c>
      <c r="R1248" s="1">
        <v>430</v>
      </c>
      <c r="T1248">
        <f>E1248/G1248</f>
        <v>0.13646792457506529</v>
      </c>
      <c r="U1248">
        <f>D1248/C1248</f>
        <v>0.10893001298591136</v>
      </c>
      <c r="V1248">
        <f>(E1248-F1248)/O1248</f>
        <v>0.18988056111885696</v>
      </c>
      <c r="W1248">
        <f>H1248/K1248</f>
        <v>3.5321411128189806</v>
      </c>
      <c r="X1248">
        <f>(H1248-I1248)/K1248</f>
        <v>2.955713551884636</v>
      </c>
      <c r="Y1248">
        <f>(H1248-K1248)/G1248</f>
        <v>0.56340930788318389</v>
      </c>
      <c r="Z1248">
        <f>J1248/N1248</f>
        <v>0.39139333810569976</v>
      </c>
      <c r="AA1248">
        <f>J1248/G1248</f>
        <v>0.2812959695772001</v>
      </c>
      <c r="AB1248">
        <f>C1248/G1248</f>
        <v>1.5344780620429079</v>
      </c>
      <c r="AC1248">
        <f>C1248/(G1248-K1248)</f>
        <v>1.97361315435464</v>
      </c>
      <c r="AD1248">
        <f>Q1248/E1248</f>
        <v>1.0002987747015077</v>
      </c>
      <c r="AE1248">
        <f>Q1248/J1248</f>
        <v>0.48528494007103629</v>
      </c>
      <c r="AF1248">
        <f>Q1248/G1248</f>
        <v>0.13650869773849558</v>
      </c>
      <c r="AG1248">
        <f>Q1248/K1248</f>
        <v>0.61351362315919056</v>
      </c>
      <c r="AH1248" t="e">
        <f>Q1248/L1248</f>
        <v>#DIV/0!</v>
      </c>
      <c r="AI1248" s="1">
        <f>R1248</f>
        <v>430</v>
      </c>
      <c r="AJ1248" s="1">
        <f>P1248</f>
        <v>803179.29399999999</v>
      </c>
    </row>
    <row r="1249" spans="1:36" x14ac:dyDescent="0.25">
      <c r="A1249" t="s">
        <v>73</v>
      </c>
      <c r="B1249">
        <v>2019</v>
      </c>
      <c r="C1249" s="1">
        <v>1996718.507</v>
      </c>
      <c r="D1249" s="1">
        <v>111777.023</v>
      </c>
      <c r="E1249" s="1">
        <v>118604.408</v>
      </c>
      <c r="G1249" s="1">
        <v>1364813.2620000001</v>
      </c>
      <c r="H1249" s="1">
        <v>1132514.527</v>
      </c>
      <c r="I1249" s="1">
        <v>174386</v>
      </c>
      <c r="J1249" s="1">
        <v>355872</v>
      </c>
      <c r="K1249" s="1">
        <v>284745</v>
      </c>
      <c r="L1249" s="1">
        <v>0</v>
      </c>
      <c r="M1249" s="1">
        <v>0</v>
      </c>
      <c r="N1249" s="1">
        <v>1008941</v>
      </c>
      <c r="O1249" s="1">
        <v>1008941</v>
      </c>
      <c r="P1249" s="1">
        <v>914805</v>
      </c>
      <c r="Q1249" s="1">
        <v>39560.737000000001</v>
      </c>
      <c r="R1249" s="1">
        <v>400</v>
      </c>
      <c r="T1249">
        <f>E1249/G1249</f>
        <v>8.6901564706512932E-2</v>
      </c>
      <c r="U1249">
        <f>D1249/C1249</f>
        <v>5.5980361081513233E-2</v>
      </c>
      <c r="V1249">
        <f>(E1249-F1249)/O1249</f>
        <v>0.11755336337803697</v>
      </c>
      <c r="W1249">
        <f>H1249/K1249</f>
        <v>3.9772938137631915</v>
      </c>
      <c r="X1249">
        <f>(H1249-I1249)/K1249</f>
        <v>3.3648651495197459</v>
      </c>
      <c r="Y1249">
        <f>(H1249-K1249)/G1249</f>
        <v>0.62116155418776986</v>
      </c>
      <c r="Z1249">
        <f>J1249/N1249</f>
        <v>0.35271834527489715</v>
      </c>
      <c r="AA1249">
        <f>J1249/G1249</f>
        <v>0.26074775935171118</v>
      </c>
      <c r="AB1249">
        <f>C1249/G1249</f>
        <v>1.4629975855260995</v>
      </c>
      <c r="AC1249">
        <f>C1249/(G1249-K1249)</f>
        <v>1.8486965845127294</v>
      </c>
      <c r="AD1249">
        <f>Q1249/E1249</f>
        <v>0.33355199580777811</v>
      </c>
      <c r="AE1249">
        <f>Q1249/J1249</f>
        <v>0.11116563539699667</v>
      </c>
      <c r="AF1249">
        <f>Q1249/G1249</f>
        <v>2.8986190346676158E-2</v>
      </c>
      <c r="AG1249">
        <f>Q1249/K1249</f>
        <v>0.13893391279917119</v>
      </c>
      <c r="AH1249" t="e">
        <f>Q1249/L1249</f>
        <v>#DIV/0!</v>
      </c>
      <c r="AI1249" s="1">
        <f>R1249</f>
        <v>400</v>
      </c>
      <c r="AJ1249" s="1">
        <f>P1249</f>
        <v>914805</v>
      </c>
    </row>
    <row r="1250" spans="1:36" x14ac:dyDescent="0.25">
      <c r="A1250" t="s">
        <v>73</v>
      </c>
      <c r="B1250">
        <v>2020</v>
      </c>
      <c r="C1250" s="1">
        <v>2430828.5550000002</v>
      </c>
      <c r="D1250" s="1">
        <v>251901.18400000001</v>
      </c>
      <c r="E1250" s="1">
        <v>229439.253</v>
      </c>
      <c r="G1250" s="1">
        <v>1805605</v>
      </c>
      <c r="H1250" s="1">
        <v>1529702</v>
      </c>
      <c r="I1250" s="1">
        <v>212320</v>
      </c>
      <c r="J1250" s="1">
        <v>582768</v>
      </c>
      <c r="K1250" s="1">
        <v>503693</v>
      </c>
      <c r="L1250" s="1">
        <v>0</v>
      </c>
      <c r="M1250" s="1">
        <v>0</v>
      </c>
      <c r="N1250" s="1">
        <v>1222837</v>
      </c>
      <c r="O1250" s="1">
        <v>1222837</v>
      </c>
      <c r="P1250" s="1">
        <v>1128702</v>
      </c>
      <c r="Q1250" s="1">
        <v>117859.72100000001</v>
      </c>
      <c r="R1250" s="1">
        <v>337</v>
      </c>
      <c r="T1250">
        <f>E1250/G1250</f>
        <v>0.12707056803675223</v>
      </c>
      <c r="U1250">
        <f>D1250/C1250</f>
        <v>0.10362770483416507</v>
      </c>
      <c r="V1250">
        <f>(E1250-F1250)/O1250</f>
        <v>0.18762864797188833</v>
      </c>
      <c r="W1250">
        <f>H1250/K1250</f>
        <v>3.0369729180274492</v>
      </c>
      <c r="X1250">
        <f>(H1250-I1250)/K1250</f>
        <v>2.6154463135282802</v>
      </c>
      <c r="Y1250">
        <f>(H1250-K1250)/G1250</f>
        <v>0.56823557754879939</v>
      </c>
      <c r="Z1250">
        <f>J1250/N1250</f>
        <v>0.47657046687334453</v>
      </c>
      <c r="AA1250">
        <f>J1250/G1250</f>
        <v>0.32275497686371052</v>
      </c>
      <c r="AB1250">
        <f>C1250/G1250</f>
        <v>1.3462681788098727</v>
      </c>
      <c r="AC1250">
        <f>C1250/(G1250-K1250)</f>
        <v>1.8671220136230406</v>
      </c>
      <c r="AD1250">
        <f>Q1250/E1250</f>
        <v>0.5136859515490142</v>
      </c>
      <c r="AE1250">
        <f>Q1250/J1250</f>
        <v>0.20224123664991903</v>
      </c>
      <c r="AF1250">
        <f>Q1250/G1250</f>
        <v>6.5274365655832806E-2</v>
      </c>
      <c r="AG1250">
        <f>Q1250/K1250</f>
        <v>0.23399118312146486</v>
      </c>
      <c r="AH1250" t="e">
        <f>Q1250/L1250</f>
        <v>#DIV/0!</v>
      </c>
      <c r="AI1250" s="1">
        <f>R1250</f>
        <v>337</v>
      </c>
      <c r="AJ1250" s="1">
        <f>P1250</f>
        <v>1128702</v>
      </c>
    </row>
    <row r="1251" spans="1:36" x14ac:dyDescent="0.25">
      <c r="A1251" t="s">
        <v>73</v>
      </c>
      <c r="B1251">
        <v>2021</v>
      </c>
      <c r="C1251" s="1">
        <v>3207282.2439999999</v>
      </c>
      <c r="D1251" s="1">
        <v>575972.19900000002</v>
      </c>
      <c r="E1251" s="1">
        <v>515904.78399999999</v>
      </c>
      <c r="G1251" s="1">
        <v>2525420.9539999999</v>
      </c>
      <c r="H1251" s="1">
        <v>1984093.13</v>
      </c>
      <c r="I1251" s="1">
        <v>242033</v>
      </c>
      <c r="J1251" s="1">
        <f>G1251-O1251</f>
        <v>811848.14500000002</v>
      </c>
      <c r="K1251" s="1">
        <v>684661</v>
      </c>
      <c r="L1251" s="1">
        <v>0</v>
      </c>
      <c r="M1251" s="1">
        <v>0</v>
      </c>
      <c r="N1251" s="1">
        <v>1713572.8089999999</v>
      </c>
      <c r="O1251" s="1">
        <v>1713572.8089999999</v>
      </c>
      <c r="P1251" s="1">
        <v>1619437.686</v>
      </c>
      <c r="Q1251" s="1">
        <v>514503.549</v>
      </c>
      <c r="R1251" s="1">
        <v>1245</v>
      </c>
      <c r="T1251">
        <f>E1251/G1251</f>
        <v>0.20428466912926391</v>
      </c>
      <c r="U1251">
        <f>D1251/C1251</f>
        <v>0.17958263575882535</v>
      </c>
      <c r="V1251">
        <f>(E1251-F1251)/O1251</f>
        <v>0.30106966058890122</v>
      </c>
      <c r="W1251">
        <f>H1251/K1251</f>
        <v>2.8979204745122038</v>
      </c>
      <c r="X1251">
        <f>(H1251-I1251)/K1251</f>
        <v>2.5444126801438958</v>
      </c>
      <c r="Y1251">
        <f>(H1251-K1251)/G1251</f>
        <v>0.51454080474854569</v>
      </c>
      <c r="Z1251">
        <f>J1251/N1251</f>
        <v>0.47377510937149803</v>
      </c>
      <c r="AA1251">
        <f>J1251/G1251</f>
        <v>0.32147042405509402</v>
      </c>
      <c r="AB1251">
        <f>C1251/G1251</f>
        <v>1.269999062500849</v>
      </c>
      <c r="AC1251">
        <f>C1251/(G1251-K1251)</f>
        <v>1.7423685456816496</v>
      </c>
      <c r="AD1251">
        <f>Q1251/E1251</f>
        <v>0.99728392710543268</v>
      </c>
      <c r="AE1251">
        <f>Q1251/J1251</f>
        <v>0.63374357897929301</v>
      </c>
      <c r="AF1251">
        <f>Q1251/G1251</f>
        <v>0.20372981707666626</v>
      </c>
      <c r="AG1251">
        <f>Q1251/K1251</f>
        <v>0.75147196787899417</v>
      </c>
      <c r="AH1251" t="e">
        <f>Q1251/L1251</f>
        <v>#DIV/0!</v>
      </c>
      <c r="AI1251" s="1">
        <f>R1251</f>
        <v>1245</v>
      </c>
      <c r="AJ1251" s="1">
        <f>P1251</f>
        <v>1619437.686</v>
      </c>
    </row>
    <row r="1252" spans="1:36" x14ac:dyDescent="0.25">
      <c r="A1252" t="s">
        <v>73</v>
      </c>
      <c r="B1252">
        <v>2022</v>
      </c>
      <c r="C1252" s="1">
        <v>4872432.3609999996</v>
      </c>
      <c r="D1252" s="1">
        <v>459956.16700000002</v>
      </c>
      <c r="E1252" s="1">
        <v>385589.4</v>
      </c>
      <c r="G1252" s="1">
        <v>3158418.2630000003</v>
      </c>
      <c r="H1252" s="1">
        <v>2417873.267</v>
      </c>
      <c r="I1252" s="1">
        <v>1136374</v>
      </c>
      <c r="J1252" s="1">
        <f>G1252-O1252</f>
        <v>1081993.5230000003</v>
      </c>
      <c r="K1252" s="1">
        <v>854378</v>
      </c>
      <c r="L1252" s="1">
        <v>0</v>
      </c>
      <c r="M1252" s="1">
        <v>0</v>
      </c>
      <c r="N1252" s="1">
        <v>2076424.74</v>
      </c>
      <c r="O1252" s="1">
        <v>2076424.74</v>
      </c>
      <c r="P1252" s="1">
        <v>1982289.6170000001</v>
      </c>
      <c r="Q1252" s="1">
        <v>-216320.39600000001</v>
      </c>
      <c r="R1252" s="1">
        <v>1182</v>
      </c>
      <c r="T1252">
        <f>E1252/G1252</f>
        <v>0.1220830706677053</v>
      </c>
      <c r="U1252">
        <f>D1252/C1252</f>
        <v>9.4399702842791311E-2</v>
      </c>
      <c r="V1252">
        <f>(E1252-F1252)/O1252</f>
        <v>0.18569871210453792</v>
      </c>
      <c r="W1252">
        <f>H1252/K1252</f>
        <v>2.8299807193069109</v>
      </c>
      <c r="X1252">
        <f>(H1252-I1252)/K1252</f>
        <v>1.4999207224436959</v>
      </c>
      <c r="Y1252">
        <f>(H1252-K1252)/G1252</f>
        <v>0.49502476771867621</v>
      </c>
      <c r="Z1252">
        <f>J1252/N1252</f>
        <v>0.52108487351195798</v>
      </c>
      <c r="AA1252">
        <f>J1252/G1252</f>
        <v>0.34257448915973426</v>
      </c>
      <c r="AB1252">
        <f>C1252/G1252</f>
        <v>1.5426811635682336</v>
      </c>
      <c r="AC1252">
        <f>C1252/(G1252-K1252)</f>
        <v>2.1147340344893961</v>
      </c>
      <c r="AD1252">
        <f>Q1252/E1252</f>
        <v>-0.56101229961197063</v>
      </c>
      <c r="AE1252">
        <f>Q1252/J1252</f>
        <v>-0.19992762562960364</v>
      </c>
      <c r="AF1252">
        <f>Q1252/G1252</f>
        <v>-6.8490104218980066E-2</v>
      </c>
      <c r="AG1252">
        <f>Q1252/K1252</f>
        <v>-0.25319050350079242</v>
      </c>
      <c r="AH1252" t="e">
        <f>Q1252/L1252</f>
        <v>#DIV/0!</v>
      </c>
      <c r="AI1252" s="1">
        <f>R1252</f>
        <v>1182</v>
      </c>
      <c r="AJ1252" s="1">
        <f>P1252</f>
        <v>1982289.6170000001</v>
      </c>
    </row>
    <row r="1253" spans="1:36" x14ac:dyDescent="0.25">
      <c r="A1253" t="s">
        <v>73</v>
      </c>
      <c r="B1253">
        <v>2023</v>
      </c>
      <c r="C1253" s="1">
        <v>8041401.0619999999</v>
      </c>
      <c r="D1253" s="1">
        <v>920366.54</v>
      </c>
      <c r="E1253" s="1">
        <v>520505.56199999998</v>
      </c>
      <c r="G1253" s="1">
        <v>4858620.057</v>
      </c>
      <c r="H1253" s="1">
        <v>4112423.5529999998</v>
      </c>
      <c r="I1253" s="1">
        <v>2335620</v>
      </c>
      <c r="J1253" s="1">
        <f>G1253-O1253</f>
        <v>2418290.23</v>
      </c>
      <c r="K1253" s="1">
        <v>2218643</v>
      </c>
      <c r="L1253" s="1">
        <v>1040000</v>
      </c>
      <c r="M1253" s="1">
        <v>0</v>
      </c>
      <c r="N1253" s="1">
        <v>2440329.827</v>
      </c>
      <c r="O1253" s="1">
        <v>2440329.827</v>
      </c>
      <c r="P1253" s="1">
        <v>2346194.7039999999</v>
      </c>
      <c r="Q1253" s="1">
        <v>-1582179.7609999999</v>
      </c>
      <c r="R1253" s="1">
        <v>1208</v>
      </c>
      <c r="T1253">
        <f>E1253/G1253</f>
        <v>0.1071303283429392</v>
      </c>
      <c r="U1253">
        <f>D1253/C1253</f>
        <v>0.11445350541577055</v>
      </c>
      <c r="V1253">
        <f>(E1253-F1253)/O1253</f>
        <v>0.21329311974188314</v>
      </c>
      <c r="W1253">
        <f>H1253/K1253</f>
        <v>1.8535760611328636</v>
      </c>
      <c r="X1253">
        <f>(H1253-I1253)/K1253</f>
        <v>0.80085149030285618</v>
      </c>
      <c r="Y1253">
        <f>(H1253-K1253)/G1253</f>
        <v>0.38977745342971565</v>
      </c>
      <c r="Z1253">
        <f>J1253/N1253</f>
        <v>0.99096859909830537</v>
      </c>
      <c r="AA1253">
        <f>J1253/G1253</f>
        <v>0.49773190774937764</v>
      </c>
      <c r="AB1253">
        <f>C1253/G1253</f>
        <v>1.655079213369328</v>
      </c>
      <c r="AC1253">
        <f>C1253/(G1253-K1253)</f>
        <v>3.0460117222147511</v>
      </c>
      <c r="AD1253">
        <f>Q1253/E1253</f>
        <v>-3.0396980868381194</v>
      </c>
      <c r="AE1253">
        <f>Q1253/J1253</f>
        <v>-0.65425553201693243</v>
      </c>
      <c r="AF1253">
        <f>Q1253/G1253</f>
        <v>-0.32564385410637181</v>
      </c>
      <c r="AG1253">
        <f>Q1253/K1253</f>
        <v>-0.71312949447026852</v>
      </c>
      <c r="AH1253">
        <f>Q1253/L1253</f>
        <v>-1.5213266932692306</v>
      </c>
      <c r="AI1253" s="1">
        <f>R1253</f>
        <v>1208</v>
      </c>
      <c r="AJ1253" s="1">
        <f>P1253</f>
        <v>2346194.7039999999</v>
      </c>
    </row>
    <row r="1254" spans="1:36" x14ac:dyDescent="0.25">
      <c r="A1254" s="15" t="s">
        <v>73</v>
      </c>
      <c r="B1254" s="15">
        <v>2024</v>
      </c>
      <c r="C1254" s="6">
        <v>6298075.0590000004</v>
      </c>
      <c r="D1254" s="6">
        <v>397479.69900000002</v>
      </c>
      <c r="E1254" s="6">
        <v>226664.21</v>
      </c>
      <c r="F1254" s="6"/>
      <c r="G1254" s="6">
        <v>3570865.4739999999</v>
      </c>
      <c r="H1254" s="6">
        <v>2850306.5380000002</v>
      </c>
      <c r="I1254" s="6">
        <v>885042</v>
      </c>
      <c r="J1254" s="6">
        <f>G1254-O1254</f>
        <v>922291.7919999999</v>
      </c>
      <c r="K1254" s="6">
        <v>707405</v>
      </c>
      <c r="L1254" s="6">
        <v>0</v>
      </c>
      <c r="M1254" s="6">
        <v>0</v>
      </c>
      <c r="N1254" s="6">
        <v>2648573.682</v>
      </c>
      <c r="O1254" s="6">
        <v>2648573.682</v>
      </c>
      <c r="P1254" s="6">
        <v>2554438.5589999999</v>
      </c>
      <c r="Q1254" s="6">
        <v>2228258.1860000002</v>
      </c>
      <c r="R1254" s="6">
        <v>920</v>
      </c>
      <c r="S1254" s="15"/>
      <c r="T1254" s="15">
        <f>E1254/G1254</f>
        <v>6.3475986886197655E-2</v>
      </c>
      <c r="U1254" s="15">
        <f>D1254/C1254</f>
        <v>6.3111299131311291E-2</v>
      </c>
      <c r="V1254" s="15">
        <f>(E1254-F1254)/O1254</f>
        <v>8.5579726001370121E-2</v>
      </c>
      <c r="W1254" s="15">
        <f>H1254/K1254</f>
        <v>4.0292428495699069</v>
      </c>
      <c r="X1254" s="15">
        <f>(H1254-I1254)/K1254</f>
        <v>2.7781320997165699</v>
      </c>
      <c r="Y1254" s="15">
        <f>(H1254-K1254)/G1254</f>
        <v>0.60010704788594904</v>
      </c>
      <c r="Z1254" s="15">
        <f>J1254/N1254</f>
        <v>0.34822206316856391</v>
      </c>
      <c r="AA1254" s="15">
        <f>J1254/G1254</f>
        <v>0.2582824244473344</v>
      </c>
      <c r="AB1254" s="15">
        <f>C1254/G1254</f>
        <v>1.7637391004666003</v>
      </c>
      <c r="AC1254" s="15">
        <f>C1254/(G1254-K1254)</f>
        <v>2.1994628933020155</v>
      </c>
      <c r="AD1254" s="15">
        <f>Q1254/E1254</f>
        <v>9.8306573675658822</v>
      </c>
      <c r="AE1254" s="15">
        <f>Q1254/J1254</f>
        <v>2.4160013190272438</v>
      </c>
      <c r="AF1254" s="15">
        <f>Q1254/G1254</f>
        <v>0.62401067814631439</v>
      </c>
      <c r="AG1254" s="15">
        <f>Q1254/K1254</f>
        <v>3.1499044903555959</v>
      </c>
      <c r="AH1254" s="15" t="e">
        <f>Q1254/L1254</f>
        <v>#DIV/0!</v>
      </c>
      <c r="AI1254" s="6">
        <f>R1254</f>
        <v>920</v>
      </c>
      <c r="AJ1254" s="6">
        <f>P1254</f>
        <v>2554438.5589999999</v>
      </c>
    </row>
    <row r="1255" spans="1:36" x14ac:dyDescent="0.25">
      <c r="A1255" t="s">
        <v>25</v>
      </c>
      <c r="B1255">
        <v>2018</v>
      </c>
      <c r="C1255" s="1">
        <v>52734969</v>
      </c>
      <c r="D1255" s="1">
        <v>7080935</v>
      </c>
      <c r="E1255" s="1">
        <v>5149532</v>
      </c>
      <c r="G1255" s="1">
        <v>107842540</v>
      </c>
      <c r="H1255" s="1">
        <v>33812157</v>
      </c>
      <c r="I1255" s="1">
        <v>1526162</v>
      </c>
      <c r="J1255" s="5">
        <v>51557836</v>
      </c>
      <c r="K1255" s="1">
        <v>27997370</v>
      </c>
      <c r="L1255" s="1">
        <f>5780868+M1255</f>
        <v>25464264</v>
      </c>
      <c r="M1255" s="1">
        <v>19683396</v>
      </c>
      <c r="N1255" s="1">
        <v>44799735</v>
      </c>
      <c r="O1255" s="1">
        <v>44799735</v>
      </c>
      <c r="P1255" s="1">
        <v>22163669</v>
      </c>
      <c r="Q1255" s="1">
        <v>7140458</v>
      </c>
      <c r="R1255" s="1">
        <v>50.6</v>
      </c>
      <c r="S1255" s="11"/>
      <c r="T1255">
        <f>E1255/G1255</f>
        <v>4.7750470268968073E-2</v>
      </c>
      <c r="U1255">
        <f>D1255/C1255</f>
        <v>0.13427399568586074</v>
      </c>
      <c r="V1255">
        <f>(E1255-F1255)/O1255</f>
        <v>0.11494559063798034</v>
      </c>
      <c r="W1255">
        <f>H1255/K1255</f>
        <v>1.2076904723550819</v>
      </c>
      <c r="X1255">
        <f>(H1255-I1255)/K1255</f>
        <v>1.1531795665092828</v>
      </c>
      <c r="Y1255">
        <f>(H1255-K1255)/G1255</f>
        <v>5.3919232614513715E-2</v>
      </c>
      <c r="Z1255">
        <f>J1255/N1255</f>
        <v>1.1508513610627384</v>
      </c>
      <c r="AA1255">
        <f>J1255/G1255</f>
        <v>0.47808439971833006</v>
      </c>
      <c r="AB1255">
        <f>C1255/G1255</f>
        <v>0.48899969344193861</v>
      </c>
      <c r="AC1255">
        <f>C1255/(G1255-K1255)</f>
        <v>0.66046536064736294</v>
      </c>
      <c r="AD1255">
        <f>Q1255/E1255</f>
        <v>1.3866227066848016</v>
      </c>
      <c r="AE1255">
        <f>Q1255/J1255</f>
        <v>0.13849413695330426</v>
      </c>
      <c r="AF1255">
        <f>Q1255/G1255</f>
        <v>6.6211886329828662E-2</v>
      </c>
      <c r="AG1255">
        <f>Q1255/K1255</f>
        <v>0.25504031271508715</v>
      </c>
      <c r="AH1255">
        <f>Q1255/L1255</f>
        <v>0.28041093196331929</v>
      </c>
      <c r="AI1255" s="1">
        <f>R1255</f>
        <v>50.6</v>
      </c>
      <c r="AJ1255" s="1">
        <f>P1255</f>
        <v>22163669</v>
      </c>
    </row>
    <row r="1256" spans="1:36" x14ac:dyDescent="0.25">
      <c r="A1256" t="s">
        <v>25</v>
      </c>
      <c r="B1256">
        <v>2019</v>
      </c>
      <c r="C1256" s="1">
        <v>55680903</v>
      </c>
      <c r="D1256" s="1">
        <v>8016451</v>
      </c>
      <c r="E1256" s="1">
        <v>5771350</v>
      </c>
      <c r="G1256" s="1">
        <v>124996535</v>
      </c>
      <c r="H1256" s="1">
        <v>38074557</v>
      </c>
      <c r="I1256" s="1">
        <v>2202047</v>
      </c>
      <c r="J1256" s="5">
        <v>62910715</v>
      </c>
      <c r="K1256" s="1">
        <v>28384657</v>
      </c>
      <c r="L1256" s="1">
        <f>3583499+M1256</f>
        <v>32963403</v>
      </c>
      <c r="M1256" s="1">
        <v>29379904</v>
      </c>
      <c r="N1256" s="1">
        <v>49450583</v>
      </c>
      <c r="O1256" s="1">
        <v>49450583</v>
      </c>
      <c r="P1256" s="1">
        <v>23899401</v>
      </c>
      <c r="Q1256" s="1">
        <v>6504172</v>
      </c>
      <c r="R1256" s="1">
        <v>41</v>
      </c>
      <c r="S1256" s="11"/>
      <c r="T1256">
        <f>E1256/G1256</f>
        <v>4.6172079890054556E-2</v>
      </c>
      <c r="U1256">
        <f>D1256/C1256</f>
        <v>0.14397128221860914</v>
      </c>
      <c r="V1256">
        <f>(E1256-F1256)/O1256</f>
        <v>0.11670944304134898</v>
      </c>
      <c r="W1256">
        <f>H1256/K1256</f>
        <v>1.341378090283071</v>
      </c>
      <c r="X1256">
        <f>(H1256-I1256)/K1256</f>
        <v>1.2637993124243143</v>
      </c>
      <c r="Y1256">
        <f>(H1256-K1256)/G1256</f>
        <v>7.7521348891791284E-2</v>
      </c>
      <c r="Z1256">
        <f>J1256/N1256</f>
        <v>1.2721935957762116</v>
      </c>
      <c r="AA1256">
        <f>J1256/G1256</f>
        <v>0.50329967146689303</v>
      </c>
      <c r="AB1256">
        <f>C1256/G1256</f>
        <v>0.44545957213933968</v>
      </c>
      <c r="AC1256">
        <f>C1256/(G1256-K1256)</f>
        <v>0.5763359966980458</v>
      </c>
      <c r="AD1256">
        <f>Q1256/E1256</f>
        <v>1.1269758375423429</v>
      </c>
      <c r="AE1256">
        <f>Q1256/J1256</f>
        <v>0.10338734824425379</v>
      </c>
      <c r="AF1256">
        <f>Q1256/G1256</f>
        <v>5.2034818405166189E-2</v>
      </c>
      <c r="AG1256">
        <f>Q1256/K1256</f>
        <v>0.22914393504913588</v>
      </c>
      <c r="AH1256">
        <f>Q1256/L1256</f>
        <v>0.19731494348444545</v>
      </c>
      <c r="AI1256" s="1">
        <f>R1256</f>
        <v>41</v>
      </c>
      <c r="AJ1256" s="1">
        <f>P1256</f>
        <v>23899401</v>
      </c>
    </row>
    <row r="1257" spans="1:36" x14ac:dyDescent="0.25">
      <c r="A1257" t="s">
        <v>25</v>
      </c>
      <c r="B1257">
        <v>2020</v>
      </c>
      <c r="C1257" s="1">
        <v>53471257</v>
      </c>
      <c r="D1257" s="1">
        <v>6201353</v>
      </c>
      <c r="E1257" s="1">
        <v>2886974</v>
      </c>
      <c r="G1257" s="1">
        <v>142663972</v>
      </c>
      <c r="H1257" s="1">
        <v>37810912</v>
      </c>
      <c r="I1257" s="1">
        <v>2834640</v>
      </c>
      <c r="J1257" s="5">
        <v>79359901</v>
      </c>
      <c r="K1257" s="1">
        <v>30670089</v>
      </c>
      <c r="L1257" s="1">
        <f>3357190+M1257</f>
        <v>38057600</v>
      </c>
      <c r="M1257" s="1">
        <v>34700410</v>
      </c>
      <c r="N1257" s="1">
        <v>50948966</v>
      </c>
      <c r="O1257" s="1">
        <v>50948966</v>
      </c>
      <c r="P1257" s="1">
        <v>23648558</v>
      </c>
      <c r="Q1257" s="1">
        <v>5621369</v>
      </c>
      <c r="R1257" s="1">
        <v>30.7</v>
      </c>
      <c r="S1257" s="11"/>
      <c r="T1257">
        <f>E1257/G1257</f>
        <v>2.0236181283386671E-2</v>
      </c>
      <c r="U1257">
        <f>D1257/C1257</f>
        <v>0.11597544826746826</v>
      </c>
      <c r="V1257">
        <f>(E1257-F1257)/O1257</f>
        <v>5.6664035144501267E-2</v>
      </c>
      <c r="W1257">
        <f>H1257/K1257</f>
        <v>1.2328269409325809</v>
      </c>
      <c r="X1257">
        <f>(H1257-I1257)/K1257</f>
        <v>1.1404033421618047</v>
      </c>
      <c r="Y1257">
        <f>(H1257-K1257)/G1257</f>
        <v>5.0053443065499394E-2</v>
      </c>
      <c r="Z1257">
        <f>J1257/N1257</f>
        <v>1.5576351637833044</v>
      </c>
      <c r="AA1257">
        <f>J1257/G1257</f>
        <v>0.5562714950905755</v>
      </c>
      <c r="AB1257">
        <f>C1257/G1257</f>
        <v>0.37480560964614107</v>
      </c>
      <c r="AC1257">
        <f>C1257/(G1257-K1257)</f>
        <v>0.47744801383482705</v>
      </c>
      <c r="AD1257">
        <f>Q1257/E1257</f>
        <v>1.9471491603318907</v>
      </c>
      <c r="AE1257">
        <f>Q1257/J1257</f>
        <v>7.0833871125922904E-2</v>
      </c>
      <c r="AF1257">
        <f>Q1257/G1257</f>
        <v>3.9402863394270279E-2</v>
      </c>
      <c r="AG1257">
        <f>Q1257/K1257</f>
        <v>0.18328505665568823</v>
      </c>
      <c r="AH1257">
        <f>Q1257/L1257</f>
        <v>0.14770687063819055</v>
      </c>
      <c r="AI1257" s="1">
        <f>R1257</f>
        <v>30.7</v>
      </c>
      <c r="AJ1257" s="1">
        <f>P1257</f>
        <v>23648558</v>
      </c>
    </row>
    <row r="1258" spans="1:36" x14ac:dyDescent="0.25">
      <c r="A1258" t="s">
        <v>25</v>
      </c>
      <c r="B1258">
        <v>2021</v>
      </c>
      <c r="C1258" s="1">
        <v>31597505</v>
      </c>
      <c r="D1258" s="1">
        <v>-861136</v>
      </c>
      <c r="E1258" s="1">
        <v>-3313783</v>
      </c>
      <c r="G1258" s="1">
        <v>146980360</v>
      </c>
      <c r="H1258" s="1">
        <v>40006177</v>
      </c>
      <c r="I1258" s="1">
        <v>2355071</v>
      </c>
      <c r="J1258" s="5">
        <v>87788162</v>
      </c>
      <c r="K1258" s="1">
        <v>32940045</v>
      </c>
      <c r="L1258" s="1">
        <f>4114777+M1258</f>
        <v>43025271</v>
      </c>
      <c r="M1258" s="1">
        <v>38910494</v>
      </c>
      <c r="N1258" s="1">
        <v>49490056</v>
      </c>
      <c r="O1258" s="1">
        <v>49490056</v>
      </c>
      <c r="P1258" s="1">
        <v>19340780</v>
      </c>
      <c r="Q1258" s="1">
        <v>3452194</v>
      </c>
      <c r="R1258" s="1">
        <v>55.5</v>
      </c>
      <c r="S1258" s="11"/>
      <c r="T1258">
        <f>E1258/G1258</f>
        <v>-2.2545753731995213E-2</v>
      </c>
      <c r="U1258">
        <f>D1258/C1258</f>
        <v>-2.7253291043074446E-2</v>
      </c>
      <c r="V1258">
        <f>(E1258-F1258)/O1258</f>
        <v>-6.6958562342301658E-2</v>
      </c>
      <c r="W1258">
        <f>H1258/K1258</f>
        <v>1.214514946776788</v>
      </c>
      <c r="X1258">
        <f>(H1258-I1258)/K1258</f>
        <v>1.1430192642420494</v>
      </c>
      <c r="Y1258">
        <f>(H1258-K1258)/G1258</f>
        <v>4.8075348298235218E-2</v>
      </c>
      <c r="Z1258">
        <f>J1258/N1258</f>
        <v>1.773854569895819</v>
      </c>
      <c r="AA1258">
        <f>J1258/G1258</f>
        <v>0.59727818056779836</v>
      </c>
      <c r="AB1258">
        <f>C1258/G1258</f>
        <v>0.21497773580089205</v>
      </c>
      <c r="AC1258">
        <f>C1258/(G1258-K1258)</f>
        <v>0.27707311225859033</v>
      </c>
      <c r="AD1258">
        <f>Q1258/E1258</f>
        <v>-1.0417682751103496</v>
      </c>
      <c r="AE1258">
        <f>Q1258/J1258</f>
        <v>3.9324140309487284E-2</v>
      </c>
      <c r="AF1258">
        <f>Q1258/G1258</f>
        <v>2.3487450976443384E-2</v>
      </c>
      <c r="AG1258">
        <f>Q1258/K1258</f>
        <v>0.10480234620201642</v>
      </c>
      <c r="AH1258">
        <f>Q1258/L1258</f>
        <v>8.023642663401237E-2</v>
      </c>
      <c r="AI1258" s="1">
        <f>R1258</f>
        <v>55.5</v>
      </c>
      <c r="AJ1258" s="1">
        <f>P1258</f>
        <v>19340780</v>
      </c>
    </row>
    <row r="1259" spans="1:36" x14ac:dyDescent="0.25">
      <c r="A1259" t="s">
        <v>25</v>
      </c>
      <c r="B1259">
        <v>2022</v>
      </c>
      <c r="C1259" s="1">
        <v>54696051</v>
      </c>
      <c r="D1259" s="1">
        <v>16387272</v>
      </c>
      <c r="E1259" s="1">
        <v>12155817</v>
      </c>
      <c r="G1259" s="1">
        <v>197345539</v>
      </c>
      <c r="H1259" s="1">
        <v>67664210</v>
      </c>
      <c r="I1259" s="1">
        <v>3858694</v>
      </c>
      <c r="J1259" s="5">
        <v>119899860</v>
      </c>
      <c r="K1259" s="1">
        <v>50030000</v>
      </c>
      <c r="L1259" s="1">
        <f>8677206+M1259</f>
        <v>57951970</v>
      </c>
      <c r="M1259" s="1">
        <v>49274764</v>
      </c>
      <c r="N1259" s="1">
        <v>65948758</v>
      </c>
      <c r="O1259" s="1">
        <v>65948758</v>
      </c>
      <c r="P1259" s="1">
        <v>27164516</v>
      </c>
      <c r="Q1259" s="1">
        <v>21796935</v>
      </c>
      <c r="R1259" s="1">
        <v>73.7</v>
      </c>
      <c r="S1259" s="11"/>
      <c r="T1259">
        <f>E1259/G1259</f>
        <v>6.1596614048620574E-2</v>
      </c>
      <c r="U1259">
        <f>D1259/C1259</f>
        <v>0.29960612695786759</v>
      </c>
      <c r="V1259">
        <f>(E1259-F1259)/O1259</f>
        <v>0.18432215205629801</v>
      </c>
      <c r="W1259">
        <f>H1259/K1259</f>
        <v>1.352472716370178</v>
      </c>
      <c r="X1259">
        <f>(H1259-I1259)/K1259</f>
        <v>1.2753451129322406</v>
      </c>
      <c r="Y1259">
        <f>(H1259-K1259)/G1259</f>
        <v>8.9357023672067909E-2</v>
      </c>
      <c r="Z1259">
        <f>J1259/N1259</f>
        <v>1.8180760887111778</v>
      </c>
      <c r="AA1259">
        <f>J1259/G1259</f>
        <v>0.60756306226917045</v>
      </c>
      <c r="AB1259">
        <f>C1259/G1259</f>
        <v>0.27715879100768526</v>
      </c>
      <c r="AC1259">
        <f>C1259/(G1259-K1259)</f>
        <v>0.37128500748315491</v>
      </c>
      <c r="AD1259">
        <f>Q1259/E1259</f>
        <v>1.793127932083874</v>
      </c>
      <c r="AE1259">
        <f>Q1259/J1259</f>
        <v>0.18179283111756761</v>
      </c>
      <c r="AF1259">
        <f>Q1259/G1259</f>
        <v>0.11045060917237151</v>
      </c>
      <c r="AG1259">
        <f>Q1259/K1259</f>
        <v>0.43567729362382568</v>
      </c>
      <c r="AH1259">
        <f>Q1259/L1259</f>
        <v>0.37612069097909873</v>
      </c>
      <c r="AI1259" s="1">
        <f>R1259</f>
        <v>73.7</v>
      </c>
      <c r="AJ1259" s="1">
        <f>P1259</f>
        <v>27164516</v>
      </c>
    </row>
    <row r="1260" spans="1:36" x14ac:dyDescent="0.25">
      <c r="A1260" t="s">
        <v>25</v>
      </c>
      <c r="B1260">
        <v>2023</v>
      </c>
      <c r="C1260" s="1">
        <v>98104323</v>
      </c>
      <c r="D1260" s="1">
        <v>18983839</v>
      </c>
      <c r="E1260" s="1">
        <v>8076369</v>
      </c>
      <c r="G1260" s="1">
        <v>214337690</v>
      </c>
      <c r="H1260" s="1">
        <v>74204086</v>
      </c>
      <c r="I1260" s="1">
        <v>5274192</v>
      </c>
      <c r="J1260" s="5">
        <v>128121673</v>
      </c>
      <c r="K1260" s="1">
        <v>58153100</v>
      </c>
      <c r="L1260" s="1">
        <f>9618620+M1260</f>
        <v>56567478</v>
      </c>
      <c r="M1260" s="1">
        <v>46948858</v>
      </c>
      <c r="N1260" s="1">
        <v>74404361</v>
      </c>
      <c r="O1260" s="1">
        <v>74404361</v>
      </c>
      <c r="P1260" s="1">
        <v>29743417</v>
      </c>
      <c r="Q1260" s="1">
        <v>3460593</v>
      </c>
      <c r="R1260" s="1">
        <v>131</v>
      </c>
      <c r="S1260" s="11"/>
      <c r="T1260">
        <f>E1260/G1260</f>
        <v>3.7680582449125026E-2</v>
      </c>
      <c r="U1260">
        <f>D1260/C1260</f>
        <v>0.19350665107795503</v>
      </c>
      <c r="V1260">
        <f>(E1260-F1260)/O1260</f>
        <v>0.10854698422851854</v>
      </c>
      <c r="W1260">
        <f>H1260/K1260</f>
        <v>1.2760125599495127</v>
      </c>
      <c r="X1260">
        <f>(H1260-I1260)/K1260</f>
        <v>1.1853176184932532</v>
      </c>
      <c r="Y1260">
        <f>(H1260-K1260)/G1260</f>
        <v>7.488643737832576E-2</v>
      </c>
      <c r="Z1260">
        <f>J1260/N1260</f>
        <v>1.7219645633405816</v>
      </c>
      <c r="AA1260">
        <f>J1260/G1260</f>
        <v>0.59775615291925555</v>
      </c>
      <c r="AB1260">
        <f>C1260/G1260</f>
        <v>0.45770915511872878</v>
      </c>
      <c r="AC1260">
        <f>C1260/(G1260-K1260)</f>
        <v>0.62813061775172574</v>
      </c>
      <c r="AD1260">
        <f>Q1260/E1260</f>
        <v>0.42848376541487887</v>
      </c>
      <c r="AE1260">
        <f>Q1260/J1260</f>
        <v>2.7010207710915547E-2</v>
      </c>
      <c r="AF1260">
        <f>Q1260/G1260</f>
        <v>1.614551785082689E-2</v>
      </c>
      <c r="AG1260">
        <f>Q1260/K1260</f>
        <v>5.9508315119916222E-2</v>
      </c>
      <c r="AH1260">
        <f>Q1260/L1260</f>
        <v>6.1176370634731143E-2</v>
      </c>
      <c r="AI1260" s="1">
        <f>R1260</f>
        <v>131</v>
      </c>
      <c r="AJ1260" s="1">
        <f>P1260</f>
        <v>29743417</v>
      </c>
    </row>
    <row r="1261" spans="1:36" x14ac:dyDescent="0.25">
      <c r="A1261" s="15" t="s">
        <v>25</v>
      </c>
      <c r="B1261" s="15">
        <v>2024</v>
      </c>
      <c r="C1261" s="6">
        <v>97486253</v>
      </c>
      <c r="D1261" s="6">
        <v>13226209</v>
      </c>
      <c r="E1261" s="6">
        <v>4451750</v>
      </c>
      <c r="F1261" s="6"/>
      <c r="G1261" s="6">
        <v>201256782</v>
      </c>
      <c r="H1261" s="6">
        <v>67418139</v>
      </c>
      <c r="I1261" s="6">
        <v>4159673</v>
      </c>
      <c r="J1261" s="11">
        <v>115536813</v>
      </c>
      <c r="K1261" s="6">
        <v>56578053</v>
      </c>
      <c r="L1261" s="6">
        <f>9196934+M1261</f>
        <v>47661181</v>
      </c>
      <c r="M1261" s="6">
        <v>38464247</v>
      </c>
      <c r="N1261" s="6">
        <v>73836121</v>
      </c>
      <c r="O1261" s="6">
        <v>73836121</v>
      </c>
      <c r="P1261" s="6">
        <v>31119202</v>
      </c>
      <c r="Q1261" s="6">
        <v>12780178</v>
      </c>
      <c r="R1261" s="6">
        <v>130.25</v>
      </c>
      <c r="S1261" s="15"/>
      <c r="T1261" s="15">
        <f>E1261/G1261</f>
        <v>2.2119751472524291E-2</v>
      </c>
      <c r="U1261" s="15">
        <f>D1261/C1261</f>
        <v>0.13567255477549228</v>
      </c>
      <c r="V1261" s="15">
        <f>(E1261-F1261)/O1261</f>
        <v>6.0292305983950592E-2</v>
      </c>
      <c r="W1261" s="15">
        <f>H1261/K1261</f>
        <v>1.1915952463051354</v>
      </c>
      <c r="X1261" s="15">
        <f>(H1261-I1261)/K1261</f>
        <v>1.1180742822663057</v>
      </c>
      <c r="Y1261" s="15">
        <f>(H1261-K1261)/G1261</f>
        <v>5.3861966251651586E-2</v>
      </c>
      <c r="Z1261" s="15">
        <f>J1261/N1261</f>
        <v>1.5647736017985019</v>
      </c>
      <c r="AA1261" s="15">
        <f>J1261/G1261</f>
        <v>0.5740766191918939</v>
      </c>
      <c r="AB1261" s="15">
        <f>C1261/G1261</f>
        <v>0.48438741805977997</v>
      </c>
      <c r="AC1261" s="15">
        <f>C1261/(G1261-K1261)</f>
        <v>0.67381192573235837</v>
      </c>
      <c r="AD1261" s="15">
        <f>Q1261/E1261</f>
        <v>2.8708211377548154</v>
      </c>
      <c r="AE1261" s="15">
        <f>Q1261/J1261</f>
        <v>0.11061563555505032</v>
      </c>
      <c r="AF1261" s="15">
        <f>Q1261/G1261</f>
        <v>6.3501850089205933E-2</v>
      </c>
      <c r="AG1261" s="15">
        <f>Q1261/K1261</f>
        <v>0.22588578649039054</v>
      </c>
      <c r="AH1261" s="15">
        <f>Q1261/L1261</f>
        <v>0.26814648172482342</v>
      </c>
      <c r="AI1261" s="6">
        <f>R1261</f>
        <v>130.25</v>
      </c>
      <c r="AJ1261" s="6">
        <f>P1261</f>
        <v>31119202</v>
      </c>
    </row>
    <row r="1262" spans="1:36" x14ac:dyDescent="0.25">
      <c r="A1262" s="15" t="s">
        <v>80</v>
      </c>
      <c r="B1262" s="15">
        <v>2018</v>
      </c>
      <c r="C1262" s="6">
        <v>900821</v>
      </c>
      <c r="D1262" s="6">
        <v>190226</v>
      </c>
      <c r="E1262" s="6">
        <v>148976</v>
      </c>
      <c r="F1262" s="6"/>
      <c r="G1262" s="6">
        <v>2364368</v>
      </c>
      <c r="H1262" s="6">
        <v>315255</v>
      </c>
      <c r="I1262" s="6">
        <v>13033</v>
      </c>
      <c r="J1262" s="6">
        <f>212263+K1262</f>
        <v>457141</v>
      </c>
      <c r="K1262" s="6">
        <v>244878</v>
      </c>
      <c r="L1262" s="6">
        <f>48247+M1262</f>
        <v>52286</v>
      </c>
      <c r="M1262" s="6">
        <v>4039</v>
      </c>
      <c r="N1262" s="6">
        <v>1907226</v>
      </c>
      <c r="O1262" s="6">
        <v>1907226</v>
      </c>
      <c r="P1262" s="6">
        <v>993076</v>
      </c>
      <c r="Q1262" s="6">
        <v>194795</v>
      </c>
      <c r="R1262" s="6">
        <v>26</v>
      </c>
      <c r="S1262" s="15"/>
      <c r="T1262" s="15">
        <f>E1262/G1262</f>
        <v>6.3008804044040523E-2</v>
      </c>
      <c r="U1262" s="15">
        <f>D1262/C1262</f>
        <v>0.21116958863081567</v>
      </c>
      <c r="V1262" s="15">
        <f>(E1262-F1262)/O1262</f>
        <v>7.8111351250454847E-2</v>
      </c>
      <c r="W1262" s="15">
        <f>H1262/K1262</f>
        <v>1.2873961727880823</v>
      </c>
      <c r="X1262" s="15">
        <f>(H1262-I1262)/K1262</f>
        <v>1.2341737518274407</v>
      </c>
      <c r="Y1262" s="15">
        <f>(H1262-K1262)/G1262</f>
        <v>2.9765670995378045E-2</v>
      </c>
      <c r="Z1262" s="15">
        <f>J1262/N1262</f>
        <v>0.23968895138803686</v>
      </c>
      <c r="AA1262" s="15">
        <f>J1262/G1262</f>
        <v>0.19334595968140322</v>
      </c>
      <c r="AB1262" s="15">
        <f>C1262/G1262</f>
        <v>0.38099864318921589</v>
      </c>
      <c r="AC1262" s="15">
        <f>C1262/(G1262-K1262)</f>
        <v>0.42501781088846846</v>
      </c>
      <c r="AD1262" s="15">
        <f>Q1262/E1262</f>
        <v>1.3075596069165503</v>
      </c>
      <c r="AE1262" s="15">
        <f>Q1262/J1262</f>
        <v>0.42611579359541146</v>
      </c>
      <c r="AF1262" s="15">
        <f>Q1262/G1262</f>
        <v>8.2387767048107574E-2</v>
      </c>
      <c r="AG1262" s="15">
        <f>Q1262/K1262</f>
        <v>0.79547774810313709</v>
      </c>
      <c r="AH1262" s="15">
        <f>Q1262/L1262</f>
        <v>3.7255670734039703</v>
      </c>
      <c r="AI1262" s="6">
        <f>R1262</f>
        <v>26</v>
      </c>
      <c r="AJ1262" s="6">
        <f>P1262</f>
        <v>993076</v>
      </c>
    </row>
    <row r="1263" spans="1:36" x14ac:dyDescent="0.25">
      <c r="A1263" t="s">
        <v>80</v>
      </c>
      <c r="B1263">
        <v>2019</v>
      </c>
      <c r="C1263" s="1">
        <v>952910</v>
      </c>
      <c r="D1263" s="1">
        <v>171589</v>
      </c>
      <c r="E1263" s="1">
        <v>147178</v>
      </c>
      <c r="G1263" s="1">
        <v>3105059</v>
      </c>
      <c r="H1263" s="1">
        <v>1038234</v>
      </c>
      <c r="I1263" s="1">
        <v>18352</v>
      </c>
      <c r="J1263" s="1">
        <f>747058+K1263</f>
        <v>1051402</v>
      </c>
      <c r="K1263" s="1">
        <v>304344</v>
      </c>
      <c r="L1263" s="1">
        <f>65524+M1263</f>
        <v>593032</v>
      </c>
      <c r="M1263" s="1">
        <v>527508</v>
      </c>
      <c r="N1263" s="1">
        <v>2053656</v>
      </c>
      <c r="O1263" s="1">
        <v>2053656</v>
      </c>
      <c r="P1263" s="1">
        <v>1140115</v>
      </c>
      <c r="Q1263" s="1">
        <v>261042</v>
      </c>
      <c r="R1263" s="1">
        <v>26.5</v>
      </c>
      <c r="T1263">
        <f>E1263/G1263</f>
        <v>4.7399421395857531E-2</v>
      </c>
      <c r="U1263">
        <f>D1263/C1263</f>
        <v>0.18006842199158368</v>
      </c>
      <c r="V1263">
        <f>(E1263-F1263)/O1263</f>
        <v>7.1666335549868135E-2</v>
      </c>
      <c r="W1263">
        <f>H1263/K1263</f>
        <v>3.4113831716741583</v>
      </c>
      <c r="X1263">
        <f>(H1263-I1263)/K1263</f>
        <v>3.3510829850432406</v>
      </c>
      <c r="Y1263">
        <f>(H1263-K1263)/G1263</f>
        <v>0.23635299683516481</v>
      </c>
      <c r="Z1263">
        <f>J1263/N1263</f>
        <v>0.51196597677507816</v>
      </c>
      <c r="AA1263">
        <f>J1263/G1263</f>
        <v>0.3386093468755344</v>
      </c>
      <c r="AB1263">
        <f>C1263/G1263</f>
        <v>0.30688949871805976</v>
      </c>
      <c r="AC1263">
        <f>C1263/(G1263-K1263)</f>
        <v>0.3402381177663561</v>
      </c>
      <c r="AD1263">
        <f>Q1263/E1263</f>
        <v>1.7736482354699752</v>
      </c>
      <c r="AE1263">
        <f>Q1263/J1263</f>
        <v>0.24827991576961048</v>
      </c>
      <c r="AF1263">
        <f>Q1263/G1263</f>
        <v>8.4069900121060498E-2</v>
      </c>
      <c r="AG1263">
        <f>Q1263/K1263</f>
        <v>0.8577202113397997</v>
      </c>
      <c r="AH1263">
        <f>Q1263/L1263</f>
        <v>0.44018198006178416</v>
      </c>
      <c r="AI1263" s="1">
        <f>R1263</f>
        <v>26.5</v>
      </c>
      <c r="AJ1263" s="1">
        <f>P1263</f>
        <v>1140115</v>
      </c>
    </row>
    <row r="1264" spans="1:36" x14ac:dyDescent="0.25">
      <c r="A1264" t="s">
        <v>80</v>
      </c>
      <c r="B1264">
        <v>2020</v>
      </c>
      <c r="C1264" s="1">
        <v>728502</v>
      </c>
      <c r="D1264" s="1">
        <v>46727</v>
      </c>
      <c r="E1264" s="1">
        <v>44485</v>
      </c>
      <c r="G1264" s="1">
        <v>3123780</v>
      </c>
      <c r="H1264" s="1">
        <v>329679</v>
      </c>
      <c r="I1264" s="1">
        <v>20649</v>
      </c>
      <c r="J1264" s="1">
        <f>789947+K1264</f>
        <v>1030629</v>
      </c>
      <c r="K1264" s="1">
        <v>240682</v>
      </c>
      <c r="L1264" s="1">
        <f>47679+M1264</f>
        <v>610626</v>
      </c>
      <c r="M1264" s="1">
        <v>562947</v>
      </c>
      <c r="N1264" s="1">
        <v>2093149</v>
      </c>
      <c r="O1264" s="1">
        <v>2093149</v>
      </c>
      <c r="P1264" s="1">
        <v>1181964</v>
      </c>
      <c r="Q1264" s="1">
        <v>109925</v>
      </c>
      <c r="R1264" s="1">
        <v>18.3</v>
      </c>
      <c r="T1264">
        <f>E1264/G1264</f>
        <v>1.424075959254493E-2</v>
      </c>
      <c r="U1264">
        <f>D1264/C1264</f>
        <v>6.4141210319257874E-2</v>
      </c>
      <c r="V1264">
        <f>(E1264-F1264)/O1264</f>
        <v>2.1252667631401299E-2</v>
      </c>
      <c r="W1264">
        <f>H1264/K1264</f>
        <v>1.3697700700509385</v>
      </c>
      <c r="X1264">
        <f>(H1264-I1264)/K1264</f>
        <v>1.2839763671566631</v>
      </c>
      <c r="Y1264">
        <f>(H1264-K1264)/G1264</f>
        <v>2.8490162559463215E-2</v>
      </c>
      <c r="Z1264">
        <f>J1264/N1264</f>
        <v>0.49238205211382469</v>
      </c>
      <c r="AA1264">
        <f>J1264/G1264</f>
        <v>0.32993008470506885</v>
      </c>
      <c r="AB1264">
        <f>C1264/G1264</f>
        <v>0.23321168584215277</v>
      </c>
      <c r="AC1264">
        <f>C1264/(G1264-K1264)</f>
        <v>0.25268027656361319</v>
      </c>
      <c r="AD1264">
        <f>Q1264/E1264</f>
        <v>2.4710576598853544</v>
      </c>
      <c r="AE1264">
        <f>Q1264/J1264</f>
        <v>0.10665816700286912</v>
      </c>
      <c r="AF1264">
        <f>Q1264/G1264</f>
        <v>3.5189738073743988E-2</v>
      </c>
      <c r="AG1264">
        <f>Q1264/K1264</f>
        <v>0.45672297886838237</v>
      </c>
      <c r="AH1264">
        <f>Q1264/L1264</f>
        <v>0.18002017601608841</v>
      </c>
      <c r="AI1264" s="1">
        <f>R1264</f>
        <v>18.3</v>
      </c>
      <c r="AJ1264" s="1">
        <f>P1264</f>
        <v>1181964</v>
      </c>
    </row>
    <row r="1265" spans="1:36" x14ac:dyDescent="0.25">
      <c r="A1265" t="s">
        <v>80</v>
      </c>
      <c r="B1265">
        <v>2021</v>
      </c>
      <c r="C1265" s="1">
        <v>349729</v>
      </c>
      <c r="D1265" s="1">
        <v>-61895</v>
      </c>
      <c r="E1265" s="1">
        <v>-33225</v>
      </c>
      <c r="G1265" s="1">
        <v>3223072</v>
      </c>
      <c r="H1265" s="1">
        <v>335652</v>
      </c>
      <c r="I1265" s="1">
        <v>18638</v>
      </c>
      <c r="J1265" s="1">
        <f>869913+K1265</f>
        <v>1119120</v>
      </c>
      <c r="K1265" s="1">
        <v>249207</v>
      </c>
      <c r="L1265" s="1">
        <f>73334+M1265</f>
        <v>719422</v>
      </c>
      <c r="M1265" s="1">
        <v>646088</v>
      </c>
      <c r="N1265" s="1">
        <v>2103952</v>
      </c>
      <c r="O1265" s="1">
        <v>2103952</v>
      </c>
      <c r="P1265" s="1">
        <v>1152475</v>
      </c>
      <c r="Q1265" s="1">
        <v>108351</v>
      </c>
      <c r="R1265" s="1">
        <v>24.5</v>
      </c>
      <c r="T1265">
        <f>E1265/G1265</f>
        <v>-1.0308488299361603E-2</v>
      </c>
      <c r="U1265">
        <f>D1265/C1265</f>
        <v>-0.17697989014351112</v>
      </c>
      <c r="V1265">
        <f>(E1265-F1265)/O1265</f>
        <v>-1.5791710077035979E-2</v>
      </c>
      <c r="W1265">
        <f>H1265/K1265</f>
        <v>1.3468803043253199</v>
      </c>
      <c r="X1265">
        <f>(H1265-I1265)/K1265</f>
        <v>1.2720910728831856</v>
      </c>
      <c r="Y1265">
        <f>(H1265-K1265)/G1265</f>
        <v>2.6820685358564748E-2</v>
      </c>
      <c r="Z1265">
        <f>J1265/N1265</f>
        <v>0.53191327558803625</v>
      </c>
      <c r="AA1265">
        <f>J1265/G1265</f>
        <v>0.34722153274888057</v>
      </c>
      <c r="AB1265">
        <f>C1265/G1265</f>
        <v>0.10850797003604015</v>
      </c>
      <c r="AC1265">
        <f>C1265/(G1265-K1265)</f>
        <v>0.11760083258654982</v>
      </c>
      <c r="AD1265">
        <f>Q1265/E1265</f>
        <v>-3.2611286681715574</v>
      </c>
      <c r="AE1265">
        <f>Q1265/J1265</f>
        <v>9.6818035599399527E-2</v>
      </c>
      <c r="AF1265">
        <f>Q1265/G1265</f>
        <v>3.3617306718559191E-2</v>
      </c>
      <c r="AG1265">
        <f>Q1265/K1265</f>
        <v>0.43478313209500535</v>
      </c>
      <c r="AH1265">
        <f>Q1265/L1265</f>
        <v>0.15060840508074538</v>
      </c>
      <c r="AI1265" s="1">
        <f>R1265</f>
        <v>24.5</v>
      </c>
      <c r="AJ1265" s="1">
        <f>P1265</f>
        <v>1152475</v>
      </c>
    </row>
    <row r="1266" spans="1:36" x14ac:dyDescent="0.25">
      <c r="A1266" t="s">
        <v>80</v>
      </c>
      <c r="B1266">
        <v>2022</v>
      </c>
      <c r="C1266" s="1">
        <v>282960</v>
      </c>
      <c r="D1266" s="1">
        <v>-82419</v>
      </c>
      <c r="E1266" s="1">
        <v>-24846</v>
      </c>
      <c r="G1266" s="1">
        <v>4620167</v>
      </c>
      <c r="H1266" s="1">
        <v>1651700</v>
      </c>
      <c r="I1266" s="1">
        <v>14392</v>
      </c>
      <c r="J1266" s="1">
        <f>1247173+K1266</f>
        <v>1807103</v>
      </c>
      <c r="K1266" s="1">
        <v>559930</v>
      </c>
      <c r="L1266" s="1">
        <f>25000+M1266</f>
        <v>941183</v>
      </c>
      <c r="M1266" s="1">
        <v>916183</v>
      </c>
      <c r="N1266" s="1">
        <v>2813063</v>
      </c>
      <c r="O1266" s="1">
        <v>2813063</v>
      </c>
      <c r="P1266" s="1">
        <v>1128349</v>
      </c>
      <c r="Q1266" s="1">
        <v>159064</v>
      </c>
      <c r="R1266" s="1">
        <v>30.1</v>
      </c>
      <c r="T1266">
        <f>E1266/G1266</f>
        <v>-5.3777276881982836E-3</v>
      </c>
      <c r="U1266">
        <f>D1266/C1266</f>
        <v>-0.29127438507209502</v>
      </c>
      <c r="V1266">
        <f>(E1266-F1266)/O1266</f>
        <v>-8.832365290077044E-3</v>
      </c>
      <c r="W1266">
        <f>H1266/K1266</f>
        <v>2.9498330148411407</v>
      </c>
      <c r="X1266">
        <f>(H1266-I1266)/K1266</f>
        <v>2.9241298019395283</v>
      </c>
      <c r="Y1266">
        <f>(H1266-K1266)/G1266</f>
        <v>0.23630531104178701</v>
      </c>
      <c r="Z1266">
        <f>J1266/N1266</f>
        <v>0.64239691752370986</v>
      </c>
      <c r="AA1266">
        <f>J1266/G1266</f>
        <v>0.39113369711527746</v>
      </c>
      <c r="AB1266">
        <f>C1266/G1266</f>
        <v>6.1244539428986007E-2</v>
      </c>
      <c r="AC1266">
        <f>C1266/(G1266-K1266)</f>
        <v>6.969051313999651E-2</v>
      </c>
      <c r="AD1266">
        <f>Q1266/E1266</f>
        <v>-6.4019962971906947</v>
      </c>
      <c r="AE1266">
        <f>Q1266/J1266</f>
        <v>8.8021546087854424E-2</v>
      </c>
      <c r="AF1266">
        <f>Q1266/G1266</f>
        <v>3.4428192747145286E-2</v>
      </c>
      <c r="AG1266">
        <f>Q1266/K1266</f>
        <v>0.28407836693872446</v>
      </c>
      <c r="AH1266">
        <f>Q1266/L1266</f>
        <v>0.16900432753247774</v>
      </c>
      <c r="AI1266" s="1">
        <f>R1266</f>
        <v>30.1</v>
      </c>
      <c r="AJ1266" s="1">
        <f>P1266</f>
        <v>1128349</v>
      </c>
    </row>
    <row r="1267" spans="1:36" x14ac:dyDescent="0.25">
      <c r="A1267" t="s">
        <v>80</v>
      </c>
      <c r="B1267">
        <v>2023</v>
      </c>
      <c r="C1267" s="1">
        <v>575897</v>
      </c>
      <c r="D1267" s="1">
        <v>-116856</v>
      </c>
      <c r="E1267" s="1">
        <v>-103009</v>
      </c>
      <c r="G1267" s="1">
        <v>5223399</v>
      </c>
      <c r="H1267" s="1">
        <v>2313980</v>
      </c>
      <c r="I1267" s="1">
        <v>31555</v>
      </c>
      <c r="J1267" s="1">
        <f>1466072+K1267</f>
        <v>2134482</v>
      </c>
      <c r="K1267" s="1">
        <v>668410</v>
      </c>
      <c r="L1267" s="1">
        <f>164085+M1267</f>
        <v>926028</v>
      </c>
      <c r="M1267" s="1">
        <v>761943</v>
      </c>
      <c r="N1267" s="1">
        <v>3088916</v>
      </c>
      <c r="O1267" s="1">
        <v>3088916</v>
      </c>
      <c r="P1267" s="1">
        <v>1026649</v>
      </c>
      <c r="Q1267" s="1">
        <v>-176495</v>
      </c>
      <c r="R1267" s="1">
        <v>32</v>
      </c>
      <c r="T1267">
        <f>E1267/G1267</f>
        <v>-1.9720683792296932E-2</v>
      </c>
      <c r="U1267">
        <f>D1267/C1267</f>
        <v>-0.20291128448316278</v>
      </c>
      <c r="V1267">
        <f>(E1267-F1267)/O1267</f>
        <v>-3.3347944715880908E-2</v>
      </c>
      <c r="W1267">
        <f>H1267/K1267</f>
        <v>3.4619170868179712</v>
      </c>
      <c r="X1267">
        <f>(H1267-I1267)/K1267</f>
        <v>3.4147080384793767</v>
      </c>
      <c r="Y1267">
        <f>(H1267-K1267)/G1267</f>
        <v>0.31503815810356439</v>
      </c>
      <c r="Z1267">
        <f>J1267/N1267</f>
        <v>0.69101328750927515</v>
      </c>
      <c r="AA1267">
        <f>J1267/G1267</f>
        <v>0.40863851296827985</v>
      </c>
      <c r="AB1267">
        <f>C1267/G1267</f>
        <v>0.11025330440963825</v>
      </c>
      <c r="AC1267">
        <f>C1267/(G1267-K1267)</f>
        <v>0.12643213847497767</v>
      </c>
      <c r="AD1267">
        <f>Q1267/E1267</f>
        <v>1.7133939752837131</v>
      </c>
      <c r="AE1267">
        <f>Q1267/J1267</f>
        <v>-8.2687509194268205E-2</v>
      </c>
      <c r="AF1267">
        <f>Q1267/G1267</f>
        <v>-3.3789300798196732E-2</v>
      </c>
      <c r="AG1267">
        <f>Q1267/K1267</f>
        <v>-0.26405200400951512</v>
      </c>
      <c r="AH1267">
        <f>Q1267/L1267</f>
        <v>-0.19059358896275275</v>
      </c>
      <c r="AI1267" s="1">
        <f>R1267</f>
        <v>32</v>
      </c>
      <c r="AJ1267" s="1">
        <f>P1267</f>
        <v>1026649</v>
      </c>
    </row>
    <row r="1268" spans="1:36" x14ac:dyDescent="0.25">
      <c r="A1268" t="s">
        <v>80</v>
      </c>
      <c r="B1268">
        <v>2024</v>
      </c>
      <c r="C1268" s="1">
        <v>1311439</v>
      </c>
      <c r="D1268" s="1">
        <v>217148</v>
      </c>
      <c r="E1268" s="1">
        <v>320017</v>
      </c>
      <c r="G1268" s="1">
        <v>5350348</v>
      </c>
      <c r="H1268" s="1">
        <v>2479470</v>
      </c>
      <c r="I1268" s="1">
        <v>37780</v>
      </c>
      <c r="J1268" s="1">
        <f>1123090+K1268</f>
        <v>1946072</v>
      </c>
      <c r="K1268" s="1">
        <v>822982</v>
      </c>
      <c r="L1268" s="1">
        <f>180900+M1268</f>
        <v>590491</v>
      </c>
      <c r="M1268" s="1">
        <v>409591</v>
      </c>
      <c r="N1268" s="1">
        <v>3404275</v>
      </c>
      <c r="O1268" s="1">
        <v>3404275</v>
      </c>
      <c r="P1268" s="1">
        <v>1341282</v>
      </c>
      <c r="Q1268" s="1">
        <v>-201426</v>
      </c>
      <c r="R1268" s="1">
        <v>35.1</v>
      </c>
      <c r="T1268">
        <f>E1268/G1268</f>
        <v>5.9812371083151974E-2</v>
      </c>
      <c r="U1268">
        <f>D1268/C1268</f>
        <v>0.16557994691327618</v>
      </c>
      <c r="V1268">
        <f>(E1268-F1268)/O1268</f>
        <v>9.4004450286771776E-2</v>
      </c>
      <c r="W1268">
        <f>H1268/K1268</f>
        <v>3.0127876429861162</v>
      </c>
      <c r="X1268">
        <f>(H1268-I1268)/K1268</f>
        <v>2.9668814141743076</v>
      </c>
      <c r="Y1268">
        <f>(H1268-K1268)/G1268</f>
        <v>0.30960378652005438</v>
      </c>
      <c r="Z1268">
        <f>J1268/N1268</f>
        <v>0.57165534511753602</v>
      </c>
      <c r="AA1268">
        <f>J1268/G1268</f>
        <v>0.36372811637672914</v>
      </c>
      <c r="AB1268">
        <f>C1268/G1268</f>
        <v>0.24511284125817612</v>
      </c>
      <c r="AC1268">
        <f>C1268/(G1268-K1268)</f>
        <v>0.28966931323864692</v>
      </c>
      <c r="AD1268">
        <f>Q1268/E1268</f>
        <v>-0.62942281191311711</v>
      </c>
      <c r="AE1268">
        <f>Q1268/J1268</f>
        <v>-0.1035038785820874</v>
      </c>
      <c r="AF1268">
        <f>Q1268/G1268</f>
        <v>-3.7647270794348334E-2</v>
      </c>
      <c r="AG1268">
        <f>Q1268/K1268</f>
        <v>-0.24475140404042858</v>
      </c>
      <c r="AH1268">
        <f>Q1268/L1268</f>
        <v>-0.34111612200693997</v>
      </c>
      <c r="AI1268" s="1">
        <f>R1268</f>
        <v>35.1</v>
      </c>
      <c r="AJ1268" s="1">
        <f>P1268</f>
        <v>1341282</v>
      </c>
    </row>
    <row r="1269" spans="1:36" x14ac:dyDescent="0.25">
      <c r="A1269" t="s">
        <v>192</v>
      </c>
      <c r="B1269">
        <v>2018</v>
      </c>
      <c r="C1269" s="1">
        <v>21235736</v>
      </c>
      <c r="D1269" s="1">
        <v>2580028</v>
      </c>
      <c r="E1269" s="1">
        <v>1804523</v>
      </c>
      <c r="G1269" s="1">
        <v>20294253</v>
      </c>
      <c r="H1269" s="1">
        <v>8705910</v>
      </c>
      <c r="I1269" s="1">
        <v>3970538</v>
      </c>
      <c r="J1269" s="1">
        <v>10492130</v>
      </c>
      <c r="K1269" s="1">
        <v>5029412</v>
      </c>
      <c r="L1269" s="1">
        <v>4380976</v>
      </c>
      <c r="M1269" s="1">
        <v>3572013</v>
      </c>
      <c r="N1269" s="1">
        <v>9802123</v>
      </c>
      <c r="O1269" s="1">
        <v>9802123</v>
      </c>
      <c r="P1269" s="1">
        <v>5185526</v>
      </c>
      <c r="Q1269" s="1">
        <v>1706712</v>
      </c>
      <c r="R1269" s="1">
        <v>56.1</v>
      </c>
      <c r="T1269">
        <f>E1269/G1269</f>
        <v>8.8917931593737398E-2</v>
      </c>
      <c r="U1269">
        <f>D1269/C1269</f>
        <v>0.12149463526952868</v>
      </c>
      <c r="V1269">
        <f>(E1269-F1269)/O1269</f>
        <v>0.18409511898595846</v>
      </c>
      <c r="W1269">
        <f>H1269/K1269</f>
        <v>1.7309995681403711</v>
      </c>
      <c r="X1269">
        <f>(H1269-I1269)/K1269</f>
        <v>0.94153590916791063</v>
      </c>
      <c r="Y1269">
        <f>(H1269-K1269)/G1269</f>
        <v>0.18115956275897419</v>
      </c>
      <c r="Z1269">
        <f>J1269/N1269</f>
        <v>1.0703936279926298</v>
      </c>
      <c r="AA1269">
        <f>J1269/G1269</f>
        <v>0.51700005908076541</v>
      </c>
      <c r="AB1269">
        <f>C1269/G1269</f>
        <v>1.0463916065301837</v>
      </c>
      <c r="AC1269">
        <f>C1269/(G1269-K1269)</f>
        <v>1.3911534355320176</v>
      </c>
      <c r="AD1269">
        <f>Q1269/E1269</f>
        <v>0.94579675626190407</v>
      </c>
      <c r="AE1269">
        <f>Q1269/J1269</f>
        <v>0.1626659219815233</v>
      </c>
      <c r="AF1269">
        <f>Q1269/G1269</f>
        <v>8.4098291274874712E-2</v>
      </c>
      <c r="AG1269">
        <f>Q1269/K1269</f>
        <v>0.33934622973818807</v>
      </c>
      <c r="AH1269">
        <f>Q1269/L1269</f>
        <v>0.38957346490827616</v>
      </c>
      <c r="AI1269" s="1">
        <f>R1269</f>
        <v>56.1</v>
      </c>
      <c r="AJ1269" s="1">
        <f>P1269</f>
        <v>5185526</v>
      </c>
    </row>
    <row r="1270" spans="1:36" x14ac:dyDescent="0.25">
      <c r="A1270" t="s">
        <v>192</v>
      </c>
      <c r="B1270">
        <v>2019</v>
      </c>
      <c r="C1270" s="1">
        <v>22641988</v>
      </c>
      <c r="D1270" s="1">
        <v>2213170</v>
      </c>
      <c r="E1270" s="1">
        <v>1145634</v>
      </c>
      <c r="G1270" s="1">
        <v>22060381</v>
      </c>
      <c r="H1270" s="1">
        <v>9825883</v>
      </c>
      <c r="I1270" s="1">
        <v>3906410</v>
      </c>
      <c r="J1270" s="1">
        <v>11067547</v>
      </c>
      <c r="K1270" s="1">
        <v>5435280</v>
      </c>
      <c r="L1270" s="1">
        <v>4412961</v>
      </c>
      <c r="M1270" s="1">
        <v>3299921</v>
      </c>
      <c r="N1270" s="1">
        <v>10992834</v>
      </c>
      <c r="O1270" s="1">
        <v>10992834</v>
      </c>
      <c r="P1270" s="1">
        <v>5488287</v>
      </c>
      <c r="Q1270" s="1">
        <v>1700901</v>
      </c>
      <c r="R1270" s="1">
        <v>47</v>
      </c>
      <c r="T1270">
        <f>E1270/G1270</f>
        <v>5.1931741342091962E-2</v>
      </c>
      <c r="U1270">
        <f>D1270/C1270</f>
        <v>9.7746275636220639E-2</v>
      </c>
      <c r="V1270">
        <f>(E1270-F1270)/O1270</f>
        <v>0.10421643772661354</v>
      </c>
      <c r="W1270">
        <f>H1270/K1270</f>
        <v>1.8077970224165085</v>
      </c>
      <c r="X1270">
        <f>(H1270-I1270)/K1270</f>
        <v>1.0890833590909761</v>
      </c>
      <c r="Y1270">
        <f>(H1270-K1270)/G1270</f>
        <v>0.19902661699269836</v>
      </c>
      <c r="Z1270">
        <f>J1270/N1270</f>
        <v>1.0067965185319818</v>
      </c>
      <c r="AA1270">
        <f>J1270/G1270</f>
        <v>0.50169337510535295</v>
      </c>
      <c r="AB1270">
        <f>C1270/G1270</f>
        <v>1.0263643225382191</v>
      </c>
      <c r="AC1270">
        <f>C1270/(G1270-K1270)</f>
        <v>1.3619158163309806</v>
      </c>
      <c r="AD1270">
        <f>Q1270/E1270</f>
        <v>1.4846809714097173</v>
      </c>
      <c r="AE1270">
        <f>Q1270/J1270</f>
        <v>0.15368364823750014</v>
      </c>
      <c r="AF1270">
        <f>Q1270/G1270</f>
        <v>7.7102068182775263E-2</v>
      </c>
      <c r="AG1270">
        <f>Q1270/K1270</f>
        <v>0.31293714399258182</v>
      </c>
      <c r="AH1270">
        <f>Q1270/L1270</f>
        <v>0.38543304597525335</v>
      </c>
      <c r="AI1270" s="1">
        <f>R1270</f>
        <v>47</v>
      </c>
      <c r="AJ1270" s="1">
        <f>P1270</f>
        <v>5488287</v>
      </c>
    </row>
    <row r="1271" spans="1:36" x14ac:dyDescent="0.25">
      <c r="A1271" t="s">
        <v>192</v>
      </c>
      <c r="B1271">
        <v>2020</v>
      </c>
      <c r="C1271" s="1">
        <v>20874637</v>
      </c>
      <c r="D1271" s="1">
        <v>2909048</v>
      </c>
      <c r="E1271" s="1">
        <v>1832638</v>
      </c>
      <c r="G1271" s="1">
        <v>22834463</v>
      </c>
      <c r="H1271" s="1">
        <v>12410202</v>
      </c>
      <c r="I1271" s="1">
        <v>3177211</v>
      </c>
      <c r="J1271" s="1">
        <v>10384757</v>
      </c>
      <c r="K1271" s="1">
        <v>6836994</v>
      </c>
      <c r="L1271" s="1">
        <v>5283745</v>
      </c>
      <c r="M1271" s="1">
        <v>2311846</v>
      </c>
      <c r="N1271" s="1">
        <v>12449706</v>
      </c>
      <c r="O1271" s="1">
        <v>12449706</v>
      </c>
      <c r="P1271" s="1">
        <v>6414107</v>
      </c>
      <c r="Q1271" s="1">
        <v>1157138</v>
      </c>
      <c r="R1271" s="1">
        <v>37.9</v>
      </c>
      <c r="T1271">
        <f>E1271/G1271</f>
        <v>8.0257547549946767E-2</v>
      </c>
      <c r="U1271">
        <f>D1271/C1271</f>
        <v>0.13935801614178966</v>
      </c>
      <c r="V1271">
        <f>(E1271-F1271)/O1271</f>
        <v>0.14720331548391585</v>
      </c>
      <c r="W1271">
        <f>H1271/K1271</f>
        <v>1.8151547302805882</v>
      </c>
      <c r="X1271">
        <f>(H1271-I1271)/K1271</f>
        <v>1.350445970846252</v>
      </c>
      <c r="Y1271">
        <f>(H1271-K1271)/G1271</f>
        <v>0.24407002695881222</v>
      </c>
      <c r="Z1271">
        <f>J1271/N1271</f>
        <v>0.83413672579898679</v>
      </c>
      <c r="AA1271">
        <f>J1271/G1271</f>
        <v>0.45478437570439034</v>
      </c>
      <c r="AB1271">
        <f>C1271/G1271</f>
        <v>0.91417245065058017</v>
      </c>
      <c r="AC1271">
        <f>C1271/(G1271-K1271)</f>
        <v>1.3048712268171923</v>
      </c>
      <c r="AD1271">
        <f>Q1271/E1271</f>
        <v>0.63140565676363802</v>
      </c>
      <c r="AE1271">
        <f>Q1271/J1271</f>
        <v>0.11142658417524839</v>
      </c>
      <c r="AF1271">
        <f>Q1271/G1271</f>
        <v>5.0675069521013041E-2</v>
      </c>
      <c r="AG1271">
        <f>Q1271/K1271</f>
        <v>0.16924660164978936</v>
      </c>
      <c r="AH1271">
        <f>Q1271/L1271</f>
        <v>0.21899959214534387</v>
      </c>
      <c r="AI1271" s="1">
        <f>R1271</f>
        <v>37.9</v>
      </c>
      <c r="AJ1271" s="1">
        <f>P1271</f>
        <v>6414107</v>
      </c>
    </row>
    <row r="1272" spans="1:36" x14ac:dyDescent="0.25">
      <c r="A1272" t="s">
        <v>192</v>
      </c>
      <c r="B1272">
        <v>2021</v>
      </c>
      <c r="C1272" s="1">
        <v>24339446</v>
      </c>
      <c r="D1272" s="1">
        <v>3525378</v>
      </c>
      <c r="E1272" s="1">
        <v>2537528</v>
      </c>
      <c r="G1272" s="1">
        <v>26883005</v>
      </c>
      <c r="H1272" s="1">
        <v>14714409</v>
      </c>
      <c r="I1272" s="1">
        <v>5145162</v>
      </c>
      <c r="J1272" s="1">
        <v>11541186</v>
      </c>
      <c r="K1272" s="1">
        <v>8056277</v>
      </c>
      <c r="L1272" s="1">
        <v>4153528</v>
      </c>
      <c r="M1272" s="1">
        <v>1968834</v>
      </c>
      <c r="N1272" s="1">
        <v>15341819</v>
      </c>
      <c r="O1272" s="1">
        <v>15341819</v>
      </c>
      <c r="P1272" s="1">
        <v>8551562</v>
      </c>
      <c r="Q1272" s="1">
        <v>3531844</v>
      </c>
      <c r="R1272" s="1">
        <v>26.5</v>
      </c>
      <c r="T1272">
        <f>E1272/G1272</f>
        <v>9.4391531006299337E-2</v>
      </c>
      <c r="U1272">
        <f>D1272/C1272</f>
        <v>0.14484216280025436</v>
      </c>
      <c r="V1272">
        <f>(E1272-F1272)/O1272</f>
        <v>0.16539942232404123</v>
      </c>
      <c r="W1272">
        <f>H1272/K1272</f>
        <v>1.826452715069256</v>
      </c>
      <c r="X1272">
        <f>(H1272-I1272)/K1272</f>
        <v>1.1878001463951648</v>
      </c>
      <c r="Y1272">
        <f>(H1272-K1272)/G1272</f>
        <v>0.24767067520911445</v>
      </c>
      <c r="Z1272">
        <f>J1272/N1272</f>
        <v>0.75226972759879385</v>
      </c>
      <c r="AA1272">
        <f>J1272/G1272</f>
        <v>0.42931160411568575</v>
      </c>
      <c r="AB1272">
        <f>C1272/G1272</f>
        <v>0.90538412651413036</v>
      </c>
      <c r="AC1272">
        <f>C1272/(G1272-K1272)</f>
        <v>1.2928133874351402</v>
      </c>
      <c r="AD1272">
        <f>Q1272/E1272</f>
        <v>1.3918443461510572</v>
      </c>
      <c r="AE1272">
        <f>Q1272/J1272</f>
        <v>0.30602088901435259</v>
      </c>
      <c r="AF1272">
        <f>Q1272/G1272</f>
        <v>0.13137831875565995</v>
      </c>
      <c r="AG1272">
        <f>Q1272/K1272</f>
        <v>0.4383965447066927</v>
      </c>
      <c r="AH1272">
        <f>Q1272/L1272</f>
        <v>0.85032386925043002</v>
      </c>
      <c r="AI1272" s="1">
        <f>R1272</f>
        <v>26.5</v>
      </c>
      <c r="AJ1272" s="1">
        <f>P1272</f>
        <v>8551562</v>
      </c>
    </row>
    <row r="1273" spans="1:36" x14ac:dyDescent="0.25">
      <c r="A1273" t="s">
        <v>192</v>
      </c>
      <c r="B1273">
        <v>2022</v>
      </c>
      <c r="C1273" s="1">
        <v>32166209</v>
      </c>
      <c r="D1273" s="1">
        <v>5632248</v>
      </c>
      <c r="E1273" s="1">
        <v>4996672</v>
      </c>
      <c r="G1273" s="1">
        <v>29153523</v>
      </c>
      <c r="H1273" s="1">
        <v>16710797</v>
      </c>
      <c r="I1273" s="1">
        <v>6483619</v>
      </c>
      <c r="J1273" s="1">
        <v>10725592</v>
      </c>
      <c r="K1273" s="1">
        <v>7899275</v>
      </c>
      <c r="L1273" s="1">
        <v>2658176</v>
      </c>
      <c r="M1273" s="1">
        <v>1663343</v>
      </c>
      <c r="N1273" s="1">
        <v>18427931</v>
      </c>
      <c r="O1273" s="1">
        <v>18427931</v>
      </c>
      <c r="P1273" s="1">
        <v>11061418</v>
      </c>
      <c r="Q1273" s="1">
        <v>4543513</v>
      </c>
      <c r="R1273" s="1">
        <v>36.6</v>
      </c>
      <c r="T1273">
        <f>E1273/G1273</f>
        <v>0.17139170452915758</v>
      </c>
      <c r="U1273">
        <f>D1273/C1273</f>
        <v>0.17509828404087036</v>
      </c>
      <c r="V1273">
        <f>(E1273-F1273)/O1273</f>
        <v>0.27114666318210112</v>
      </c>
      <c r="W1273">
        <f>H1273/K1273</f>
        <v>2.1154849020954454</v>
      </c>
      <c r="X1273">
        <f>(H1273-I1273)/K1273</f>
        <v>1.2946983109209389</v>
      </c>
      <c r="Y1273">
        <f>(H1273-K1273)/G1273</f>
        <v>0.30224552963976259</v>
      </c>
      <c r="Z1273">
        <f>J1273/N1273</f>
        <v>0.58202909485606391</v>
      </c>
      <c r="AA1273">
        <f>J1273/G1273</f>
        <v>0.36790037348144855</v>
      </c>
      <c r="AB1273">
        <f>C1273/G1273</f>
        <v>1.1033386599622967</v>
      </c>
      <c r="AC1273">
        <f>C1273/(G1273-K1273)</f>
        <v>1.5134014150959376</v>
      </c>
      <c r="AD1273">
        <f>Q1273/E1273</f>
        <v>0.90930783529517245</v>
      </c>
      <c r="AE1273">
        <f>Q1273/J1273</f>
        <v>0.42361419304407627</v>
      </c>
      <c r="AF1273">
        <f>Q1273/G1273</f>
        <v>0.15584781983295809</v>
      </c>
      <c r="AG1273">
        <f>Q1273/K1273</f>
        <v>0.57518101344743666</v>
      </c>
      <c r="AH1273">
        <f>Q1273/L1273</f>
        <v>1.7092596577502768</v>
      </c>
      <c r="AI1273" s="1">
        <f>R1273</f>
        <v>36.6</v>
      </c>
      <c r="AJ1273" s="1">
        <f>P1273</f>
        <v>11061418</v>
      </c>
    </row>
    <row r="1274" spans="1:36" x14ac:dyDescent="0.25">
      <c r="A1274" t="s">
        <v>192</v>
      </c>
      <c r="B1274">
        <v>2023</v>
      </c>
      <c r="C1274" s="1">
        <v>51886754</v>
      </c>
      <c r="D1274" s="1">
        <v>7000928</v>
      </c>
      <c r="E1274" s="1">
        <v>3616851</v>
      </c>
      <c r="G1274" s="1">
        <v>36008081</v>
      </c>
      <c r="H1274" s="1">
        <v>22322177</v>
      </c>
      <c r="I1274" s="1">
        <v>9861121</v>
      </c>
      <c r="J1274" s="1">
        <v>16770971</v>
      </c>
      <c r="K1274" s="1">
        <v>12530545</v>
      </c>
      <c r="L1274" s="1">
        <v>5298977</v>
      </c>
      <c r="M1274" s="1">
        <v>1911006</v>
      </c>
      <c r="N1274" s="1">
        <v>19237110</v>
      </c>
      <c r="O1274" s="1">
        <v>19237110</v>
      </c>
      <c r="P1274" s="1">
        <v>11348321</v>
      </c>
      <c r="Q1274" s="1">
        <v>2006359</v>
      </c>
      <c r="R1274" s="1">
        <v>45</v>
      </c>
      <c r="T1274">
        <f>E1274/G1274</f>
        <v>0.10044553610063252</v>
      </c>
      <c r="U1274">
        <f>D1274/C1274</f>
        <v>0.1349270759932294</v>
      </c>
      <c r="V1274">
        <f>(E1274-F1274)/O1274</f>
        <v>0.18801425993821316</v>
      </c>
      <c r="W1274">
        <f>H1274/K1274</f>
        <v>1.7814210794502554</v>
      </c>
      <c r="X1274">
        <f>(H1274-I1274)/K1274</f>
        <v>0.99445443115203691</v>
      </c>
      <c r="Y1274">
        <f>(H1274-K1274)/G1274</f>
        <v>0.27192873732982326</v>
      </c>
      <c r="Z1274">
        <f>J1274/N1274</f>
        <v>0.87180304110128803</v>
      </c>
      <c r="AA1274">
        <f>J1274/G1274</f>
        <v>0.46575575632592031</v>
      </c>
      <c r="AB1274">
        <f>C1274/G1274</f>
        <v>1.4409752633027013</v>
      </c>
      <c r="AC1274">
        <f>C1274/(G1274-K1274)</f>
        <v>2.2100596076181076</v>
      </c>
      <c r="AD1274">
        <f>Q1274/E1274</f>
        <v>0.554725367453622</v>
      </c>
      <c r="AE1274">
        <f>Q1274/J1274</f>
        <v>0.11963284654180131</v>
      </c>
      <c r="AF1274">
        <f>Q1274/G1274</f>
        <v>5.5719686922499422E-2</v>
      </c>
      <c r="AG1274">
        <f>Q1274/K1274</f>
        <v>0.16011745698211849</v>
      </c>
      <c r="AH1274">
        <f>Q1274/L1274</f>
        <v>0.37863138488806425</v>
      </c>
      <c r="AI1274" s="1">
        <f>R1274</f>
        <v>45</v>
      </c>
      <c r="AJ1274" s="1">
        <f>P1274</f>
        <v>11348321</v>
      </c>
    </row>
    <row r="1275" spans="1:36" x14ac:dyDescent="0.25">
      <c r="A1275" t="s">
        <v>192</v>
      </c>
      <c r="B1275">
        <v>2024</v>
      </c>
      <c r="C1275" s="1">
        <v>55533886</v>
      </c>
      <c r="D1275" s="1">
        <v>8662392</v>
      </c>
      <c r="E1275" s="1">
        <v>6019248</v>
      </c>
      <c r="G1275" s="1">
        <v>43471979</v>
      </c>
      <c r="H1275" s="1">
        <v>29261603</v>
      </c>
      <c r="I1275" s="1">
        <v>12063288</v>
      </c>
      <c r="J1275" s="1">
        <v>20799286</v>
      </c>
      <c r="K1275" s="1">
        <v>16390430</v>
      </c>
      <c r="L1275" s="1">
        <v>6988009</v>
      </c>
      <c r="M1275" s="1">
        <v>1676016</v>
      </c>
      <c r="N1275" s="1">
        <v>22672693</v>
      </c>
      <c r="O1275" s="1">
        <v>22672693</v>
      </c>
      <c r="P1275" s="1">
        <v>14233958</v>
      </c>
      <c r="Q1275" s="1">
        <v>4083694</v>
      </c>
      <c r="R1275" s="1">
        <v>60</v>
      </c>
      <c r="T1275">
        <f>E1275/G1275</f>
        <v>0.13846270950765779</v>
      </c>
      <c r="U1275">
        <f>D1275/C1275</f>
        <v>0.15598389783131691</v>
      </c>
      <c r="V1275">
        <f>(E1275-F1275)/O1275</f>
        <v>0.26548447509080636</v>
      </c>
      <c r="W1275">
        <f>H1275/K1275</f>
        <v>1.785285864983408</v>
      </c>
      <c r="X1275">
        <f>(H1275-I1275)/K1275</f>
        <v>1.0492900430312078</v>
      </c>
      <c r="Y1275">
        <f>(H1275-K1275)/G1275</f>
        <v>0.29607975749160165</v>
      </c>
      <c r="Z1275">
        <f>J1275/N1275</f>
        <v>0.91737165937897192</v>
      </c>
      <c r="AA1275">
        <f>J1275/G1275</f>
        <v>0.47845270628236181</v>
      </c>
      <c r="AB1275">
        <f>C1275/G1275</f>
        <v>1.2774639498238625</v>
      </c>
      <c r="AC1275">
        <f>C1275/(G1275-K1275)</f>
        <v>2.050617045575938</v>
      </c>
      <c r="AD1275">
        <f>Q1275/E1275</f>
        <v>0.67843923360526104</v>
      </c>
      <c r="AE1275">
        <f>Q1275/J1275</f>
        <v>0.19633818199336267</v>
      </c>
      <c r="AF1275">
        <f>Q1275/G1275</f>
        <v>9.3938534521283243E-2</v>
      </c>
      <c r="AG1275">
        <f>Q1275/K1275</f>
        <v>0.24915112050141455</v>
      </c>
      <c r="AH1275">
        <f>Q1275/L1275</f>
        <v>0.58438591020704178</v>
      </c>
      <c r="AI1275" s="1">
        <f>R1275</f>
        <v>60</v>
      </c>
      <c r="AJ1275" s="1">
        <f>P1275</f>
        <v>14233958</v>
      </c>
    </row>
    <row r="1276" spans="1:36" x14ac:dyDescent="0.25">
      <c r="A1276" t="s">
        <v>193</v>
      </c>
      <c r="B1276">
        <v>2018</v>
      </c>
      <c r="C1276" s="1">
        <v>1987788</v>
      </c>
      <c r="D1276" s="1">
        <v>-2027</v>
      </c>
      <c r="E1276" s="1">
        <v>10294</v>
      </c>
      <c r="G1276" s="1">
        <v>1599962</v>
      </c>
      <c r="H1276" s="1">
        <v>728840</v>
      </c>
      <c r="I1276" s="1">
        <v>267426</v>
      </c>
      <c r="J1276" s="1">
        <v>857190</v>
      </c>
      <c r="K1276" s="1">
        <v>633316</v>
      </c>
      <c r="L1276" s="1">
        <v>534063</v>
      </c>
      <c r="M1276" s="1">
        <v>2502</v>
      </c>
      <c r="N1276" s="1">
        <v>742772</v>
      </c>
      <c r="O1276" s="1">
        <v>742772</v>
      </c>
      <c r="P1276" s="1">
        <v>55101</v>
      </c>
      <c r="Q1276" s="1">
        <v>-54410</v>
      </c>
      <c r="R1276" s="1">
        <v>12812.5</v>
      </c>
      <c r="T1276">
        <f>E1276/G1276</f>
        <v>6.4339028051916235E-3</v>
      </c>
      <c r="U1276">
        <f>D1276/C1276</f>
        <v>-1.0197264497018798E-3</v>
      </c>
      <c r="V1276">
        <f>(E1276-F1276)/O1276</f>
        <v>1.3858896135018553E-2</v>
      </c>
      <c r="W1276">
        <f>H1276/K1276</f>
        <v>1.1508314964409552</v>
      </c>
      <c r="X1276">
        <f>(H1276-I1276)/K1276</f>
        <v>0.72856836081829612</v>
      </c>
      <c r="Y1276">
        <f>(H1276-K1276)/G1276</f>
        <v>5.9703917968051738E-2</v>
      </c>
      <c r="Z1276">
        <f>J1276/N1276</f>
        <v>1.1540418863392805</v>
      </c>
      <c r="AA1276">
        <f>J1276/G1276</f>
        <v>0.5357564742162626</v>
      </c>
      <c r="AB1276">
        <f>C1276/G1276</f>
        <v>1.2423970069289145</v>
      </c>
      <c r="AC1276">
        <f>C1276/(G1276-K1276)</f>
        <v>2.0563763777018682</v>
      </c>
      <c r="AD1276">
        <f>Q1276/E1276</f>
        <v>-5.2856032640373032</v>
      </c>
      <c r="AE1276">
        <f>Q1276/J1276</f>
        <v>-6.3474842217011399E-2</v>
      </c>
      <c r="AF1276">
        <f>Q1276/G1276</f>
        <v>-3.4007057667619606E-2</v>
      </c>
      <c r="AG1276">
        <f>Q1276/K1276</f>
        <v>-8.5912877615597905E-2</v>
      </c>
      <c r="AH1276">
        <f>Q1276/L1276</f>
        <v>-0.10187936629199176</v>
      </c>
      <c r="AI1276" s="1">
        <f>R1276</f>
        <v>12812.5</v>
      </c>
      <c r="AJ1276" s="1">
        <f>P1276</f>
        <v>55101</v>
      </c>
    </row>
    <row r="1277" spans="1:36" x14ac:dyDescent="0.25">
      <c r="A1277" t="s">
        <v>193</v>
      </c>
      <c r="B1277">
        <v>2019</v>
      </c>
      <c r="C1277" s="1">
        <v>2154786</v>
      </c>
      <c r="D1277" s="1">
        <v>34813</v>
      </c>
      <c r="E1277" s="1">
        <v>14260</v>
      </c>
      <c r="G1277" s="1">
        <v>1611927</v>
      </c>
      <c r="H1277" s="1">
        <v>756512</v>
      </c>
      <c r="I1277" s="1">
        <v>350134</v>
      </c>
      <c r="J1277" s="1">
        <v>846738</v>
      </c>
      <c r="K1277" s="1">
        <v>606114</v>
      </c>
      <c r="L1277" s="1">
        <v>483923</v>
      </c>
      <c r="M1277" s="1">
        <v>1239</v>
      </c>
      <c r="N1277" s="1">
        <v>765189</v>
      </c>
      <c r="O1277" s="1">
        <v>765189</v>
      </c>
      <c r="P1277" s="1">
        <v>76005</v>
      </c>
      <c r="Q1277" s="1">
        <v>39841</v>
      </c>
      <c r="R1277" s="1">
        <v>14900</v>
      </c>
      <c r="T1277">
        <f>E1277/G1277</f>
        <v>8.8465544655558226E-3</v>
      </c>
      <c r="U1277">
        <f>D1277/C1277</f>
        <v>1.615612872925664E-2</v>
      </c>
      <c r="V1277">
        <f>(E1277-F1277)/O1277</f>
        <v>1.8635918707665688E-2</v>
      </c>
      <c r="W1277">
        <f>H1277/K1277</f>
        <v>1.2481348393206559</v>
      </c>
      <c r="X1277">
        <f>(H1277-I1277)/K1277</f>
        <v>0.670464632065915</v>
      </c>
      <c r="Y1277">
        <f>(H1277-K1277)/G1277</f>
        <v>9.3303232714632853E-2</v>
      </c>
      <c r="Z1277">
        <f>J1277/N1277</f>
        <v>1.1065736700344622</v>
      </c>
      <c r="AA1277">
        <f>J1277/G1277</f>
        <v>0.52529550035454464</v>
      </c>
      <c r="AB1277">
        <f>C1277/G1277</f>
        <v>1.3367764172943315</v>
      </c>
      <c r="AC1277">
        <f>C1277/(G1277-K1277)</f>
        <v>2.1423326204771662</v>
      </c>
      <c r="AD1277">
        <f>Q1277/E1277</f>
        <v>2.7938990182328189</v>
      </c>
      <c r="AE1277">
        <f>Q1277/J1277</f>
        <v>4.7052334960755275E-2</v>
      </c>
      <c r="AF1277">
        <f>Q1277/G1277</f>
        <v>2.4716379836059572E-2</v>
      </c>
      <c r="AG1277">
        <f>Q1277/K1277</f>
        <v>6.5731859023220054E-2</v>
      </c>
      <c r="AH1277">
        <f>Q1277/L1277</f>
        <v>8.2329213531904866E-2</v>
      </c>
      <c r="AI1277" s="1">
        <f>R1277</f>
        <v>14900</v>
      </c>
      <c r="AJ1277" s="1">
        <f>P1277</f>
        <v>76005</v>
      </c>
    </row>
    <row r="1278" spans="1:36" x14ac:dyDescent="0.25">
      <c r="A1278" t="s">
        <v>193</v>
      </c>
      <c r="B1278">
        <v>2020</v>
      </c>
      <c r="C1278" s="1">
        <v>2352552</v>
      </c>
      <c r="D1278" s="1">
        <v>25097</v>
      </c>
      <c r="E1278" s="1">
        <v>12072</v>
      </c>
      <c r="G1278" s="1">
        <v>1669672</v>
      </c>
      <c r="H1278" s="1">
        <v>831418</v>
      </c>
      <c r="I1278" s="1">
        <v>348391</v>
      </c>
      <c r="J1278" s="1">
        <v>892841</v>
      </c>
      <c r="K1278" s="1">
        <v>648635</v>
      </c>
      <c r="L1278" s="1">
        <v>473933</v>
      </c>
      <c r="M1278" s="1">
        <v>0</v>
      </c>
      <c r="N1278" s="1">
        <v>776831</v>
      </c>
      <c r="O1278" s="1">
        <v>776831</v>
      </c>
      <c r="P1278" s="1">
        <v>87674</v>
      </c>
      <c r="Q1278" s="1">
        <v>27438</v>
      </c>
      <c r="R1278" s="1">
        <v>14900</v>
      </c>
      <c r="T1278">
        <f>E1278/G1278</f>
        <v>7.2301625708522397E-3</v>
      </c>
      <c r="U1278">
        <f>D1278/C1278</f>
        <v>1.0667989485460895E-2</v>
      </c>
      <c r="V1278">
        <f>(E1278-F1278)/O1278</f>
        <v>1.5540059549631773E-2</v>
      </c>
      <c r="W1278">
        <f>H1278/K1278</f>
        <v>1.2817963877989933</v>
      </c>
      <c r="X1278">
        <f>(H1278-I1278)/K1278</f>
        <v>0.74468229435661037</v>
      </c>
      <c r="Y1278">
        <f>(H1278-K1278)/G1278</f>
        <v>0.10947239936945699</v>
      </c>
      <c r="Z1278">
        <f>J1278/N1278</f>
        <v>1.1493375006919138</v>
      </c>
      <c r="AA1278">
        <f>J1278/G1278</f>
        <v>0.53474035618971871</v>
      </c>
      <c r="AB1278">
        <f>C1278/G1278</f>
        <v>1.4089905083154057</v>
      </c>
      <c r="AC1278">
        <f>C1278/(G1278-K1278)</f>
        <v>2.304081047013967</v>
      </c>
      <c r="AD1278">
        <f>Q1278/E1278</f>
        <v>2.2728628230616303</v>
      </c>
      <c r="AE1278">
        <f>Q1278/J1278</f>
        <v>3.0731115618570382E-2</v>
      </c>
      <c r="AF1278">
        <f>Q1278/G1278</f>
        <v>1.6433167711981753E-2</v>
      </c>
      <c r="AG1278">
        <f>Q1278/K1278</f>
        <v>4.2301140086489317E-2</v>
      </c>
      <c r="AH1278">
        <f>Q1278/L1278</f>
        <v>5.7894259315135262E-2</v>
      </c>
      <c r="AI1278" s="1">
        <f>R1278</f>
        <v>14900</v>
      </c>
      <c r="AJ1278" s="1">
        <f>P1278</f>
        <v>87674</v>
      </c>
    </row>
    <row r="1279" spans="1:36" x14ac:dyDescent="0.25">
      <c r="A1279" t="s">
        <v>193</v>
      </c>
      <c r="B1279">
        <v>2021</v>
      </c>
      <c r="C1279" s="1">
        <v>3062919</v>
      </c>
      <c r="D1279" s="1">
        <v>156826</v>
      </c>
      <c r="E1279" s="1">
        <v>128557</v>
      </c>
      <c r="G1279" s="1">
        <v>2456236</v>
      </c>
      <c r="H1279" s="1">
        <v>1000392</v>
      </c>
      <c r="I1279" s="1">
        <v>529921</v>
      </c>
      <c r="J1279" s="1">
        <v>999472</v>
      </c>
      <c r="K1279" s="1">
        <v>683892</v>
      </c>
      <c r="L1279" s="1">
        <v>412806</v>
      </c>
      <c r="M1279" s="1">
        <v>15297</v>
      </c>
      <c r="N1279" s="1">
        <v>1456764</v>
      </c>
      <c r="O1279" s="1">
        <v>1456764</v>
      </c>
      <c r="P1279" s="1">
        <v>219733</v>
      </c>
      <c r="Q1279" s="1">
        <v>83315</v>
      </c>
      <c r="R1279" s="1">
        <v>18325</v>
      </c>
      <c r="T1279">
        <f>E1279/G1279</f>
        <v>5.2339026054499652E-2</v>
      </c>
      <c r="U1279">
        <f>D1279/C1279</f>
        <v>5.120148459688291E-2</v>
      </c>
      <c r="V1279">
        <f>(E1279-F1279)/O1279</f>
        <v>8.8248336724411097E-2</v>
      </c>
      <c r="W1279">
        <f>H1279/K1279</f>
        <v>1.4627923707252022</v>
      </c>
      <c r="X1279">
        <f>(H1279-I1279)/K1279</f>
        <v>0.68793172021313309</v>
      </c>
      <c r="Y1279">
        <f>(H1279-K1279)/G1279</f>
        <v>0.12885569627674215</v>
      </c>
      <c r="Z1279">
        <f>J1279/N1279</f>
        <v>0.6860905404032499</v>
      </c>
      <c r="AA1279">
        <f>J1279/G1279</f>
        <v>0.40691203939686577</v>
      </c>
      <c r="AB1279">
        <f>C1279/G1279</f>
        <v>1.2469970312298981</v>
      </c>
      <c r="AC1279">
        <f>C1279/(G1279-K1279)</f>
        <v>1.7281741016416678</v>
      </c>
      <c r="AD1279">
        <f>Q1279/E1279</f>
        <v>0.64807828434079828</v>
      </c>
      <c r="AE1279">
        <f>Q1279/J1279</f>
        <v>8.3359013559159242E-2</v>
      </c>
      <c r="AF1279">
        <f>Q1279/G1279</f>
        <v>3.3919786209468471E-2</v>
      </c>
      <c r="AG1279">
        <f>Q1279/K1279</f>
        <v>0.12182479104887907</v>
      </c>
      <c r="AH1279">
        <f>Q1279/L1279</f>
        <v>0.20182603935020324</v>
      </c>
      <c r="AI1279" s="1">
        <f>R1279</f>
        <v>18325</v>
      </c>
      <c r="AJ1279" s="1">
        <f>P1279</f>
        <v>219733</v>
      </c>
    </row>
    <row r="1280" spans="1:36" x14ac:dyDescent="0.25">
      <c r="A1280" t="s">
        <v>193</v>
      </c>
      <c r="B1280">
        <v>2022</v>
      </c>
      <c r="C1280" s="1">
        <v>3109816</v>
      </c>
      <c r="D1280" s="1">
        <v>15754</v>
      </c>
      <c r="E1280" s="1">
        <v>4410</v>
      </c>
      <c r="G1280" s="1">
        <v>2819339</v>
      </c>
      <c r="H1280" s="1">
        <v>1173414</v>
      </c>
      <c r="I1280" s="1">
        <v>665139</v>
      </c>
      <c r="J1280" s="1">
        <v>1221167</v>
      </c>
      <c r="K1280" s="1">
        <v>865090</v>
      </c>
      <c r="L1280" s="1">
        <v>491824</v>
      </c>
      <c r="M1280" s="1">
        <v>10413</v>
      </c>
      <c r="N1280" s="1">
        <v>1598172</v>
      </c>
      <c r="O1280" s="1">
        <v>1598172</v>
      </c>
      <c r="P1280" s="1">
        <v>210310</v>
      </c>
      <c r="Q1280" s="1">
        <v>-23424</v>
      </c>
      <c r="R1280" s="1">
        <v>15004</v>
      </c>
      <c r="T1280">
        <f>E1280/G1280</f>
        <v>1.5641964304399011E-3</v>
      </c>
      <c r="U1280">
        <f>D1280/C1280</f>
        <v>5.0658945738268762E-3</v>
      </c>
      <c r="V1280">
        <f>(E1280-F1280)/O1280</f>
        <v>2.759402617490483E-3</v>
      </c>
      <c r="W1280">
        <f>H1280/K1280</f>
        <v>1.3564068478424209</v>
      </c>
      <c r="X1280">
        <f>(H1280-I1280)/K1280</f>
        <v>0.5875400247373106</v>
      </c>
      <c r="Y1280">
        <f>(H1280-K1280)/G1280</f>
        <v>0.10936038553717733</v>
      </c>
      <c r="Z1280">
        <f>J1280/N1280</f>
        <v>0.76410236194852621</v>
      </c>
      <c r="AA1280">
        <f>J1280/G1280</f>
        <v>0.43313946992539742</v>
      </c>
      <c r="AB1280">
        <f>C1280/G1280</f>
        <v>1.1030301783503154</v>
      </c>
      <c r="AC1280">
        <f>C1280/(G1280-K1280)</f>
        <v>1.5913100121837085</v>
      </c>
      <c r="AD1280">
        <f>Q1280/E1280</f>
        <v>-5.3115646258503402</v>
      </c>
      <c r="AE1280">
        <f>Q1280/J1280</f>
        <v>-1.9181651649610578E-2</v>
      </c>
      <c r="AF1280">
        <f>Q1280/G1280</f>
        <v>-8.3083304278059496E-3</v>
      </c>
      <c r="AG1280">
        <f>Q1280/K1280</f>
        <v>-2.7076951531054574E-2</v>
      </c>
      <c r="AH1280">
        <f>Q1280/L1280</f>
        <v>-4.7626793324441266E-2</v>
      </c>
      <c r="AI1280" s="1">
        <f>R1280</f>
        <v>15004</v>
      </c>
      <c r="AJ1280" s="1">
        <f>P1280</f>
        <v>210310</v>
      </c>
    </row>
    <row r="1281" spans="1:36" x14ac:dyDescent="0.25">
      <c r="A1281" t="s">
        <v>193</v>
      </c>
      <c r="B1281">
        <v>2023</v>
      </c>
      <c r="C1281" s="1">
        <v>4819400</v>
      </c>
      <c r="D1281" s="1">
        <v>256550</v>
      </c>
      <c r="E1281" s="1">
        <v>199536</v>
      </c>
      <c r="G1281" s="1">
        <v>3405051</v>
      </c>
      <c r="H1281" s="1">
        <v>1695065</v>
      </c>
      <c r="I1281" s="1">
        <v>904430</v>
      </c>
      <c r="J1281" s="1">
        <v>1706728</v>
      </c>
      <c r="K1281" s="1">
        <v>1182678</v>
      </c>
      <c r="L1281" s="1">
        <v>580408</v>
      </c>
      <c r="M1281" s="1">
        <v>3272</v>
      </c>
      <c r="N1281" s="1">
        <v>1698323</v>
      </c>
      <c r="O1281" s="1">
        <v>1698323</v>
      </c>
      <c r="P1281" s="1">
        <v>418477</v>
      </c>
      <c r="Q1281" s="1">
        <v>-70530</v>
      </c>
      <c r="R1281" s="1">
        <v>15004</v>
      </c>
      <c r="T1281">
        <f>E1281/G1281</f>
        <v>5.8600003347967472E-2</v>
      </c>
      <c r="U1281">
        <f>D1281/C1281</f>
        <v>5.3232767564427109E-2</v>
      </c>
      <c r="V1281">
        <f>(E1281-F1281)/O1281</f>
        <v>0.11749001809432011</v>
      </c>
      <c r="W1281">
        <f>H1281/K1281</f>
        <v>1.4332430298018564</v>
      </c>
      <c r="X1281">
        <f>(H1281-I1281)/K1281</f>
        <v>0.66851247761436339</v>
      </c>
      <c r="Y1281">
        <f>(H1281-K1281)/G1281</f>
        <v>0.15047850971982504</v>
      </c>
      <c r="Z1281">
        <f>J1281/N1281</f>
        <v>1.0049489996896939</v>
      </c>
      <c r="AA1281">
        <f>J1281/G1281</f>
        <v>0.50123419590484841</v>
      </c>
      <c r="AB1281">
        <f>C1281/G1281</f>
        <v>1.4153679342835099</v>
      </c>
      <c r="AC1281">
        <f>C1281/(G1281-K1281)</f>
        <v>2.1685828616528369</v>
      </c>
      <c r="AD1281">
        <f>Q1281/E1281</f>
        <v>-0.35347005051719993</v>
      </c>
      <c r="AE1281">
        <f>Q1281/J1281</f>
        <v>-4.1324686769069238E-2</v>
      </c>
      <c r="AF1281">
        <f>Q1281/G1281</f>
        <v>-2.0713346143714145E-2</v>
      </c>
      <c r="AG1281">
        <f>Q1281/K1281</f>
        <v>-5.9635843399471367E-2</v>
      </c>
      <c r="AH1281">
        <f>Q1281/L1281</f>
        <v>-0.12151796667172059</v>
      </c>
      <c r="AI1281" s="1">
        <f>R1281</f>
        <v>15004</v>
      </c>
      <c r="AJ1281" s="1">
        <f>P1281</f>
        <v>418477</v>
      </c>
    </row>
    <row r="1282" spans="1:36" x14ac:dyDescent="0.25">
      <c r="A1282" t="s">
        <v>193</v>
      </c>
      <c r="B1282">
        <v>2024</v>
      </c>
      <c r="C1282" s="1">
        <v>4742821</v>
      </c>
      <c r="D1282" s="1">
        <v>189956</v>
      </c>
      <c r="E1282" s="1">
        <v>131070</v>
      </c>
      <c r="G1282" s="1">
        <v>3431121</v>
      </c>
      <c r="H1282" s="1">
        <v>1542154</v>
      </c>
      <c r="I1282" s="1">
        <v>656652</v>
      </c>
      <c r="J1282" s="1">
        <v>1488897</v>
      </c>
      <c r="K1282" s="1">
        <v>901438</v>
      </c>
      <c r="L1282" s="1">
        <v>297355</v>
      </c>
      <c r="M1282" s="1">
        <v>1079</v>
      </c>
      <c r="N1282" s="1">
        <v>1942224</v>
      </c>
      <c r="O1282" s="1">
        <v>1942224</v>
      </c>
      <c r="P1282" s="1">
        <v>540702</v>
      </c>
      <c r="Q1282" s="1">
        <v>359646</v>
      </c>
      <c r="R1282" s="1">
        <v>15004</v>
      </c>
      <c r="T1282">
        <f>E1282/G1282</f>
        <v>3.8200343269736044E-2</v>
      </c>
      <c r="U1282">
        <f>D1282/C1282</f>
        <v>4.0051269065393781E-2</v>
      </c>
      <c r="V1282">
        <f>(E1282-F1282)/O1282</f>
        <v>6.7484492005041641E-2</v>
      </c>
      <c r="W1282">
        <f>H1282/K1282</f>
        <v>1.7107710125377453</v>
      </c>
      <c r="X1282">
        <f>(H1282-I1282)/K1282</f>
        <v>0.9823215795207213</v>
      </c>
      <c r="Y1282">
        <f>(H1282-K1282)/G1282</f>
        <v>0.18673663796759135</v>
      </c>
      <c r="Z1282">
        <f>J1282/N1282</f>
        <v>0.76659386352964431</v>
      </c>
      <c r="AA1282">
        <f>J1282/G1282</f>
        <v>0.43393893715785598</v>
      </c>
      <c r="AB1282">
        <f>C1282/G1282</f>
        <v>1.3822948826345676</v>
      </c>
      <c r="AC1282">
        <f>C1282/(G1282-K1282)</f>
        <v>1.8748677205800095</v>
      </c>
      <c r="AD1282">
        <f>Q1282/E1282</f>
        <v>2.7439230945296407</v>
      </c>
      <c r="AE1282">
        <f>Q1282/J1282</f>
        <v>0.24155196766465376</v>
      </c>
      <c r="AF1282">
        <f>Q1282/G1282</f>
        <v>0.10481880411678865</v>
      </c>
      <c r="AG1282">
        <f>Q1282/K1282</f>
        <v>0.39896920254082918</v>
      </c>
      <c r="AH1282">
        <f>Q1282/L1282</f>
        <v>1.2094836138622185</v>
      </c>
      <c r="AI1282" s="1">
        <f>R1282</f>
        <v>15004</v>
      </c>
      <c r="AJ1282" s="1">
        <f>P1282</f>
        <v>540702</v>
      </c>
    </row>
    <row r="1283" spans="1:36" x14ac:dyDescent="0.25">
      <c r="A1283" t="s">
        <v>209</v>
      </c>
      <c r="B1283">
        <v>2018</v>
      </c>
      <c r="C1283" s="1">
        <v>2625574</v>
      </c>
      <c r="D1283" s="1">
        <v>698819</v>
      </c>
      <c r="E1283" s="1">
        <v>748809</v>
      </c>
      <c r="G1283" s="1">
        <v>4362679</v>
      </c>
      <c r="H1283" s="1">
        <v>2409659</v>
      </c>
      <c r="I1283" s="1">
        <v>111204</v>
      </c>
      <c r="J1283" s="1">
        <v>724844</v>
      </c>
      <c r="K1283" s="1">
        <v>495005</v>
      </c>
      <c r="L1283" s="1">
        <v>0</v>
      </c>
      <c r="M1283" s="1">
        <v>0</v>
      </c>
      <c r="N1283" s="1">
        <v>3637835</v>
      </c>
      <c r="O1283" s="1">
        <v>3637835</v>
      </c>
      <c r="P1283" s="1">
        <v>3014231</v>
      </c>
      <c r="Q1283" s="1">
        <v>1185339</v>
      </c>
      <c r="R1283" s="1">
        <v>101.4</v>
      </c>
      <c r="T1283">
        <f>E1283/G1283</f>
        <v>0.17163971953930143</v>
      </c>
      <c r="U1283">
        <f>D1283/C1283</f>
        <v>0.2661585618992266</v>
      </c>
      <c r="V1283">
        <f>(E1283-F1283)/O1283</f>
        <v>0.20583918731883111</v>
      </c>
      <c r="W1283">
        <f>H1283/K1283</f>
        <v>4.8679488085978928</v>
      </c>
      <c r="X1283">
        <f>(H1283-I1283)/K1283</f>
        <v>4.6432965323582591</v>
      </c>
      <c r="Y1283">
        <f>(H1283-K1283)/G1283</f>
        <v>0.43887116150420419</v>
      </c>
      <c r="Z1283">
        <f>J1283/N1283</f>
        <v>0.19925147787076655</v>
      </c>
      <c r="AA1283">
        <f>J1283/G1283</f>
        <v>0.16614653519087699</v>
      </c>
      <c r="AB1283">
        <f>C1283/G1283</f>
        <v>0.60182607980096636</v>
      </c>
      <c r="AC1283">
        <f>C1283/(G1283-K1283)</f>
        <v>0.67885090625528421</v>
      </c>
      <c r="AD1283">
        <f>Q1283/E1283</f>
        <v>1.5829657496103813</v>
      </c>
      <c r="AE1283">
        <f>Q1283/J1283</f>
        <v>1.6353022167528461</v>
      </c>
      <c r="AF1283">
        <f>Q1283/G1283</f>
        <v>0.2716997973034459</v>
      </c>
      <c r="AG1283">
        <f>Q1283/K1283</f>
        <v>2.3946000545449038</v>
      </c>
      <c r="AH1283" t="e">
        <f>Q1283/L1283</f>
        <v>#DIV/0!</v>
      </c>
      <c r="AI1283" s="1">
        <f>R1283</f>
        <v>101.4</v>
      </c>
      <c r="AJ1283" s="1">
        <f>P1283</f>
        <v>3014231</v>
      </c>
    </row>
    <row r="1284" spans="1:36" x14ac:dyDescent="0.25">
      <c r="A1284" t="s">
        <v>209</v>
      </c>
      <c r="B1284">
        <v>2019</v>
      </c>
      <c r="C1284" s="1">
        <v>2552199</v>
      </c>
      <c r="D1284" s="1">
        <v>666141</v>
      </c>
      <c r="E1284" s="1">
        <v>772774</v>
      </c>
      <c r="G1284" s="1">
        <v>5006429</v>
      </c>
      <c r="H1284" s="1">
        <v>3044102</v>
      </c>
      <c r="I1284" s="1">
        <v>111944</v>
      </c>
      <c r="J1284" s="1">
        <v>699817</v>
      </c>
      <c r="K1284" s="1">
        <v>490429</v>
      </c>
      <c r="L1284" s="1">
        <v>0</v>
      </c>
      <c r="M1284" s="1">
        <v>0</v>
      </c>
      <c r="N1284" s="1">
        <v>4306612</v>
      </c>
      <c r="O1284" s="1">
        <v>4306612</v>
      </c>
      <c r="P1284" s="1">
        <v>3683008</v>
      </c>
      <c r="Q1284" s="1">
        <v>1398627</v>
      </c>
      <c r="R1284" s="1">
        <v>116.6</v>
      </c>
      <c r="T1284">
        <f>E1284/G1284</f>
        <v>0.15435632863264415</v>
      </c>
      <c r="U1284">
        <f>D1284/C1284</f>
        <v>0.26100668482355804</v>
      </c>
      <c r="V1284">
        <f>(E1284-F1284)/O1284</f>
        <v>0.1794389650147262</v>
      </c>
      <c r="W1284">
        <f>H1284/K1284</f>
        <v>6.207018752969339</v>
      </c>
      <c r="X1284">
        <f>(H1284-I1284)/K1284</f>
        <v>5.9787614517086061</v>
      </c>
      <c r="Y1284">
        <f>(H1284-K1284)/G1284</f>
        <v>0.51007874075513704</v>
      </c>
      <c r="Z1284">
        <f>J1284/N1284</f>
        <v>0.16249827010188056</v>
      </c>
      <c r="AA1284">
        <f>J1284/G1284</f>
        <v>0.13978366616204885</v>
      </c>
      <c r="AB1284">
        <f>C1284/G1284</f>
        <v>0.50978431932221546</v>
      </c>
      <c r="AC1284">
        <f>C1284/(G1284-K1284)</f>
        <v>0.56514592559787424</v>
      </c>
      <c r="AD1284">
        <f>Q1284/E1284</f>
        <v>1.8098784379391646</v>
      </c>
      <c r="AE1284">
        <f>Q1284/J1284</f>
        <v>1.9985610523894104</v>
      </c>
      <c r="AF1284">
        <f>Q1284/G1284</f>
        <v>0.27936619095167436</v>
      </c>
      <c r="AG1284">
        <f>Q1284/K1284</f>
        <v>2.8518439978060024</v>
      </c>
      <c r="AH1284" t="e">
        <f>Q1284/L1284</f>
        <v>#DIV/0!</v>
      </c>
      <c r="AI1284" s="1">
        <f>R1284</f>
        <v>116.6</v>
      </c>
      <c r="AJ1284" s="1">
        <f>P1284</f>
        <v>3683008</v>
      </c>
    </row>
    <row r="1285" spans="1:36" x14ac:dyDescent="0.25">
      <c r="A1285" t="s">
        <v>209</v>
      </c>
      <c r="B1285">
        <v>2020</v>
      </c>
      <c r="C1285" s="1">
        <v>2733109</v>
      </c>
      <c r="D1285" s="1">
        <v>903417</v>
      </c>
      <c r="E1285" s="1">
        <v>764340</v>
      </c>
      <c r="G1285" s="1">
        <v>5690012</v>
      </c>
      <c r="H1285" s="1">
        <v>3760394</v>
      </c>
      <c r="I1285" s="1">
        <v>148914</v>
      </c>
      <c r="J1285" s="1">
        <v>885998</v>
      </c>
      <c r="K1285" s="1">
        <v>673093</v>
      </c>
      <c r="L1285" s="1">
        <v>0</v>
      </c>
      <c r="M1285" s="1">
        <v>0</v>
      </c>
      <c r="N1285" s="1">
        <v>4804014</v>
      </c>
      <c r="O1285" s="1">
        <v>4804014</v>
      </c>
      <c r="P1285" s="1">
        <v>4180410</v>
      </c>
      <c r="Q1285" s="1">
        <v>1528052</v>
      </c>
      <c r="R1285" s="1">
        <v>172.9</v>
      </c>
      <c r="T1285">
        <f>E1285/G1285</f>
        <v>0.13433012092065888</v>
      </c>
      <c r="U1285">
        <f>D1285/C1285</f>
        <v>0.33054554355497712</v>
      </c>
      <c r="V1285">
        <f>(E1285-F1285)/O1285</f>
        <v>0.15910444890460351</v>
      </c>
      <c r="W1285">
        <f>H1285/K1285</f>
        <v>5.5867376424951676</v>
      </c>
      <c r="X1285">
        <f>(H1285-I1285)/K1285</f>
        <v>5.3654992697888702</v>
      </c>
      <c r="Y1285">
        <f>(H1285-K1285)/G1285</f>
        <v>0.54258251124953694</v>
      </c>
      <c r="Z1285">
        <f>J1285/N1285</f>
        <v>0.18442868817617933</v>
      </c>
      <c r="AA1285">
        <f>J1285/G1285</f>
        <v>0.15571109516113499</v>
      </c>
      <c r="AB1285">
        <f>C1285/G1285</f>
        <v>0.48033448787102734</v>
      </c>
      <c r="AC1285">
        <f>C1285/(G1285-K1285)</f>
        <v>0.54477837892140579</v>
      </c>
      <c r="AD1285">
        <f>Q1285/E1285</f>
        <v>1.9991783761153414</v>
      </c>
      <c r="AE1285">
        <f>Q1285/J1285</f>
        <v>1.7246675500396162</v>
      </c>
      <c r="AF1285">
        <f>Q1285/G1285</f>
        <v>0.26854987300554023</v>
      </c>
      <c r="AG1285">
        <f>Q1285/K1285</f>
        <v>2.2701944604980291</v>
      </c>
      <c r="AH1285" t="e">
        <f>Q1285/L1285</f>
        <v>#DIV/0!</v>
      </c>
      <c r="AI1285" s="1">
        <f>R1285</f>
        <v>172.9</v>
      </c>
      <c r="AJ1285" s="1">
        <f>P1285</f>
        <v>4180410</v>
      </c>
    </row>
    <row r="1286" spans="1:36" x14ac:dyDescent="0.25">
      <c r="A1286" t="s">
        <v>209</v>
      </c>
      <c r="B1286">
        <v>2021</v>
      </c>
      <c r="C1286" s="1">
        <v>4869959</v>
      </c>
      <c r="D1286" s="1">
        <v>844967</v>
      </c>
      <c r="E1286" s="1">
        <v>958121</v>
      </c>
      <c r="G1286" s="1">
        <v>6277379</v>
      </c>
      <c r="H1286" s="1">
        <v>4514837</v>
      </c>
      <c r="I1286" s="1">
        <v>169766</v>
      </c>
      <c r="J1286" s="1">
        <v>896674</v>
      </c>
      <c r="K1286" s="1">
        <v>698660</v>
      </c>
      <c r="L1286" s="1">
        <v>0</v>
      </c>
      <c r="M1286" s="1">
        <v>0</v>
      </c>
      <c r="N1286" s="1">
        <v>5380705</v>
      </c>
      <c r="O1286" s="1">
        <v>5380705</v>
      </c>
      <c r="P1286" s="1">
        <v>4757101</v>
      </c>
      <c r="Q1286" s="1">
        <v>1933153</v>
      </c>
      <c r="R1286" s="1">
        <v>300.25</v>
      </c>
      <c r="T1286">
        <f>E1286/G1286</f>
        <v>0.15263073967654334</v>
      </c>
      <c r="U1286">
        <f>D1286/C1286</f>
        <v>0.17350597818174651</v>
      </c>
      <c r="V1286">
        <f>(E1286-F1286)/O1286</f>
        <v>0.1780660712676127</v>
      </c>
      <c r="W1286">
        <f>H1286/K1286</f>
        <v>6.4621375203961868</v>
      </c>
      <c r="X1286">
        <f>(H1286-I1286)/K1286</f>
        <v>6.2191495147854461</v>
      </c>
      <c r="Y1286">
        <f>(H1286-K1286)/G1286</f>
        <v>0.60792521847095737</v>
      </c>
      <c r="Z1286">
        <f>J1286/N1286</f>
        <v>0.16664619227406074</v>
      </c>
      <c r="AA1286">
        <f>J1286/G1286</f>
        <v>0.1428421001822576</v>
      </c>
      <c r="AB1286">
        <f>C1286/G1286</f>
        <v>0.7757949615595936</v>
      </c>
      <c r="AC1286">
        <f>C1286/(G1286-K1286)</f>
        <v>0.87295291266686847</v>
      </c>
      <c r="AD1286">
        <f>Q1286/E1286</f>
        <v>2.0176501715336581</v>
      </c>
      <c r="AE1286">
        <f>Q1286/J1286</f>
        <v>2.1559150817353911</v>
      </c>
      <c r="AF1286">
        <f>Q1286/G1286</f>
        <v>0.30795543808968678</v>
      </c>
      <c r="AG1286">
        <f>Q1286/K1286</f>
        <v>2.7669438639681676</v>
      </c>
      <c r="AH1286" t="e">
        <f>Q1286/L1286</f>
        <v>#DIV/0!</v>
      </c>
      <c r="AI1286" s="1">
        <f>R1286</f>
        <v>300.25</v>
      </c>
      <c r="AJ1286" s="1">
        <f>P1286</f>
        <v>4757101</v>
      </c>
    </row>
    <row r="1287" spans="1:36" x14ac:dyDescent="0.25">
      <c r="A1287" t="s">
        <v>209</v>
      </c>
      <c r="B1287">
        <v>2022</v>
      </c>
      <c r="C1287" s="1">
        <v>8317005</v>
      </c>
      <c r="D1287" s="1">
        <v>907822</v>
      </c>
      <c r="E1287" s="1">
        <v>659047</v>
      </c>
      <c r="G1287" s="1">
        <v>6993049</v>
      </c>
      <c r="H1287" s="1">
        <v>5188346</v>
      </c>
      <c r="I1287" s="1">
        <v>603513</v>
      </c>
      <c r="J1287" s="1">
        <v>1183816</v>
      </c>
      <c r="K1287" s="1">
        <v>824118</v>
      </c>
      <c r="L1287" s="1">
        <v>0</v>
      </c>
      <c r="M1287" s="1">
        <v>0</v>
      </c>
      <c r="N1287" s="1">
        <v>5809233</v>
      </c>
      <c r="O1287" s="1">
        <v>5809233</v>
      </c>
      <c r="P1287" s="1">
        <v>5185629</v>
      </c>
      <c r="Q1287" s="1">
        <v>-1569635</v>
      </c>
      <c r="R1287" s="1">
        <v>124.75</v>
      </c>
      <c r="T1287">
        <f>E1287/G1287</f>
        <v>9.4243154881368627E-2</v>
      </c>
      <c r="U1287">
        <f>D1287/C1287</f>
        <v>0.1091525134348242</v>
      </c>
      <c r="V1287">
        <f>(E1287-F1287)/O1287</f>
        <v>0.11344819531253093</v>
      </c>
      <c r="W1287">
        <f>H1287/K1287</f>
        <v>6.295634848407631</v>
      </c>
      <c r="X1287">
        <f>(H1287-I1287)/K1287</f>
        <v>5.5633210292700799</v>
      </c>
      <c r="Y1287">
        <f>(H1287-K1287)/G1287</f>
        <v>0.62408085514630318</v>
      </c>
      <c r="Z1287">
        <f>J1287/N1287</f>
        <v>0.20378180734014284</v>
      </c>
      <c r="AA1287">
        <f>J1287/G1287</f>
        <v>0.16928467110698067</v>
      </c>
      <c r="AB1287">
        <f>C1287/G1287</f>
        <v>1.1893245707273037</v>
      </c>
      <c r="AC1287">
        <f>C1287/(G1287-K1287)</f>
        <v>1.3482084659400471</v>
      </c>
      <c r="AD1287">
        <f>Q1287/E1287</f>
        <v>-2.3816738411676255</v>
      </c>
      <c r="AE1287">
        <f>Q1287/J1287</f>
        <v>-1.3259112902680823</v>
      </c>
      <c r="AF1287">
        <f>Q1287/G1287</f>
        <v>-0.22445645669006467</v>
      </c>
      <c r="AG1287">
        <f>Q1287/K1287</f>
        <v>-1.9046240950931783</v>
      </c>
      <c r="AH1287" t="e">
        <f>Q1287/L1287</f>
        <v>#DIV/0!</v>
      </c>
      <c r="AI1287" s="1">
        <f>R1287</f>
        <v>124.75</v>
      </c>
      <c r="AJ1287" s="1">
        <f>P1287</f>
        <v>5185629</v>
      </c>
    </row>
    <row r="1288" spans="1:36" x14ac:dyDescent="0.25">
      <c r="A1288" t="s">
        <v>209</v>
      </c>
      <c r="B1288">
        <v>2023</v>
      </c>
      <c r="C1288" s="1">
        <v>11120835</v>
      </c>
      <c r="D1288" s="1">
        <v>2760314</v>
      </c>
      <c r="E1288" s="1">
        <v>2503769</v>
      </c>
      <c r="G1288" s="1">
        <v>9415500</v>
      </c>
      <c r="H1288" s="1">
        <v>7512017</v>
      </c>
      <c r="I1288" s="1">
        <v>381574</v>
      </c>
      <c r="J1288" s="1">
        <v>1390994</v>
      </c>
      <c r="K1288" s="1">
        <v>972299</v>
      </c>
      <c r="L1288" s="1">
        <v>0</v>
      </c>
      <c r="M1288" s="1">
        <v>0</v>
      </c>
      <c r="N1288" s="1">
        <v>8024506</v>
      </c>
      <c r="O1288" s="1">
        <v>8024506</v>
      </c>
      <c r="P1288" s="1">
        <v>7400902</v>
      </c>
      <c r="Q1288" s="1">
        <v>5699750</v>
      </c>
      <c r="R1288" s="1">
        <v>232</v>
      </c>
      <c r="T1288">
        <f>E1288/G1288</f>
        <v>0.26591991928203496</v>
      </c>
      <c r="U1288">
        <f>D1288/C1288</f>
        <v>0.24821103810999803</v>
      </c>
      <c r="V1288">
        <f>(E1288-F1288)/O1288</f>
        <v>0.31201534399749964</v>
      </c>
      <c r="W1288">
        <f>H1288/K1288</f>
        <v>7.726035921048978</v>
      </c>
      <c r="X1288">
        <f>(H1288-I1288)/K1288</f>
        <v>7.3335907987152105</v>
      </c>
      <c r="Y1288">
        <f>(H1288-K1288)/G1288</f>
        <v>0.6945693802772025</v>
      </c>
      <c r="Z1288">
        <f>J1288/N1288</f>
        <v>0.17334325627023023</v>
      </c>
      <c r="AA1288">
        <f>J1288/G1288</f>
        <v>0.14773448037809994</v>
      </c>
      <c r="AB1288">
        <f>C1288/G1288</f>
        <v>1.1811199617651744</v>
      </c>
      <c r="AC1288">
        <f>C1288/(G1288-K1288)</f>
        <v>1.3171349349612782</v>
      </c>
      <c r="AD1288">
        <f>Q1288/E1288</f>
        <v>2.276467996847952</v>
      </c>
      <c r="AE1288">
        <f>Q1288/J1288</f>
        <v>4.0976093354823959</v>
      </c>
      <c r="AF1288">
        <f>Q1288/G1288</f>
        <v>0.60535818596994317</v>
      </c>
      <c r="AG1288">
        <f>Q1288/K1288</f>
        <v>5.8621370586619959</v>
      </c>
      <c r="AH1288" t="e">
        <f>Q1288/L1288</f>
        <v>#DIV/0!</v>
      </c>
      <c r="AI1288" s="1">
        <f>R1288</f>
        <v>232</v>
      </c>
      <c r="AJ1288" s="1">
        <f>P1288</f>
        <v>7400902</v>
      </c>
    </row>
    <row r="1289" spans="1:36" x14ac:dyDescent="0.25">
      <c r="A1289" t="s">
        <v>209</v>
      </c>
      <c r="B1289">
        <v>2024</v>
      </c>
      <c r="C1289" s="1">
        <v>6197882</v>
      </c>
      <c r="D1289" s="1">
        <v>2319703</v>
      </c>
      <c r="E1289" s="1">
        <v>1701262</v>
      </c>
      <c r="G1289" s="1">
        <v>10268954</v>
      </c>
      <c r="H1289" s="1">
        <v>8154639</v>
      </c>
      <c r="I1289" s="1">
        <v>363105</v>
      </c>
      <c r="J1289" s="1">
        <v>1517195</v>
      </c>
      <c r="K1289" s="1">
        <v>1077767</v>
      </c>
      <c r="L1289" s="1">
        <v>0</v>
      </c>
      <c r="M1289" s="1">
        <v>0</v>
      </c>
      <c r="N1289" s="1">
        <v>8751759</v>
      </c>
      <c r="O1289" s="1">
        <v>8751759</v>
      </c>
      <c r="P1289" s="1">
        <v>8128155</v>
      </c>
      <c r="Q1289" s="1">
        <v>3648410</v>
      </c>
      <c r="R1289" s="1">
        <v>298.25</v>
      </c>
      <c r="T1289">
        <f>E1289/G1289</f>
        <v>0.16567042758201078</v>
      </c>
      <c r="U1289">
        <f>D1289/C1289</f>
        <v>0.37427350181884717</v>
      </c>
      <c r="V1289">
        <f>(E1289-F1289)/O1289</f>
        <v>0.19439086473930556</v>
      </c>
      <c r="W1289">
        <f>H1289/K1289</f>
        <v>7.5662355592628092</v>
      </c>
      <c r="X1289">
        <f>(H1289-I1289)/K1289</f>
        <v>7.2293306438219025</v>
      </c>
      <c r="Y1289">
        <f>(H1289-K1289)/G1289</f>
        <v>0.68915217655079575</v>
      </c>
      <c r="Z1289">
        <f>J1289/N1289</f>
        <v>0.17335886420089949</v>
      </c>
      <c r="AA1289">
        <f>J1289/G1289</f>
        <v>0.14774581714943899</v>
      </c>
      <c r="AB1289">
        <f>C1289/G1289</f>
        <v>0.60355533776857895</v>
      </c>
      <c r="AC1289">
        <f>C1289/(G1289-K1289)</f>
        <v>0.67432878908893923</v>
      </c>
      <c r="AD1289">
        <f>Q1289/E1289</f>
        <v>2.1445315301229324</v>
      </c>
      <c r="AE1289">
        <f>Q1289/J1289</f>
        <v>2.404707371168505</v>
      </c>
      <c r="AF1289">
        <f>Q1289/G1289</f>
        <v>0.35528545555857005</v>
      </c>
      <c r="AG1289">
        <f>Q1289/K1289</f>
        <v>3.3851565319776911</v>
      </c>
      <c r="AH1289" t="e">
        <f>Q1289/L1289</f>
        <v>#DIV/0!</v>
      </c>
      <c r="AI1289" s="1">
        <f>R1289</f>
        <v>298.25</v>
      </c>
      <c r="AJ1289" s="1">
        <f>P1289</f>
        <v>8128155</v>
      </c>
    </row>
    <row r="1290" spans="1:36" x14ac:dyDescent="0.25">
      <c r="A1290" t="s">
        <v>195</v>
      </c>
      <c r="B1290">
        <v>2018</v>
      </c>
      <c r="C1290" s="1">
        <v>2774614</v>
      </c>
      <c r="D1290" s="1">
        <v>128236</v>
      </c>
      <c r="E1290" s="1">
        <v>94874</v>
      </c>
      <c r="G1290" s="1">
        <v>5220663</v>
      </c>
      <c r="H1290" s="1">
        <v>521609</v>
      </c>
      <c r="I1290" s="1">
        <v>84310</v>
      </c>
      <c r="J1290" s="1">
        <v>2779497</v>
      </c>
      <c r="K1290" s="1">
        <v>808165</v>
      </c>
      <c r="L1290" s="1">
        <v>1947209</v>
      </c>
      <c r="M1290" s="1">
        <v>1590896</v>
      </c>
      <c r="N1290" s="1">
        <v>2441166</v>
      </c>
      <c r="O1290" s="1">
        <v>2441166</v>
      </c>
      <c r="P1290" s="1">
        <v>-983790</v>
      </c>
      <c r="Q1290" s="1">
        <v>631203</v>
      </c>
      <c r="R1290" s="1">
        <v>16.899999999999999</v>
      </c>
      <c r="T1290">
        <f>E1290/G1290</f>
        <v>1.8172787632528664E-2</v>
      </c>
      <c r="U1290">
        <f>D1290/C1290</f>
        <v>4.621759999769337E-2</v>
      </c>
      <c r="V1290">
        <f>(E1290-F1290)/O1290</f>
        <v>3.8864214887475906E-2</v>
      </c>
      <c r="W1290">
        <f>H1290/K1290</f>
        <v>0.64542389239821074</v>
      </c>
      <c r="X1290">
        <f>(H1290-I1290)/K1290</f>
        <v>0.54110113652533831</v>
      </c>
      <c r="Y1290">
        <f>(H1290-K1290)/G1290</f>
        <v>-5.4888813930337968E-2</v>
      </c>
      <c r="Z1290">
        <f>J1290/N1290</f>
        <v>1.1385940161381898</v>
      </c>
      <c r="AA1290">
        <f>J1290/G1290</f>
        <v>0.532403068345917</v>
      </c>
      <c r="AB1290">
        <f>C1290/G1290</f>
        <v>0.53146774652951168</v>
      </c>
      <c r="AC1290">
        <f>C1290/(G1290-K1290)</f>
        <v>0.62880799039455659</v>
      </c>
      <c r="AD1290">
        <f>Q1290/E1290</f>
        <v>6.6530661719754622</v>
      </c>
      <c r="AE1290">
        <f>Q1290/J1290</f>
        <v>0.2270925278926367</v>
      </c>
      <c r="AF1290">
        <f>Q1290/G1290</f>
        <v>0.12090475864847051</v>
      </c>
      <c r="AG1290">
        <f>Q1290/K1290</f>
        <v>0.78103233869321242</v>
      </c>
      <c r="AH1290">
        <f>Q1290/L1290</f>
        <v>0.32415780740536843</v>
      </c>
      <c r="AI1290" s="1">
        <f>R1290</f>
        <v>16.899999999999999</v>
      </c>
      <c r="AJ1290" s="1">
        <f>P1290</f>
        <v>-983790</v>
      </c>
    </row>
    <row r="1291" spans="1:36" x14ac:dyDescent="0.25">
      <c r="A1291" t="s">
        <v>195</v>
      </c>
      <c r="B1291">
        <v>2019</v>
      </c>
      <c r="C1291" s="1">
        <v>2690893</v>
      </c>
      <c r="D1291" s="1">
        <v>140999</v>
      </c>
      <c r="E1291" s="1">
        <v>-283217</v>
      </c>
      <c r="G1291" s="1">
        <v>5113152</v>
      </c>
      <c r="H1291" s="1">
        <v>432327</v>
      </c>
      <c r="I1291" s="1">
        <v>84670</v>
      </c>
      <c r="J1291" s="1">
        <v>2958010</v>
      </c>
      <c r="K1291" s="1">
        <v>968634</v>
      </c>
      <c r="L1291" s="1">
        <v>2011309</v>
      </c>
      <c r="M1291" s="1">
        <v>1546962</v>
      </c>
      <c r="N1291" s="1">
        <v>2155142</v>
      </c>
      <c r="O1291" s="1">
        <v>2155142</v>
      </c>
      <c r="P1291" s="1">
        <v>-1170842</v>
      </c>
      <c r="Q1291" s="1">
        <v>530821</v>
      </c>
      <c r="R1291" s="1">
        <v>9.4</v>
      </c>
      <c r="T1291">
        <f>E1291/G1291</f>
        <v>-5.5389904309513974E-2</v>
      </c>
      <c r="U1291">
        <f>D1291/C1291</f>
        <v>5.2398590356435577E-2</v>
      </c>
      <c r="V1291">
        <f>(E1291-F1291)/O1291</f>
        <v>-0.13141454252202406</v>
      </c>
      <c r="W1291">
        <f>H1291/K1291</f>
        <v>0.44632647625418886</v>
      </c>
      <c r="X1291">
        <f>(H1291-I1291)/K1291</f>
        <v>0.35891471907861999</v>
      </c>
      <c r="Y1291">
        <f>(H1291-K1291)/G1291</f>
        <v>-0.10488774830085239</v>
      </c>
      <c r="Z1291">
        <f>J1291/N1291</f>
        <v>1.3725360092281622</v>
      </c>
      <c r="AA1291">
        <f>J1291/G1291</f>
        <v>0.57851008536417459</v>
      </c>
      <c r="AB1291">
        <f>C1291/G1291</f>
        <v>0.52626892374801293</v>
      </c>
      <c r="AC1291">
        <f>C1291/(G1291-K1291)</f>
        <v>0.64926560820824042</v>
      </c>
      <c r="AD1291">
        <f>Q1291/E1291</f>
        <v>-1.8742554295822638</v>
      </c>
      <c r="AE1291">
        <f>Q1291/J1291</f>
        <v>0.17945206405657857</v>
      </c>
      <c r="AF1291">
        <f>Q1291/G1291</f>
        <v>0.1038148288961486</v>
      </c>
      <c r="AG1291">
        <f>Q1291/K1291</f>
        <v>0.54800987782795152</v>
      </c>
      <c r="AH1291">
        <f>Q1291/L1291</f>
        <v>0.26391817468126477</v>
      </c>
      <c r="AI1291" s="1">
        <f>R1291</f>
        <v>9.4</v>
      </c>
      <c r="AJ1291" s="1">
        <f>P1291</f>
        <v>-1170842</v>
      </c>
    </row>
    <row r="1292" spans="1:36" x14ac:dyDescent="0.25">
      <c r="A1292" t="s">
        <v>195</v>
      </c>
      <c r="B1292">
        <v>2020</v>
      </c>
      <c r="C1292" s="1">
        <v>2391582</v>
      </c>
      <c r="D1292" s="1">
        <v>29537</v>
      </c>
      <c r="E1292" s="1">
        <v>-259604</v>
      </c>
      <c r="G1292" s="1">
        <v>4964870</v>
      </c>
      <c r="H1292" s="1">
        <v>648762</v>
      </c>
      <c r="I1292" s="1">
        <v>71499</v>
      </c>
      <c r="J1292" s="1">
        <v>3064951</v>
      </c>
      <c r="K1292" s="1">
        <v>870329</v>
      </c>
      <c r="L1292" s="1">
        <v>2113670</v>
      </c>
      <c r="M1292" s="1">
        <v>1802591</v>
      </c>
      <c r="N1292" s="1">
        <v>1899919</v>
      </c>
      <c r="O1292" s="1">
        <v>1899919</v>
      </c>
      <c r="P1292" s="1">
        <v>-580633</v>
      </c>
      <c r="Q1292" s="1">
        <v>229674</v>
      </c>
      <c r="R1292" s="1">
        <v>7.7</v>
      </c>
      <c r="T1292">
        <f>E1292/G1292</f>
        <v>-5.2288176729702894E-2</v>
      </c>
      <c r="U1292">
        <f>D1292/C1292</f>
        <v>1.2350402369644863E-2</v>
      </c>
      <c r="V1292">
        <f>(E1292-F1292)/O1292</f>
        <v>-0.13663950936855729</v>
      </c>
      <c r="W1292">
        <f>H1292/K1292</f>
        <v>0.74542155897367546</v>
      </c>
      <c r="X1292">
        <f>(H1292-I1292)/K1292</f>
        <v>0.66326986691239753</v>
      </c>
      <c r="Y1292">
        <f>(H1292-K1292)/G1292</f>
        <v>-4.462694894327545E-2</v>
      </c>
      <c r="Z1292">
        <f>J1292/N1292</f>
        <v>1.6132008785637704</v>
      </c>
      <c r="AA1292">
        <f>J1292/G1292</f>
        <v>0.61732754331936179</v>
      </c>
      <c r="AB1292">
        <f>C1292/G1292</f>
        <v>0.48170083003180347</v>
      </c>
      <c r="AC1292">
        <f>C1292/(G1292-K1292)</f>
        <v>0.5840903778958374</v>
      </c>
      <c r="AD1292">
        <f>Q1292/E1292</f>
        <v>-0.884709018351027</v>
      </c>
      <c r="AE1292">
        <f>Q1292/J1292</f>
        <v>7.4935618872862889E-2</v>
      </c>
      <c r="AF1292">
        <f>Q1292/G1292</f>
        <v>4.625982150590046E-2</v>
      </c>
      <c r="AG1292">
        <f>Q1292/K1292</f>
        <v>0.26389330931176602</v>
      </c>
      <c r="AH1292">
        <f>Q1292/L1292</f>
        <v>0.10866123850932265</v>
      </c>
      <c r="AI1292" s="1">
        <f>R1292</f>
        <v>7.7</v>
      </c>
      <c r="AJ1292" s="1">
        <f>P1292</f>
        <v>-580633</v>
      </c>
    </row>
    <row r="1293" spans="1:36" x14ac:dyDescent="0.25">
      <c r="A1293" t="s">
        <v>195</v>
      </c>
      <c r="B1293">
        <v>2021</v>
      </c>
      <c r="C1293" s="1">
        <v>484203</v>
      </c>
      <c r="D1293" s="1">
        <v>-888815</v>
      </c>
      <c r="E1293" s="1">
        <v>-1095206</v>
      </c>
      <c r="G1293" s="1">
        <v>4874430</v>
      </c>
      <c r="H1293" s="1">
        <v>216201</v>
      </c>
      <c r="I1293" s="1">
        <v>55208</v>
      </c>
      <c r="J1293" s="1">
        <v>3597755</v>
      </c>
      <c r="K1293" s="1">
        <v>1051595</v>
      </c>
      <c r="L1293" s="1">
        <v>2468535</v>
      </c>
      <c r="M1293" s="1">
        <v>2044032</v>
      </c>
      <c r="N1293" s="1">
        <v>1276675</v>
      </c>
      <c r="O1293" s="1">
        <v>1276675</v>
      </c>
      <c r="P1293" s="1">
        <v>-1593637.7560000001</v>
      </c>
      <c r="Q1293" s="1">
        <v>-380242</v>
      </c>
      <c r="R1293" s="1">
        <v>12.3</v>
      </c>
      <c r="T1293">
        <f>E1293/G1293</f>
        <v>-0.2246839117599391</v>
      </c>
      <c r="U1293">
        <f>D1293/C1293</f>
        <v>-1.8356247276452231</v>
      </c>
      <c r="V1293">
        <f>(E1293-F1293)/O1293</f>
        <v>-0.85785810797579654</v>
      </c>
      <c r="W1293">
        <f>H1293/K1293</f>
        <v>0.20559340810863497</v>
      </c>
      <c r="X1293">
        <f>(H1293-I1293)/K1293</f>
        <v>0.15309410942425553</v>
      </c>
      <c r="Y1293">
        <f>(H1293-K1293)/G1293</f>
        <v>-0.1713829104120892</v>
      </c>
      <c r="Z1293">
        <f>J1293/N1293</f>
        <v>2.8180664617071689</v>
      </c>
      <c r="AA1293">
        <f>J1293/G1293</f>
        <v>0.73808732508211217</v>
      </c>
      <c r="AB1293">
        <f>C1293/G1293</f>
        <v>9.9335306897421857E-2</v>
      </c>
      <c r="AC1293">
        <f>C1293/(G1293-K1293)</f>
        <v>0.12666071122609268</v>
      </c>
      <c r="AD1293">
        <f>Q1293/E1293</f>
        <v>0.3471876523685955</v>
      </c>
      <c r="AE1293">
        <f>Q1293/J1293</f>
        <v>-0.10568868641694612</v>
      </c>
      <c r="AF1293">
        <f>Q1293/G1293</f>
        <v>-7.800747984892592E-2</v>
      </c>
      <c r="AG1293">
        <f>Q1293/K1293</f>
        <v>-0.361585971785716</v>
      </c>
      <c r="AH1293">
        <f>Q1293/L1293</f>
        <v>-0.1540354906857711</v>
      </c>
      <c r="AI1293" s="1">
        <f>R1293</f>
        <v>12.3</v>
      </c>
      <c r="AJ1293" s="1">
        <f>P1293</f>
        <v>-1593637.7560000001</v>
      </c>
    </row>
    <row r="1294" spans="1:36" x14ac:dyDescent="0.25">
      <c r="A1294" t="s">
        <v>195</v>
      </c>
      <c r="B1294">
        <v>2022</v>
      </c>
      <c r="C1294" s="1">
        <v>1147421</v>
      </c>
      <c r="D1294" s="1">
        <v>-563810</v>
      </c>
      <c r="E1294" s="1">
        <v>-1714907</v>
      </c>
      <c r="G1294" s="1">
        <v>6076209</v>
      </c>
      <c r="H1294" s="1">
        <v>480864</v>
      </c>
      <c r="I1294" s="1">
        <v>63959</v>
      </c>
      <c r="J1294" s="1">
        <v>5942399</v>
      </c>
      <c r="K1294" s="1">
        <v>1660917</v>
      </c>
      <c r="L1294" s="1">
        <v>4623964</v>
      </c>
      <c r="M1294" s="1">
        <v>3676884</v>
      </c>
      <c r="N1294" s="1">
        <v>133810</v>
      </c>
      <c r="O1294" s="1">
        <v>133810</v>
      </c>
      <c r="P1294" s="1">
        <v>-3161077.2379999999</v>
      </c>
      <c r="Q1294" s="1">
        <v>-187229</v>
      </c>
      <c r="R1294" s="1">
        <v>13.2</v>
      </c>
      <c r="T1294">
        <f>E1294/G1294</f>
        <v>-0.28223305024563838</v>
      </c>
      <c r="U1294">
        <f>D1294/C1294</f>
        <v>-0.49137151925927797</v>
      </c>
      <c r="V1294">
        <f>(E1294-F1294)/O1294</f>
        <v>-12.815985352365294</v>
      </c>
      <c r="W1294">
        <f>H1294/K1294</f>
        <v>0.28951717635498947</v>
      </c>
      <c r="X1294">
        <f>(H1294-I1294)/K1294</f>
        <v>0.2510089306088143</v>
      </c>
      <c r="Y1294">
        <f>(H1294-K1294)/G1294</f>
        <v>-0.19420875746703248</v>
      </c>
      <c r="Z1294">
        <f>J1294/N1294</f>
        <v>44.409229504521335</v>
      </c>
      <c r="AA1294">
        <f>J1294/G1294</f>
        <v>0.97797804519232301</v>
      </c>
      <c r="AB1294">
        <f>C1294/G1294</f>
        <v>0.18883830361990511</v>
      </c>
      <c r="AC1294">
        <f>C1294/(G1294-K1294)</f>
        <v>0.25987431861811178</v>
      </c>
      <c r="AD1294">
        <f>Q1294/E1294</f>
        <v>0.10917734897577536</v>
      </c>
      <c r="AE1294">
        <f>Q1294/J1294</f>
        <v>-3.1507308748537417E-2</v>
      </c>
      <c r="AF1294">
        <f>Q1294/G1294</f>
        <v>-3.0813456219165602E-2</v>
      </c>
      <c r="AG1294">
        <f>Q1294/K1294</f>
        <v>-0.11272628313154721</v>
      </c>
      <c r="AH1294">
        <f>Q1294/L1294</f>
        <v>-4.0491015933515055E-2</v>
      </c>
      <c r="AI1294" s="1">
        <f>R1294</f>
        <v>13.2</v>
      </c>
      <c r="AJ1294" s="1">
        <f>P1294</f>
        <v>-3161077.2379999999</v>
      </c>
    </row>
    <row r="1295" spans="1:36" x14ac:dyDescent="0.25">
      <c r="A1295" t="s">
        <v>195</v>
      </c>
      <c r="B1295">
        <v>2023</v>
      </c>
      <c r="C1295" s="1">
        <v>2361374</v>
      </c>
      <c r="D1295" s="1">
        <v>-465052</v>
      </c>
      <c r="E1295" s="1">
        <v>-1291194</v>
      </c>
      <c r="G1295" s="1">
        <v>5129298.0130000003</v>
      </c>
      <c r="H1295" s="1">
        <v>721653.10199999996</v>
      </c>
      <c r="I1295" s="1">
        <v>93317</v>
      </c>
      <c r="J1295" s="1">
        <v>6617676</v>
      </c>
      <c r="K1295" s="1">
        <v>1324562</v>
      </c>
      <c r="L1295" s="1">
        <v>4433393</v>
      </c>
      <c r="M1295" s="1">
        <v>4068842</v>
      </c>
      <c r="N1295" s="1">
        <v>-1488377.9869999997</v>
      </c>
      <c r="O1295" s="1">
        <v>-1488377.9869999997</v>
      </c>
      <c r="P1295" s="1">
        <v>-4289862</v>
      </c>
      <c r="Q1295" s="1">
        <v>-427426</v>
      </c>
      <c r="R1295" s="1">
        <v>15.2</v>
      </c>
      <c r="T1295">
        <f>E1295/G1295</f>
        <v>-0.25172918335560157</v>
      </c>
      <c r="U1295">
        <f>D1295/C1295</f>
        <v>-0.1969412723270435</v>
      </c>
      <c r="V1295">
        <f>(E1295-F1295)/O1295</f>
        <v>0.86751753336701309</v>
      </c>
      <c r="W1295">
        <f>H1295/K1295</f>
        <v>0.54482395086073732</v>
      </c>
      <c r="X1295">
        <f>(H1295-I1295)/K1295</f>
        <v>0.47437273755399895</v>
      </c>
      <c r="Y1295">
        <f>(H1295-K1295)/G1295</f>
        <v>-0.11754218539690063</v>
      </c>
      <c r="Z1295">
        <f>J1295/N1295</f>
        <v>-4.4462334553460456</v>
      </c>
      <c r="AA1295">
        <f>J1295/G1295</f>
        <v>1.2901718682025816</v>
      </c>
      <c r="AB1295">
        <f>C1295/G1295</f>
        <v>0.46036981942074573</v>
      </c>
      <c r="AC1295">
        <f>C1295/(G1295-K1295)</f>
        <v>0.62064069410641654</v>
      </c>
      <c r="AD1295">
        <f>Q1295/E1295</f>
        <v>0.33103158781716768</v>
      </c>
      <c r="AE1295">
        <f>Q1295/J1295</f>
        <v>-6.4588535310583353E-2</v>
      </c>
      <c r="AF1295">
        <f>Q1295/G1295</f>
        <v>-8.3330311266123738E-2</v>
      </c>
      <c r="AG1295">
        <f>Q1295/K1295</f>
        <v>-0.32269233150279109</v>
      </c>
      <c r="AH1295">
        <f>Q1295/L1295</f>
        <v>-9.6410582143292956E-2</v>
      </c>
      <c r="AI1295" s="1">
        <f>R1295</f>
        <v>15.2</v>
      </c>
      <c r="AJ1295" s="1">
        <f>P1295</f>
        <v>-4289862</v>
      </c>
    </row>
    <row r="1296" spans="1:36" x14ac:dyDescent="0.25">
      <c r="A1296" t="s">
        <v>195</v>
      </c>
      <c r="B1296">
        <v>2024</v>
      </c>
      <c r="C1296" s="1">
        <v>3728163</v>
      </c>
      <c r="D1296" s="1">
        <v>50587</v>
      </c>
      <c r="E1296" s="1">
        <v>96052</v>
      </c>
      <c r="G1296" s="1">
        <v>5001564.7309999997</v>
      </c>
      <c r="H1296" s="1">
        <v>829024.41</v>
      </c>
      <c r="I1296" s="1">
        <v>113101</v>
      </c>
      <c r="J1296" s="1">
        <v>6393047</v>
      </c>
      <c r="K1296" s="1">
        <v>2026674</v>
      </c>
      <c r="L1296" s="1">
        <v>4168142</v>
      </c>
      <c r="M1296" s="1">
        <v>3203643</v>
      </c>
      <c r="N1296" s="1">
        <v>-1391482.2690000003</v>
      </c>
      <c r="O1296" s="1">
        <v>-1391482.2690000003</v>
      </c>
      <c r="P1296" s="1">
        <v>-4055453</v>
      </c>
      <c r="Q1296" s="1">
        <v>60495</v>
      </c>
      <c r="R1296" s="1">
        <v>18</v>
      </c>
      <c r="T1296">
        <f>E1296/G1296</f>
        <v>1.9204390059107686E-2</v>
      </c>
      <c r="U1296">
        <f>D1296/C1296</f>
        <v>1.356888097435654E-2</v>
      </c>
      <c r="V1296">
        <f>(E1296-F1296)/O1296</f>
        <v>-6.9028547571093751E-2</v>
      </c>
      <c r="W1296">
        <f>H1296/K1296</f>
        <v>0.40905661690039941</v>
      </c>
      <c r="X1296">
        <f>(H1296-I1296)/K1296</f>
        <v>0.35325040435708949</v>
      </c>
      <c r="Y1296">
        <f>(H1296-K1296)/G1296</f>
        <v>-0.2394549814734768</v>
      </c>
      <c r="Z1296">
        <f>J1296/N1296</f>
        <v>-4.5944149935840821</v>
      </c>
      <c r="AA1296">
        <f>J1296/G1296</f>
        <v>1.2782093892288366</v>
      </c>
      <c r="AB1296">
        <f>C1296/G1296</f>
        <v>0.74539933011215886</v>
      </c>
      <c r="AC1296">
        <f>C1296/(G1296-K1296)</f>
        <v>1.2532100628606249</v>
      </c>
      <c r="AD1296">
        <f>Q1296/E1296</f>
        <v>0.62981510015408315</v>
      </c>
      <c r="AE1296">
        <f>Q1296/J1296</f>
        <v>9.4626240038591918E-3</v>
      </c>
      <c r="AF1296">
        <f>Q1296/G1296</f>
        <v>1.2095214848474986E-2</v>
      </c>
      <c r="AG1296">
        <f>Q1296/K1296</f>
        <v>2.9849398571255171E-2</v>
      </c>
      <c r="AH1296">
        <f>Q1296/L1296</f>
        <v>1.451366100291209E-2</v>
      </c>
      <c r="AI1296" s="1">
        <f>R1296</f>
        <v>18</v>
      </c>
      <c r="AJ1296" s="1">
        <f>P1296</f>
        <v>-4055453</v>
      </c>
    </row>
    <row r="1297" spans="1:36" x14ac:dyDescent="0.25">
      <c r="A1297" t="s">
        <v>197</v>
      </c>
      <c r="B1297">
        <v>2018</v>
      </c>
      <c r="C1297" s="1">
        <v>669997</v>
      </c>
      <c r="D1297" s="1">
        <v>92048</v>
      </c>
      <c r="E1297" s="1">
        <v>124974</v>
      </c>
      <c r="G1297" s="1">
        <v>3463223</v>
      </c>
      <c r="H1297" s="1">
        <v>573465</v>
      </c>
      <c r="I1297" s="1">
        <v>17436</v>
      </c>
      <c r="J1297" s="1">
        <v>417438</v>
      </c>
      <c r="K1297" s="1">
        <v>112328</v>
      </c>
      <c r="L1297" s="1">
        <v>17934</v>
      </c>
      <c r="M1297" s="1">
        <v>0</v>
      </c>
      <c r="N1297" s="1">
        <v>3045785</v>
      </c>
      <c r="O1297" s="1">
        <v>3045785</v>
      </c>
      <c r="P1297" s="1">
        <v>1171462</v>
      </c>
      <c r="Q1297" s="1">
        <v>136964</v>
      </c>
      <c r="R1297" s="1">
        <v>45.3</v>
      </c>
      <c r="T1297">
        <f>E1297/G1297</f>
        <v>3.6086038929632885E-2</v>
      </c>
      <c r="U1297">
        <f>D1297/C1297</f>
        <v>0.13738568978667068</v>
      </c>
      <c r="V1297">
        <f>(E1297-F1297)/O1297</f>
        <v>4.103178655092201E-2</v>
      </c>
      <c r="W1297">
        <f>H1297/K1297</f>
        <v>5.1052720603945589</v>
      </c>
      <c r="X1297">
        <f>(H1297-I1297)/K1297</f>
        <v>4.9500480734990386</v>
      </c>
      <c r="Y1297">
        <f>(H1297-K1297)/G1297</f>
        <v>0.13315255760313441</v>
      </c>
      <c r="Z1297">
        <f>J1297/N1297</f>
        <v>0.13705432261305378</v>
      </c>
      <c r="AA1297">
        <f>J1297/G1297</f>
        <v>0.12053454253451193</v>
      </c>
      <c r="AB1297">
        <f>C1297/G1297</f>
        <v>0.19346054239071525</v>
      </c>
      <c r="AC1297">
        <f>C1297/(G1297-K1297)</f>
        <v>0.19994568615250552</v>
      </c>
      <c r="AD1297">
        <f>Q1297/E1297</f>
        <v>1.0959399555107463</v>
      </c>
      <c r="AE1297">
        <f>Q1297/J1297</f>
        <v>0.32810620978444704</v>
      </c>
      <c r="AF1297">
        <f>Q1297/G1297</f>
        <v>3.9548131899100926E-2</v>
      </c>
      <c r="AG1297">
        <f>Q1297/K1297</f>
        <v>1.2193219856135602</v>
      </c>
      <c r="AH1297">
        <f>Q1297/L1297</f>
        <v>7.637113861938218</v>
      </c>
      <c r="AI1297" s="1">
        <f>R1297</f>
        <v>45.3</v>
      </c>
      <c r="AJ1297" s="1">
        <f>P1297</f>
        <v>1171462</v>
      </c>
    </row>
    <row r="1298" spans="1:36" x14ac:dyDescent="0.25">
      <c r="A1298" t="s">
        <v>197</v>
      </c>
      <c r="B1298">
        <v>2019</v>
      </c>
      <c r="C1298" s="1">
        <v>710257</v>
      </c>
      <c r="D1298" s="1">
        <v>91087</v>
      </c>
      <c r="E1298" s="1">
        <v>142076</v>
      </c>
      <c r="G1298" s="1">
        <v>3894040</v>
      </c>
      <c r="H1298" s="1">
        <v>701478</v>
      </c>
      <c r="I1298" s="1">
        <v>17645</v>
      </c>
      <c r="J1298" s="1">
        <v>460132</v>
      </c>
      <c r="K1298" s="1">
        <v>112747</v>
      </c>
      <c r="L1298" s="1">
        <v>18102</v>
      </c>
      <c r="M1298" s="1">
        <v>0</v>
      </c>
      <c r="N1298" s="1">
        <v>3433908</v>
      </c>
      <c r="O1298" s="1">
        <v>3433908</v>
      </c>
      <c r="P1298" s="1">
        <v>1301573</v>
      </c>
      <c r="Q1298" s="1">
        <v>124383</v>
      </c>
      <c r="R1298" s="1">
        <v>40.6</v>
      </c>
      <c r="T1298">
        <f>E1298/G1298</f>
        <v>3.6485500919353681E-2</v>
      </c>
      <c r="U1298">
        <f>D1298/C1298</f>
        <v>0.12824512817191525</v>
      </c>
      <c r="V1298">
        <f>(E1298-F1298)/O1298</f>
        <v>4.1374434026770664E-2</v>
      </c>
      <c r="W1298">
        <f>H1298/K1298</f>
        <v>6.2216999121927854</v>
      </c>
      <c r="X1298">
        <f>(H1298-I1298)/K1298</f>
        <v>6.0651990740330124</v>
      </c>
      <c r="Y1298">
        <f>(H1298-K1298)/G1298</f>
        <v>0.15118771250423724</v>
      </c>
      <c r="Z1298">
        <f>J1298/N1298</f>
        <v>0.13399660095727667</v>
      </c>
      <c r="AA1298">
        <f>J1298/G1298</f>
        <v>0.11816314162155499</v>
      </c>
      <c r="AB1298">
        <f>C1298/G1298</f>
        <v>0.18239591786422327</v>
      </c>
      <c r="AC1298">
        <f>C1298/(G1298-K1298)</f>
        <v>0.1878344259490074</v>
      </c>
      <c r="AD1298">
        <f>Q1298/E1298</f>
        <v>0.87546805934851768</v>
      </c>
      <c r="AE1298">
        <f>Q1298/J1298</f>
        <v>0.27032025592656023</v>
      </c>
      <c r="AF1298">
        <f>Q1298/G1298</f>
        <v>3.1941890684225122E-2</v>
      </c>
      <c r="AG1298">
        <f>Q1298/K1298</f>
        <v>1.1032045198541869</v>
      </c>
      <c r="AH1298">
        <f>Q1298/L1298</f>
        <v>6.8712296983758705</v>
      </c>
      <c r="AI1298" s="1">
        <f>R1298</f>
        <v>40.6</v>
      </c>
      <c r="AJ1298" s="1">
        <f>P1298</f>
        <v>1301573</v>
      </c>
    </row>
    <row r="1299" spans="1:36" x14ac:dyDescent="0.25">
      <c r="A1299" t="s">
        <v>197</v>
      </c>
      <c r="B1299">
        <v>2020</v>
      </c>
      <c r="C1299" s="1">
        <v>591289</v>
      </c>
      <c r="D1299" s="1">
        <v>-14416</v>
      </c>
      <c r="E1299" s="1">
        <v>58196</v>
      </c>
      <c r="G1299" s="1">
        <v>3936812</v>
      </c>
      <c r="H1299" s="1">
        <v>753150</v>
      </c>
      <c r="I1299" s="1">
        <v>14398</v>
      </c>
      <c r="J1299" s="1">
        <v>456027</v>
      </c>
      <c r="K1299" s="1">
        <v>115390</v>
      </c>
      <c r="L1299" s="1">
        <v>26485</v>
      </c>
      <c r="M1299" s="1">
        <v>0</v>
      </c>
      <c r="N1299" s="1">
        <v>3480785</v>
      </c>
      <c r="O1299" s="1">
        <v>3480785</v>
      </c>
      <c r="P1299" s="1">
        <v>1369014</v>
      </c>
      <c r="Q1299" s="1">
        <v>30592</v>
      </c>
      <c r="R1299" s="1">
        <v>35.1</v>
      </c>
      <c r="T1299">
        <f>E1299/G1299</f>
        <v>1.478251945990817E-2</v>
      </c>
      <c r="U1299">
        <f>D1299/C1299</f>
        <v>-2.4380632820837189E-2</v>
      </c>
      <c r="V1299">
        <f>(E1299-F1299)/O1299</f>
        <v>1.6719217073160222E-2</v>
      </c>
      <c r="W1299">
        <f>H1299/K1299</f>
        <v>6.5269954068810119</v>
      </c>
      <c r="X1299">
        <f>(H1299-I1299)/K1299</f>
        <v>6.4022185631337205</v>
      </c>
      <c r="Y1299">
        <f>(H1299-K1299)/G1299</f>
        <v>0.1619990997792122</v>
      </c>
      <c r="Z1299">
        <f>J1299/N1299</f>
        <v>0.13101268822981024</v>
      </c>
      <c r="AA1299">
        <f>J1299/G1299</f>
        <v>0.11583662110357315</v>
      </c>
      <c r="AB1299">
        <f>C1299/G1299</f>
        <v>0.1501948784955949</v>
      </c>
      <c r="AC1299">
        <f>C1299/(G1299-K1299)</f>
        <v>0.15473009785362621</v>
      </c>
      <c r="AD1299">
        <f>Q1299/E1299</f>
        <v>0.52567186748230121</v>
      </c>
      <c r="AE1299">
        <f>Q1299/J1299</f>
        <v>6.7083747234264635E-2</v>
      </c>
      <c r="AF1299">
        <f>Q1299/G1299</f>
        <v>7.7707546105833854E-3</v>
      </c>
      <c r="AG1299">
        <f>Q1299/K1299</f>
        <v>0.26511829447959095</v>
      </c>
      <c r="AH1299">
        <f>Q1299/L1299</f>
        <v>1.1550689069284501</v>
      </c>
      <c r="AI1299" s="1">
        <f>R1299</f>
        <v>35.1</v>
      </c>
      <c r="AJ1299" s="1">
        <f>P1299</f>
        <v>1369014</v>
      </c>
    </row>
    <row r="1300" spans="1:36" x14ac:dyDescent="0.25">
      <c r="A1300" t="s">
        <v>197</v>
      </c>
      <c r="B1300">
        <v>2021</v>
      </c>
      <c r="C1300" s="1">
        <v>133462</v>
      </c>
      <c r="D1300" s="1">
        <v>-213194</v>
      </c>
      <c r="E1300" s="1">
        <v>-209457</v>
      </c>
      <c r="G1300" s="1">
        <v>3712259</v>
      </c>
      <c r="H1300" s="1">
        <v>601683</v>
      </c>
      <c r="I1300" s="1">
        <v>14060</v>
      </c>
      <c r="J1300" s="1">
        <v>441472</v>
      </c>
      <c r="K1300" s="1">
        <v>91668</v>
      </c>
      <c r="L1300" s="1">
        <v>42725</v>
      </c>
      <c r="M1300" s="1">
        <v>9999</v>
      </c>
      <c r="N1300" s="1">
        <v>3270787</v>
      </c>
      <c r="O1300" s="1">
        <v>3270787</v>
      </c>
      <c r="P1300" s="1">
        <v>1182112</v>
      </c>
      <c r="Q1300" s="1">
        <v>-66890</v>
      </c>
      <c r="R1300" s="1">
        <v>40.1</v>
      </c>
      <c r="T1300">
        <f>E1300/G1300</f>
        <v>-5.6423056688663153E-2</v>
      </c>
      <c r="U1300">
        <f>D1300/C1300</f>
        <v>-1.5974134959763828</v>
      </c>
      <c r="V1300">
        <f>(E1300-F1300)/O1300</f>
        <v>-6.4038716064360041E-2</v>
      </c>
      <c r="W1300">
        <f>H1300/K1300</f>
        <v>6.5637190731771176</v>
      </c>
      <c r="X1300">
        <f>(H1300-I1300)/K1300</f>
        <v>6.4103394859711136</v>
      </c>
      <c r="Y1300">
        <f>(H1300-K1300)/G1300</f>
        <v>0.1373866963485037</v>
      </c>
      <c r="Z1300">
        <f>J1300/N1300</f>
        <v>0.13497424320201834</v>
      </c>
      <c r="AA1300">
        <f>J1300/G1300</f>
        <v>0.11892273680257762</v>
      </c>
      <c r="AB1300">
        <f>C1300/G1300</f>
        <v>3.5951694103240103E-2</v>
      </c>
      <c r="AC1300">
        <f>C1300/(G1300-K1300)</f>
        <v>3.686193773337005E-2</v>
      </c>
      <c r="AD1300">
        <f>Q1300/E1300</f>
        <v>0.31934955623349898</v>
      </c>
      <c r="AE1300">
        <f>Q1300/J1300</f>
        <v>-0.15151583792403595</v>
      </c>
      <c r="AF1300">
        <f>Q1300/G1300</f>
        <v>-1.8018678114862137E-2</v>
      </c>
      <c r="AG1300">
        <f>Q1300/K1300</f>
        <v>-0.72969847711306013</v>
      </c>
      <c r="AH1300">
        <f>Q1300/L1300</f>
        <v>-1.565593914569924</v>
      </c>
      <c r="AI1300" s="1">
        <f>R1300</f>
        <v>40.1</v>
      </c>
      <c r="AJ1300" s="1">
        <f>P1300</f>
        <v>1182112</v>
      </c>
    </row>
    <row r="1301" spans="1:36" x14ac:dyDescent="0.25">
      <c r="A1301" t="s">
        <v>197</v>
      </c>
      <c r="B1301">
        <v>2022</v>
      </c>
      <c r="C1301" s="1">
        <v>321332</v>
      </c>
      <c r="D1301" s="1">
        <v>-132435</v>
      </c>
      <c r="E1301" s="1">
        <v>-100910</v>
      </c>
      <c r="G1301" s="1">
        <v>3938124</v>
      </c>
      <c r="H1301" s="1">
        <v>587976</v>
      </c>
      <c r="I1301" s="1">
        <v>20177</v>
      </c>
      <c r="J1301" s="1">
        <v>480900</v>
      </c>
      <c r="K1301" s="1">
        <v>109793</v>
      </c>
      <c r="L1301" s="1">
        <v>49083</v>
      </c>
      <c r="M1301" s="1">
        <v>7994</v>
      </c>
      <c r="N1301" s="1">
        <v>3457224</v>
      </c>
      <c r="O1301" s="1">
        <v>3457224</v>
      </c>
      <c r="P1301" s="1">
        <v>1080818</v>
      </c>
      <c r="Q1301" s="1">
        <v>-88803</v>
      </c>
      <c r="R1301" s="1">
        <v>44.1</v>
      </c>
      <c r="T1301">
        <f>E1301/G1301</f>
        <v>-2.5623875733724991E-2</v>
      </c>
      <c r="U1301">
        <f>D1301/C1301</f>
        <v>-0.41214382632293078</v>
      </c>
      <c r="V1301">
        <f>(E1301-F1301)/O1301</f>
        <v>-2.9188157897781574E-2</v>
      </c>
      <c r="W1301">
        <f>H1301/K1301</f>
        <v>5.3553140910622714</v>
      </c>
      <c r="X1301">
        <f>(H1301-I1301)/K1301</f>
        <v>5.171540990773547</v>
      </c>
      <c r="Y1301">
        <f>(H1301-K1301)/G1301</f>
        <v>0.12142405876503634</v>
      </c>
      <c r="Z1301">
        <f>J1301/N1301</f>
        <v>0.13910004095771636</v>
      </c>
      <c r="AA1301">
        <f>J1301/G1301</f>
        <v>0.12211398117479287</v>
      </c>
      <c r="AB1301">
        <f>C1301/G1301</f>
        <v>8.1595196088289759E-2</v>
      </c>
      <c r="AC1301">
        <f>C1301/(G1301-K1301)</f>
        <v>8.3935271009742893E-2</v>
      </c>
      <c r="AD1301">
        <f>Q1301/E1301</f>
        <v>0.8800218016053909</v>
      </c>
      <c r="AE1301">
        <f>Q1301/J1301</f>
        <v>-0.18466001247660635</v>
      </c>
      <c r="AF1301">
        <f>Q1301/G1301</f>
        <v>-2.2549569287305327E-2</v>
      </c>
      <c r="AG1301">
        <f>Q1301/K1301</f>
        <v>-0.80882205605093216</v>
      </c>
      <c r="AH1301">
        <f>Q1301/L1301</f>
        <v>-1.809241488906546</v>
      </c>
      <c r="AI1301" s="1">
        <f>R1301</f>
        <v>44.1</v>
      </c>
      <c r="AJ1301" s="1">
        <f>P1301</f>
        <v>1080818</v>
      </c>
    </row>
    <row r="1302" spans="1:36" x14ac:dyDescent="0.25">
      <c r="A1302" t="s">
        <v>197</v>
      </c>
      <c r="B1302">
        <v>2023</v>
      </c>
      <c r="C1302" s="1">
        <v>569189</v>
      </c>
      <c r="D1302" s="1">
        <v>-171024</v>
      </c>
      <c r="E1302" s="1">
        <v>-200761</v>
      </c>
      <c r="G1302" s="1">
        <v>3813327</v>
      </c>
      <c r="H1302" s="1">
        <v>560061</v>
      </c>
      <c r="I1302" s="1">
        <v>33834</v>
      </c>
      <c r="J1302" s="1">
        <v>918177</v>
      </c>
      <c r="K1302" s="1">
        <v>188658</v>
      </c>
      <c r="L1302" s="1">
        <v>77395</v>
      </c>
      <c r="M1302" s="1">
        <v>0</v>
      </c>
      <c r="N1302" s="1">
        <v>2895150</v>
      </c>
      <c r="O1302" s="1">
        <v>2895150</v>
      </c>
      <c r="P1302" s="1">
        <v>882416</v>
      </c>
      <c r="Q1302" s="1">
        <v>-121313</v>
      </c>
      <c r="R1302" s="1">
        <v>55</v>
      </c>
      <c r="T1302">
        <f>E1302/G1302</f>
        <v>-5.2647202823151544E-2</v>
      </c>
      <c r="U1302">
        <f>D1302/C1302</f>
        <v>-0.30046961554070795</v>
      </c>
      <c r="V1302">
        <f>(E1302-F1302)/O1302</f>
        <v>-6.9343902733882523E-2</v>
      </c>
      <c r="W1302">
        <f>H1302/K1302</f>
        <v>2.9686575708424767</v>
      </c>
      <c r="X1302">
        <f>(H1302-I1302)/K1302</f>
        <v>2.789317177114143</v>
      </c>
      <c r="Y1302">
        <f>(H1302-K1302)/G1302</f>
        <v>9.739605336757115E-2</v>
      </c>
      <c r="Z1302">
        <f>J1302/N1302</f>
        <v>0.31714315320449715</v>
      </c>
      <c r="AA1302">
        <f>J1302/G1302</f>
        <v>0.24078108171683152</v>
      </c>
      <c r="AB1302">
        <f>C1302/G1302</f>
        <v>0.14926309755234735</v>
      </c>
      <c r="AC1302">
        <f>C1302/(G1302-K1302)</f>
        <v>0.15703199381791827</v>
      </c>
      <c r="AD1302">
        <f>Q1302/E1302</f>
        <v>0.60426576874990656</v>
      </c>
      <c r="AE1302">
        <f>Q1302/J1302</f>
        <v>-0.13212376262964548</v>
      </c>
      <c r="AF1302">
        <f>Q1302/G1302</f>
        <v>-3.1812902486463922E-2</v>
      </c>
      <c r="AG1302">
        <f>Q1302/K1302</f>
        <v>-0.64303130532497954</v>
      </c>
      <c r="AH1302">
        <f>Q1302/L1302</f>
        <v>-1.5674526778215647</v>
      </c>
      <c r="AI1302" s="1">
        <f>R1302</f>
        <v>55</v>
      </c>
      <c r="AJ1302" s="1">
        <f>P1302</f>
        <v>882416</v>
      </c>
    </row>
    <row r="1303" spans="1:36" x14ac:dyDescent="0.25">
      <c r="A1303" t="s">
        <v>197</v>
      </c>
      <c r="B1303">
        <v>2024</v>
      </c>
      <c r="C1303" s="1">
        <v>964685</v>
      </c>
      <c r="D1303" s="1">
        <v>-19768</v>
      </c>
      <c r="E1303" s="1">
        <v>77419</v>
      </c>
      <c r="G1303" s="1">
        <v>3907907</v>
      </c>
      <c r="H1303" s="1">
        <v>642229</v>
      </c>
      <c r="I1303" s="1">
        <v>37505</v>
      </c>
      <c r="J1303" s="1">
        <v>926915</v>
      </c>
      <c r="K1303" s="1">
        <v>203266</v>
      </c>
      <c r="L1303" s="1">
        <v>67654</v>
      </c>
      <c r="M1303" s="1">
        <v>0</v>
      </c>
      <c r="N1303" s="1">
        <v>2980992</v>
      </c>
      <c r="O1303" s="1">
        <v>2980992</v>
      </c>
      <c r="P1303" s="1">
        <v>957357</v>
      </c>
      <c r="Q1303" s="1">
        <v>-102906</v>
      </c>
      <c r="R1303" s="1">
        <v>58.9</v>
      </c>
      <c r="T1303">
        <f>E1303/G1303</f>
        <v>1.9810860391508804E-2</v>
      </c>
      <c r="U1303">
        <f>D1303/C1303</f>
        <v>-2.0491663081731341E-2</v>
      </c>
      <c r="V1303">
        <f>(E1303-F1303)/O1303</f>
        <v>2.5970884859805057E-2</v>
      </c>
      <c r="W1303">
        <f>H1303/K1303</f>
        <v>3.1595495557545283</v>
      </c>
      <c r="X1303">
        <f>(H1303-I1303)/K1303</f>
        <v>2.9750376354136945</v>
      </c>
      <c r="Y1303">
        <f>(H1303-K1303)/G1303</f>
        <v>0.11232687983618853</v>
      </c>
      <c r="Z1303">
        <f>J1303/N1303</f>
        <v>0.31094179387264376</v>
      </c>
      <c r="AA1303">
        <f>J1303/G1303</f>
        <v>0.23718962605814314</v>
      </c>
      <c r="AB1303">
        <f>C1303/G1303</f>
        <v>0.24685464623390474</v>
      </c>
      <c r="AC1303">
        <f>C1303/(G1303-K1303)</f>
        <v>0.26039905081221093</v>
      </c>
      <c r="AD1303">
        <f>Q1303/E1303</f>
        <v>-1.3292085922060477</v>
      </c>
      <c r="AE1303">
        <f>Q1303/J1303</f>
        <v>-0.11101988855504551</v>
      </c>
      <c r="AF1303">
        <f>Q1303/G1303</f>
        <v>-2.6332765851387968E-2</v>
      </c>
      <c r="AG1303">
        <f>Q1303/K1303</f>
        <v>-0.50626272962522012</v>
      </c>
      <c r="AH1303">
        <f>Q1303/L1303</f>
        <v>-1.5210630561385876</v>
      </c>
      <c r="AI1303" s="1">
        <f>R1303</f>
        <v>58.9</v>
      </c>
      <c r="AJ1303" s="1">
        <f>P1303</f>
        <v>957357</v>
      </c>
    </row>
    <row r="1304" spans="1:36" x14ac:dyDescent="0.25">
      <c r="A1304" t="s">
        <v>27</v>
      </c>
      <c r="B1304">
        <v>2018</v>
      </c>
      <c r="C1304" s="1">
        <v>12588656</v>
      </c>
      <c r="D1304" s="1">
        <f>286330+829580</f>
        <v>1115910</v>
      </c>
      <c r="E1304" s="1">
        <v>382296</v>
      </c>
      <c r="G1304" s="1">
        <v>20935158</v>
      </c>
      <c r="H1304" s="1">
        <v>12192426</v>
      </c>
      <c r="I1304" s="1">
        <v>3758051</v>
      </c>
      <c r="J1304" s="1">
        <f>2625485+K1304</f>
        <v>14456480</v>
      </c>
      <c r="K1304" s="1">
        <v>11830995</v>
      </c>
      <c r="L1304" s="1">
        <f>7227008+M1304</f>
        <v>8789029</v>
      </c>
      <c r="M1304" s="1">
        <v>1562021</v>
      </c>
      <c r="N1304" s="1">
        <v>4050438</v>
      </c>
      <c r="O1304" s="1">
        <v>6478677</v>
      </c>
      <c r="P1304" s="1">
        <v>2140513</v>
      </c>
      <c r="Q1304" s="1">
        <v>-874656</v>
      </c>
      <c r="R1304" s="1">
        <v>5.4</v>
      </c>
      <c r="S1304" s="11"/>
      <c r="T1304">
        <f>E1304/G1304</f>
        <v>1.826095604341749E-2</v>
      </c>
      <c r="U1304">
        <f>D1304/C1304</f>
        <v>8.8644093539453295E-2</v>
      </c>
      <c r="V1304">
        <f>(E1304-F1304)/O1304</f>
        <v>5.9008343833162231E-2</v>
      </c>
      <c r="W1304">
        <f>H1304/K1304</f>
        <v>1.0305495015423469</v>
      </c>
      <c r="X1304">
        <f>(H1304-I1304)/K1304</f>
        <v>0.71290495854321634</v>
      </c>
      <c r="Y1304">
        <f>(H1304-K1304)/G1304</f>
        <v>1.726430724812299E-2</v>
      </c>
      <c r="Z1304">
        <f>J1304/N1304</f>
        <v>3.5691152413640204</v>
      </c>
      <c r="AA1304">
        <f>J1304/G1304</f>
        <v>0.6905359873567708</v>
      </c>
      <c r="AB1304">
        <f>C1304/G1304</f>
        <v>0.60131650308060725</v>
      </c>
      <c r="AC1304">
        <f>C1304/(G1304-K1304)</f>
        <v>1.3827362273720274</v>
      </c>
      <c r="AD1304">
        <f>Q1304/E1304</f>
        <v>-2.2879025676439197</v>
      </c>
      <c r="AE1304">
        <f>Q1304/J1304</f>
        <v>-6.050269498522462E-2</v>
      </c>
      <c r="AF1304">
        <f>Q1304/G1304</f>
        <v>-4.1779288219367633E-2</v>
      </c>
      <c r="AG1304">
        <f>Q1304/K1304</f>
        <v>-7.3929200375792564E-2</v>
      </c>
      <c r="AH1304">
        <f>Q1304/L1304</f>
        <v>-9.9516795313794051E-2</v>
      </c>
      <c r="AI1304" s="1">
        <f>R1304</f>
        <v>5.4</v>
      </c>
      <c r="AJ1304" s="1">
        <f>P1304</f>
        <v>2140513</v>
      </c>
    </row>
    <row r="1305" spans="1:36" x14ac:dyDescent="0.25">
      <c r="A1305" t="s">
        <v>27</v>
      </c>
      <c r="B1305">
        <v>2019</v>
      </c>
      <c r="C1305" s="1">
        <v>17732587</v>
      </c>
      <c r="D1305" s="1">
        <f>915425+1017922</f>
        <v>1933347</v>
      </c>
      <c r="E1305" s="1">
        <v>513235</v>
      </c>
      <c r="G1305" s="1">
        <v>23030378</v>
      </c>
      <c r="H1305" s="1">
        <v>12812556</v>
      </c>
      <c r="I1305" s="1">
        <v>4240916</v>
      </c>
      <c r="J1305" s="1">
        <f>3989918+K1305</f>
        <v>16429517</v>
      </c>
      <c r="K1305" s="1">
        <v>12439599</v>
      </c>
      <c r="L1305" s="1">
        <f>6616860+M1305</f>
        <v>9373336</v>
      </c>
      <c r="M1305" s="1">
        <v>2756476</v>
      </c>
      <c r="N1305" s="1">
        <v>3502646</v>
      </c>
      <c r="O1305" s="1">
        <v>6600860</v>
      </c>
      <c r="P1305" s="1">
        <v>1730353</v>
      </c>
      <c r="Q1305" s="1">
        <v>-955649</v>
      </c>
      <c r="R1305" s="1">
        <v>3.7</v>
      </c>
      <c r="S1305" s="11"/>
      <c r="T1305">
        <f>E1305/G1305</f>
        <v>2.2285131403401194E-2</v>
      </c>
      <c r="U1305">
        <f>D1305/C1305</f>
        <v>0.109027915667353</v>
      </c>
      <c r="V1305">
        <f>(E1305-F1305)/O1305</f>
        <v>7.7752747369282185E-2</v>
      </c>
      <c r="W1305">
        <f>H1305/K1305</f>
        <v>1.0299814326812302</v>
      </c>
      <c r="X1305">
        <f>(H1305-I1305)/K1305</f>
        <v>0.68906079689546262</v>
      </c>
      <c r="Y1305">
        <f>(H1305-K1305)/G1305</f>
        <v>1.619413281015188E-2</v>
      </c>
      <c r="Z1305">
        <f>J1305/N1305</f>
        <v>4.6906016194614013</v>
      </c>
      <c r="AA1305">
        <f>J1305/G1305</f>
        <v>0.71338460011381488</v>
      </c>
      <c r="AB1305">
        <f>C1305/G1305</f>
        <v>0.76996508698207211</v>
      </c>
      <c r="AC1305">
        <f>C1305/(G1305-K1305)</f>
        <v>1.6743420856954905</v>
      </c>
      <c r="AD1305">
        <f>Q1305/E1305</f>
        <v>-1.8620105799487565</v>
      </c>
      <c r="AE1305">
        <f>Q1305/J1305</f>
        <v>-5.8166591263760219E-2</v>
      </c>
      <c r="AF1305">
        <f>Q1305/G1305</f>
        <v>-4.1495150448681302E-2</v>
      </c>
      <c r="AG1305">
        <f>Q1305/K1305</f>
        <v>-7.6823135536764495E-2</v>
      </c>
      <c r="AH1305">
        <f>Q1305/L1305</f>
        <v>-0.10195398948677398</v>
      </c>
      <c r="AI1305" s="1">
        <f>R1305</f>
        <v>3.7</v>
      </c>
      <c r="AJ1305" s="1">
        <f>P1305</f>
        <v>1730353</v>
      </c>
    </row>
    <row r="1306" spans="1:36" x14ac:dyDescent="0.25">
      <c r="A1306" t="s">
        <v>27</v>
      </c>
      <c r="B1306">
        <v>2020</v>
      </c>
      <c r="C1306" s="1">
        <v>19957341</v>
      </c>
      <c r="D1306" s="1">
        <f>693229+1120238</f>
        <v>1813467</v>
      </c>
      <c r="E1306" s="1">
        <v>243731</v>
      </c>
      <c r="G1306" s="1">
        <v>24726216</v>
      </c>
      <c r="H1306" s="1">
        <v>13314437</v>
      </c>
      <c r="I1306" s="1">
        <v>4094934</v>
      </c>
      <c r="J1306" s="1">
        <v>17869040</v>
      </c>
      <c r="K1306" s="1">
        <v>12866888</v>
      </c>
      <c r="L1306" s="1">
        <v>11549175</v>
      </c>
      <c r="M1306" s="1">
        <v>3074630</v>
      </c>
      <c r="N1306" s="1">
        <v>3680478</v>
      </c>
      <c r="O1306" s="1">
        <v>6857176</v>
      </c>
      <c r="P1306" s="1">
        <v>1975475</v>
      </c>
      <c r="Q1306" s="1">
        <v>-444708</v>
      </c>
      <c r="R1306" s="1">
        <v>3</v>
      </c>
      <c r="S1306" s="11"/>
      <c r="T1306">
        <f>E1306/G1306</f>
        <v>9.857189632251049E-3</v>
      </c>
      <c r="U1306">
        <f>D1306/C1306</f>
        <v>9.0867165119842372E-2</v>
      </c>
      <c r="V1306">
        <f>(E1306-F1306)/O1306</f>
        <v>3.5543932370993542E-2</v>
      </c>
      <c r="W1306">
        <f>H1306/K1306</f>
        <v>1.0347830026965339</v>
      </c>
      <c r="X1306">
        <f>(H1306-I1306)/K1306</f>
        <v>0.7165293581478287</v>
      </c>
      <c r="Y1306">
        <f>(H1306-K1306)/G1306</f>
        <v>1.810018160481976E-2</v>
      </c>
      <c r="Z1306">
        <f>J1306/N1306</f>
        <v>4.8550867577526615</v>
      </c>
      <c r="AA1306">
        <f>J1306/G1306</f>
        <v>0.72267588376644454</v>
      </c>
      <c r="AB1306">
        <f>C1306/G1306</f>
        <v>0.80713284232411464</v>
      </c>
      <c r="AC1306">
        <f>C1306/(G1306-K1306)</f>
        <v>1.6828391119631736</v>
      </c>
      <c r="AD1306">
        <f>Q1306/E1306</f>
        <v>-1.8245853010080786</v>
      </c>
      <c r="AE1306">
        <f>Q1306/J1306</f>
        <v>-2.4887067240321806E-2</v>
      </c>
      <c r="AF1306">
        <f>Q1306/G1306</f>
        <v>-1.7985283312254491E-2</v>
      </c>
      <c r="AG1306">
        <f>Q1306/K1306</f>
        <v>-3.4562203385931391E-2</v>
      </c>
      <c r="AH1306">
        <f>Q1306/L1306</f>
        <v>-3.8505607543395957E-2</v>
      </c>
      <c r="AI1306" s="1">
        <f>R1306</f>
        <v>3</v>
      </c>
      <c r="AJ1306" s="1">
        <f>P1306</f>
        <v>1975475</v>
      </c>
    </row>
    <row r="1307" spans="1:36" x14ac:dyDescent="0.25">
      <c r="A1307" t="s">
        <v>27</v>
      </c>
      <c r="B1307">
        <v>2021</v>
      </c>
      <c r="C1307" s="1">
        <v>9856162</v>
      </c>
      <c r="D1307" s="1">
        <f>-1851811+748778</f>
        <v>-1103033</v>
      </c>
      <c r="E1307" s="1">
        <v>-2283529</v>
      </c>
      <c r="G1307" s="1">
        <v>21634563</v>
      </c>
      <c r="H1307" s="1">
        <v>12268981</v>
      </c>
      <c r="I1307" s="1">
        <v>3997482</v>
      </c>
      <c r="J1307" s="1">
        <v>16824047</v>
      </c>
      <c r="K1307" s="1">
        <v>12581151</v>
      </c>
      <c r="L1307" s="1">
        <v>8243937</v>
      </c>
      <c r="M1307" s="1">
        <v>3074630</v>
      </c>
      <c r="N1307" s="1">
        <v>1987438</v>
      </c>
      <c r="O1307" s="1">
        <v>4810516</v>
      </c>
      <c r="P1307" s="1">
        <v>3110</v>
      </c>
      <c r="Q1307" s="1">
        <v>3299790</v>
      </c>
      <c r="R1307" s="1">
        <v>4.9000000000000004</v>
      </c>
      <c r="S1307" s="11"/>
      <c r="T1307">
        <f>E1307/G1307</f>
        <v>-0.1055500404607202</v>
      </c>
      <c r="U1307">
        <f>D1307/C1307</f>
        <v>-0.11191303470864217</v>
      </c>
      <c r="V1307">
        <f>(E1307-F1307)/O1307</f>
        <v>-0.47469523019983717</v>
      </c>
      <c r="W1307">
        <f>H1307/K1307</f>
        <v>0.9751874848334624</v>
      </c>
      <c r="X1307">
        <f>(H1307-I1307)/K1307</f>
        <v>0.65745169102572576</v>
      </c>
      <c r="Y1307">
        <f>(H1307-K1307)/G1307</f>
        <v>-1.4429226049077117E-2</v>
      </c>
      <c r="Z1307">
        <f>J1307/N1307</f>
        <v>8.4651933796173768</v>
      </c>
      <c r="AA1307">
        <f>J1307/G1307</f>
        <v>0.77764672205304075</v>
      </c>
      <c r="AB1307">
        <f>C1307/G1307</f>
        <v>0.45557481332070354</v>
      </c>
      <c r="AC1307">
        <f>C1307/(G1307-K1307)</f>
        <v>1.0886682280669431</v>
      </c>
      <c r="AD1307">
        <f>Q1307/E1307</f>
        <v>-1.4450396732425994</v>
      </c>
      <c r="AE1307">
        <f>Q1307/J1307</f>
        <v>0.19613532938893954</v>
      </c>
      <c r="AF1307">
        <f>Q1307/G1307</f>
        <v>0.15252399597810226</v>
      </c>
      <c r="AG1307">
        <f>Q1307/K1307</f>
        <v>0.26228045430819485</v>
      </c>
      <c r="AH1307">
        <f>Q1307/L1307</f>
        <v>0.4002687065658071</v>
      </c>
      <c r="AI1307" s="1">
        <f>R1307</f>
        <v>4.9000000000000004</v>
      </c>
      <c r="AJ1307" s="1">
        <f>P1307</f>
        <v>3110</v>
      </c>
    </row>
    <row r="1308" spans="1:36" x14ac:dyDescent="0.25">
      <c r="A1308" t="s">
        <v>27</v>
      </c>
      <c r="B1308">
        <v>2022</v>
      </c>
      <c r="C1308" s="1">
        <v>14013564</v>
      </c>
      <c r="D1308" s="1">
        <f>884472+459924</f>
        <v>1344396</v>
      </c>
      <c r="E1308" s="1">
        <v>1946479</v>
      </c>
      <c r="G1308" s="1">
        <v>21163411</v>
      </c>
      <c r="H1308" s="1">
        <v>13726198</v>
      </c>
      <c r="I1308" s="1">
        <v>2904385</v>
      </c>
      <c r="J1308" s="1">
        <v>13935062</v>
      </c>
      <c r="K1308" s="1">
        <v>11417668</v>
      </c>
      <c r="L1308" s="1">
        <v>5763861</v>
      </c>
      <c r="M1308" s="1">
        <v>1483019</v>
      </c>
      <c r="N1308" s="1">
        <v>3814801</v>
      </c>
      <c r="O1308" s="1">
        <v>7228349</v>
      </c>
      <c r="P1308" s="1">
        <v>1779038</v>
      </c>
      <c r="Q1308" s="1">
        <v>-442713</v>
      </c>
      <c r="R1308" s="1">
        <v>6.8</v>
      </c>
      <c r="S1308" s="11"/>
      <c r="T1308">
        <f>E1308/G1308</f>
        <v>9.197378437719704E-2</v>
      </c>
      <c r="U1308">
        <f>D1308/C1308</f>
        <v>9.5935338076737653E-2</v>
      </c>
      <c r="V1308">
        <f>(E1308-F1308)/O1308</f>
        <v>0.26928403706019177</v>
      </c>
      <c r="W1308">
        <f>H1308/K1308</f>
        <v>1.2021892736765512</v>
      </c>
      <c r="X1308">
        <f>(H1308-I1308)/K1308</f>
        <v>0.94781289839571448</v>
      </c>
      <c r="Y1308">
        <f>(H1308-K1308)/G1308</f>
        <v>0.10908118733790124</v>
      </c>
      <c r="Z1308">
        <f>J1308/N1308</f>
        <v>3.6528935585368671</v>
      </c>
      <c r="AA1308">
        <f>J1308/G1308</f>
        <v>0.65845066279722109</v>
      </c>
      <c r="AB1308">
        <f>C1308/G1308</f>
        <v>0.66215998923802977</v>
      </c>
      <c r="AC1308">
        <f>C1308/(G1308-K1308)</f>
        <v>1.4379164318205395</v>
      </c>
      <c r="AD1308">
        <f>Q1308/E1308</f>
        <v>-0.22744298808258398</v>
      </c>
      <c r="AE1308">
        <f>Q1308/J1308</f>
        <v>-3.1769718713845693E-2</v>
      </c>
      <c r="AF1308">
        <f>Q1308/G1308</f>
        <v>-2.0918792344012976E-2</v>
      </c>
      <c r="AG1308">
        <f>Q1308/K1308</f>
        <v>-3.8774380197427356E-2</v>
      </c>
      <c r="AH1308">
        <f>Q1308/L1308</f>
        <v>-7.6808410195873908E-2</v>
      </c>
      <c r="AI1308" s="1">
        <f>R1308</f>
        <v>6.8</v>
      </c>
      <c r="AJ1308" s="1">
        <f>P1308</f>
        <v>1779038</v>
      </c>
    </row>
    <row r="1309" spans="1:36" x14ac:dyDescent="0.25">
      <c r="A1309" t="s">
        <v>27</v>
      </c>
      <c r="B1309">
        <v>2023</v>
      </c>
      <c r="C1309" s="1">
        <v>20658634</v>
      </c>
      <c r="D1309" s="1">
        <f>1431828+1788701</f>
        <v>3220529</v>
      </c>
      <c r="E1309" s="1">
        <v>841050</v>
      </c>
      <c r="G1309" s="1">
        <v>25393037</v>
      </c>
      <c r="H1309" s="1">
        <v>16907679</v>
      </c>
      <c r="I1309" s="1">
        <v>3222233</v>
      </c>
      <c r="J1309" s="1">
        <v>17353484</v>
      </c>
      <c r="K1309" s="1">
        <v>14333899</v>
      </c>
      <c r="L1309" s="1">
        <v>7881378</v>
      </c>
      <c r="M1309" s="1">
        <v>1284090</v>
      </c>
      <c r="N1309" s="1">
        <v>3634746</v>
      </c>
      <c r="O1309" s="1">
        <v>8039552</v>
      </c>
      <c r="P1309" s="1">
        <v>1582596</v>
      </c>
      <c r="Q1309" s="1">
        <v>45711</v>
      </c>
      <c r="R1309" s="1">
        <v>8.9</v>
      </c>
      <c r="S1309" s="11"/>
      <c r="T1309">
        <f>E1309/G1309</f>
        <v>3.3121284389890031E-2</v>
      </c>
      <c r="U1309">
        <f>D1309/C1309</f>
        <v>0.15589264033623906</v>
      </c>
      <c r="V1309">
        <f>(E1309-F1309)/O1309</f>
        <v>0.10461403819516311</v>
      </c>
      <c r="W1309">
        <f>H1309/K1309</f>
        <v>1.1795589601963847</v>
      </c>
      <c r="X1309">
        <f>(H1309-I1309)/K1309</f>
        <v>0.95476087839045054</v>
      </c>
      <c r="Y1309">
        <f>(H1309-K1309)/G1309</f>
        <v>0.10135770683908349</v>
      </c>
      <c r="Z1309">
        <f>J1309/N1309</f>
        <v>4.7743319615731057</v>
      </c>
      <c r="AA1309">
        <f>J1309/G1309</f>
        <v>0.68339537330646982</v>
      </c>
      <c r="AB1309">
        <f>C1309/G1309</f>
        <v>0.81355507023441109</v>
      </c>
      <c r="AC1309">
        <f>C1309/(G1309-K1309)</f>
        <v>1.8680148488969033</v>
      </c>
      <c r="AD1309">
        <f>Q1309/E1309</f>
        <v>5.4349919743178168E-2</v>
      </c>
      <c r="AE1309">
        <f>Q1309/J1309</f>
        <v>2.6341108217808021E-3</v>
      </c>
      <c r="AF1309">
        <f>Q1309/G1309</f>
        <v>1.8001391483815031E-3</v>
      </c>
      <c r="AG1309">
        <f>Q1309/K1309</f>
        <v>3.1890136800880207E-3</v>
      </c>
      <c r="AH1309">
        <f>Q1309/L1309</f>
        <v>5.7998740829332132E-3</v>
      </c>
      <c r="AI1309" s="1">
        <f>R1309</f>
        <v>8.9</v>
      </c>
      <c r="AJ1309" s="1">
        <f>P1309</f>
        <v>1582596</v>
      </c>
    </row>
    <row r="1310" spans="1:36" x14ac:dyDescent="0.25">
      <c r="A1310" s="15" t="s">
        <v>27</v>
      </c>
      <c r="B1310" s="15">
        <v>2024</v>
      </c>
      <c r="C1310" s="6">
        <v>16969836</v>
      </c>
      <c r="D1310" s="6">
        <f>3064604+1079379</f>
        <v>4143983</v>
      </c>
      <c r="E1310" s="6">
        <v>2366964</v>
      </c>
      <c r="F1310" s="6"/>
      <c r="G1310" s="6">
        <v>21629664</v>
      </c>
      <c r="H1310" s="6">
        <v>17025462</v>
      </c>
      <c r="I1310" s="6">
        <v>1415693</v>
      </c>
      <c r="J1310" s="6">
        <v>12247096</v>
      </c>
      <c r="K1310" s="6">
        <v>10968125</v>
      </c>
      <c r="L1310" s="6">
        <v>5843364</v>
      </c>
      <c r="M1310" s="6">
        <v>597519</v>
      </c>
      <c r="N1310" s="6">
        <v>5325513</v>
      </c>
      <c r="O1310" s="6">
        <v>9382568</v>
      </c>
      <c r="P1310" s="6">
        <v>4081392</v>
      </c>
      <c r="Q1310" s="6">
        <v>187077</v>
      </c>
      <c r="R1310" s="6">
        <v>7.3</v>
      </c>
      <c r="S1310" s="15"/>
      <c r="T1310" s="15">
        <f>E1310/G1310</f>
        <v>0.10943138090355911</v>
      </c>
      <c r="U1310" s="15">
        <f>D1310/C1310</f>
        <v>0.24419699754317012</v>
      </c>
      <c r="V1310" s="15">
        <f>(E1310-F1310)/O1310</f>
        <v>0.25227251217363944</v>
      </c>
      <c r="W1310" s="15">
        <f>H1310/K1310</f>
        <v>1.5522673200752179</v>
      </c>
      <c r="X1310" s="15">
        <f>(H1310-I1310)/K1310</f>
        <v>1.4231939369764659</v>
      </c>
      <c r="Y1310" s="15">
        <f>(H1310-K1310)/G1310</f>
        <v>0.28004766971877143</v>
      </c>
      <c r="Z1310" s="15">
        <f>J1310/N1310</f>
        <v>2.2997025826432118</v>
      </c>
      <c r="AA1310" s="15">
        <f>J1310/G1310</f>
        <v>0.5662175797090514</v>
      </c>
      <c r="AB1310" s="15">
        <f>C1310/G1310</f>
        <v>0.78456308891344773</v>
      </c>
      <c r="AC1310" s="15">
        <f>C1310/(G1310-K1310)</f>
        <v>1.591687278919113</v>
      </c>
      <c r="AD1310" s="15">
        <f>Q1310/E1310</f>
        <v>7.9036690038378279E-2</v>
      </c>
      <c r="AE1310" s="15">
        <f>Q1310/J1310</f>
        <v>1.5275212997432208E-2</v>
      </c>
      <c r="AF1310" s="15">
        <f>Q1310/G1310</f>
        <v>8.6490941329463097E-3</v>
      </c>
      <c r="AG1310" s="15">
        <f>Q1310/K1310</f>
        <v>1.7056424867513818E-2</v>
      </c>
      <c r="AH1310" s="15">
        <f>Q1310/L1310</f>
        <v>3.2015291191854554E-2</v>
      </c>
      <c r="AI1310" s="6">
        <f>R1310</f>
        <v>7.3</v>
      </c>
      <c r="AJ1310" s="6">
        <f>P1310</f>
        <v>4081392</v>
      </c>
    </row>
    <row r="1311" spans="1:36" x14ac:dyDescent="0.25">
      <c r="A1311" t="s">
        <v>200</v>
      </c>
      <c r="B1311">
        <v>2018</v>
      </c>
      <c r="C1311" s="1">
        <v>310605</v>
      </c>
      <c r="D1311" s="1">
        <v>-17756</v>
      </c>
      <c r="E1311" s="1">
        <v>-49920</v>
      </c>
      <c r="G1311" s="1">
        <v>561339</v>
      </c>
      <c r="H1311" s="1">
        <v>57426</v>
      </c>
      <c r="I1311" s="1">
        <v>1802</v>
      </c>
      <c r="J1311" s="1">
        <v>379274</v>
      </c>
      <c r="K1311" s="1">
        <v>240335</v>
      </c>
      <c r="L1311" s="1">
        <v>178427</v>
      </c>
      <c r="M1311" s="1">
        <v>118151</v>
      </c>
      <c r="N1311" s="1">
        <v>182065</v>
      </c>
      <c r="O1311" s="1">
        <v>182065</v>
      </c>
      <c r="P1311" s="1">
        <v>-274503</v>
      </c>
      <c r="Q1311" s="1">
        <v>-19691</v>
      </c>
      <c r="R1311" s="1">
        <v>1.3</v>
      </c>
      <c r="T1311">
        <f>E1311/G1311</f>
        <v>-8.8930218637935363E-2</v>
      </c>
      <c r="U1311">
        <f>D1311/C1311</f>
        <v>-5.7165853737061539E-2</v>
      </c>
      <c r="V1311">
        <f>(E1311-F1311)/O1311</f>
        <v>-0.27418779007497324</v>
      </c>
      <c r="W1311">
        <f>H1311/K1311</f>
        <v>0.23894147752096032</v>
      </c>
      <c r="X1311">
        <f>(H1311-I1311)/K1311</f>
        <v>0.23144360996109598</v>
      </c>
      <c r="Y1311">
        <f>(H1311-K1311)/G1311</f>
        <v>-0.32584409777335976</v>
      </c>
      <c r="Z1311">
        <f>J1311/N1311</f>
        <v>2.0831790843929365</v>
      </c>
      <c r="AA1311">
        <f>J1311/G1311</f>
        <v>0.67565944999367589</v>
      </c>
      <c r="AB1311">
        <f>C1311/G1311</f>
        <v>0.55332873718020659</v>
      </c>
      <c r="AC1311">
        <f>C1311/(G1311-K1311)</f>
        <v>0.96760476504965676</v>
      </c>
      <c r="AD1311">
        <f>Q1311/E1311</f>
        <v>0.3944511217948718</v>
      </c>
      <c r="AE1311">
        <f>Q1311/J1311</f>
        <v>-5.1917611014728138E-2</v>
      </c>
      <c r="AF1311">
        <f>Q1311/G1311</f>
        <v>-3.507862450319682E-2</v>
      </c>
      <c r="AG1311">
        <f>Q1311/K1311</f>
        <v>-8.1931470655543306E-2</v>
      </c>
      <c r="AH1311">
        <f>Q1311/L1311</f>
        <v>-0.11035885824454819</v>
      </c>
      <c r="AI1311" s="1">
        <f>R1311</f>
        <v>1.3</v>
      </c>
      <c r="AJ1311" s="1">
        <f>P1311</f>
        <v>-274503</v>
      </c>
    </row>
    <row r="1312" spans="1:36" x14ac:dyDescent="0.25">
      <c r="A1312" t="s">
        <v>200</v>
      </c>
      <c r="B1312">
        <v>2019</v>
      </c>
      <c r="C1312" s="1">
        <v>189524</v>
      </c>
      <c r="D1312" s="1">
        <v>-36810</v>
      </c>
      <c r="E1312" s="1">
        <v>-74771</v>
      </c>
      <c r="G1312" s="1">
        <v>565560</v>
      </c>
      <c r="H1312" s="1">
        <v>83986</v>
      </c>
      <c r="I1312" s="1">
        <v>1802</v>
      </c>
      <c r="J1312" s="1">
        <v>414365</v>
      </c>
      <c r="K1312" s="1">
        <v>181327</v>
      </c>
      <c r="L1312" s="1">
        <v>262067</v>
      </c>
      <c r="M1312" s="1">
        <v>209536</v>
      </c>
      <c r="N1312" s="1">
        <v>151195</v>
      </c>
      <c r="O1312" s="1">
        <v>151195</v>
      </c>
      <c r="P1312" s="1">
        <v>-345415</v>
      </c>
      <c r="Q1312" s="1">
        <v>-61619</v>
      </c>
      <c r="R1312" s="1">
        <v>1.3</v>
      </c>
      <c r="T1312">
        <f>E1312/G1312</f>
        <v>-0.13220701605488366</v>
      </c>
      <c r="U1312">
        <f>D1312/C1312</f>
        <v>-0.19422342289103228</v>
      </c>
      <c r="V1312">
        <f>(E1312-F1312)/O1312</f>
        <v>-0.49453354938986077</v>
      </c>
      <c r="W1312">
        <f>H1312/K1312</f>
        <v>0.46317426527764755</v>
      </c>
      <c r="X1312">
        <f>(H1312-I1312)/K1312</f>
        <v>0.45323641818372334</v>
      </c>
      <c r="Y1312">
        <f>(H1312-K1312)/G1312</f>
        <v>-0.17211436452365797</v>
      </c>
      <c r="Z1312">
        <f>J1312/N1312</f>
        <v>2.7405998875624196</v>
      </c>
      <c r="AA1312">
        <f>J1312/G1312</f>
        <v>0.73266320107504068</v>
      </c>
      <c r="AB1312">
        <f>C1312/G1312</f>
        <v>0.3351085649621614</v>
      </c>
      <c r="AC1312">
        <f>C1312/(G1312-K1312)</f>
        <v>0.49325279192573257</v>
      </c>
      <c r="AD1312">
        <f>Q1312/E1312</f>
        <v>0.82410292760562254</v>
      </c>
      <c r="AE1312">
        <f>Q1312/J1312</f>
        <v>-0.14870705778721657</v>
      </c>
      <c r="AF1312">
        <f>Q1312/G1312</f>
        <v>-0.10895218898083316</v>
      </c>
      <c r="AG1312">
        <f>Q1312/K1312</f>
        <v>-0.33982253056632494</v>
      </c>
      <c r="AH1312">
        <f>Q1312/L1312</f>
        <v>-0.23512689503066009</v>
      </c>
      <c r="AI1312" s="1">
        <f>R1312</f>
        <v>1.3</v>
      </c>
      <c r="AJ1312" s="1">
        <f>P1312</f>
        <v>-345415</v>
      </c>
    </row>
    <row r="1313" spans="1:36" x14ac:dyDescent="0.25">
      <c r="A1313" t="s">
        <v>200</v>
      </c>
      <c r="B1313">
        <v>2020</v>
      </c>
      <c r="C1313" s="1">
        <v>6252</v>
      </c>
      <c r="D1313" s="1">
        <v>-51606</v>
      </c>
      <c r="E1313" s="1">
        <v>-61391</v>
      </c>
      <c r="G1313" s="1">
        <v>535412</v>
      </c>
      <c r="H1313" s="1">
        <v>48833</v>
      </c>
      <c r="I1313" s="1">
        <v>1802</v>
      </c>
      <c r="J1313" s="1">
        <v>422362</v>
      </c>
      <c r="K1313" s="1">
        <v>245064</v>
      </c>
      <c r="L1313" s="1">
        <v>275717</v>
      </c>
      <c r="M1313" s="1">
        <v>148714</v>
      </c>
      <c r="N1313" s="1">
        <v>113050</v>
      </c>
      <c r="O1313" s="1">
        <v>113050</v>
      </c>
      <c r="P1313" s="1">
        <v>-345861</v>
      </c>
      <c r="Q1313" s="1">
        <v>310533</v>
      </c>
      <c r="R1313" s="1">
        <v>0.4</v>
      </c>
      <c r="T1313">
        <f>E1313/G1313</f>
        <v>-0.11466123284498667</v>
      </c>
      <c r="U1313">
        <f>D1313/C1313</f>
        <v>-8.2543186180422268</v>
      </c>
      <c r="V1313">
        <f>(E1313-F1313)/O1313</f>
        <v>-0.54304290137107469</v>
      </c>
      <c r="W1313">
        <f>H1313/K1313</f>
        <v>0.199266314105703</v>
      </c>
      <c r="X1313">
        <f>(H1313-I1313)/K1313</f>
        <v>0.19191313289589659</v>
      </c>
      <c r="Y1313">
        <f>(H1313-K1313)/G1313</f>
        <v>-0.36650467303683892</v>
      </c>
      <c r="Z1313">
        <f>J1313/N1313</f>
        <v>3.7360636886333483</v>
      </c>
      <c r="AA1313">
        <f>J1313/G1313</f>
        <v>0.78885419079139052</v>
      </c>
      <c r="AB1313">
        <f>C1313/G1313</f>
        <v>1.1676988935623408E-2</v>
      </c>
      <c r="AC1313">
        <f>C1313/(G1313-K1313)</f>
        <v>2.1532781352032734E-2</v>
      </c>
      <c r="AD1313">
        <f>Q1313/E1313</f>
        <v>-5.0582821586225997</v>
      </c>
      <c r="AE1313">
        <f>Q1313/J1313</f>
        <v>0.7352294950776822</v>
      </c>
      <c r="AF1313">
        <f>Q1313/G1313</f>
        <v>0.57998886838546759</v>
      </c>
      <c r="AG1313">
        <f>Q1313/K1313</f>
        <v>1.2671506218783664</v>
      </c>
      <c r="AH1313">
        <f>Q1313/L1313</f>
        <v>1.1262744045524939</v>
      </c>
      <c r="AI1313" s="1">
        <f>R1313</f>
        <v>0.4</v>
      </c>
      <c r="AJ1313" s="1">
        <f>P1313</f>
        <v>-345861</v>
      </c>
    </row>
    <row r="1314" spans="1:36" x14ac:dyDescent="0.25">
      <c r="A1314" t="s">
        <v>200</v>
      </c>
      <c r="B1314">
        <v>2021</v>
      </c>
      <c r="C1314" s="1">
        <v>4991</v>
      </c>
      <c r="D1314" s="1">
        <v>-38030</v>
      </c>
      <c r="E1314" s="1">
        <v>-40914</v>
      </c>
      <c r="G1314" s="1">
        <v>523820</v>
      </c>
      <c r="H1314" s="1">
        <v>35640</v>
      </c>
      <c r="I1314" s="1">
        <v>12615</v>
      </c>
      <c r="J1314" s="1">
        <v>452963</v>
      </c>
      <c r="K1314" s="1">
        <v>356365</v>
      </c>
      <c r="L1314" s="1">
        <v>89673</v>
      </c>
      <c r="M1314" s="1">
        <v>67414</v>
      </c>
      <c r="N1314" s="1">
        <v>70857</v>
      </c>
      <c r="O1314" s="1">
        <v>70857</v>
      </c>
      <c r="P1314" s="1">
        <v>-386776</v>
      </c>
      <c r="Q1314" s="1">
        <v>2207</v>
      </c>
      <c r="R1314" s="1">
        <v>0.4</v>
      </c>
      <c r="T1314">
        <f>E1314/G1314</f>
        <v>-7.8106983314879155E-2</v>
      </c>
      <c r="U1314">
        <f>D1314/C1314</f>
        <v>-7.6197154878781808</v>
      </c>
      <c r="V1314">
        <f>(E1314-F1314)/O1314</f>
        <v>-0.5774164867267878</v>
      </c>
      <c r="W1314">
        <f>H1314/K1314</f>
        <v>0.10000982139098957</v>
      </c>
      <c r="X1314">
        <f>(H1314-I1314)/K1314</f>
        <v>6.461072215284891E-2</v>
      </c>
      <c r="Y1314">
        <f>(H1314-K1314)/G1314</f>
        <v>-0.61228093619945778</v>
      </c>
      <c r="Z1314">
        <f>J1314/N1314</f>
        <v>6.3926358722497421</v>
      </c>
      <c r="AA1314">
        <f>J1314/G1314</f>
        <v>0.86473025084952848</v>
      </c>
      <c r="AB1314">
        <f>C1314/G1314</f>
        <v>9.5280821656294149E-3</v>
      </c>
      <c r="AC1314">
        <f>C1314/(G1314-K1314)</f>
        <v>2.9805022244782181E-2</v>
      </c>
      <c r="AD1314">
        <f>Q1314/E1314</f>
        <v>-5.3942415798993011E-2</v>
      </c>
      <c r="AE1314">
        <f>Q1314/J1314</f>
        <v>4.8723626433064071E-3</v>
      </c>
      <c r="AF1314">
        <f>Q1314/G1314</f>
        <v>4.2132793707762208E-3</v>
      </c>
      <c r="AG1314">
        <f>Q1314/K1314</f>
        <v>6.1930885468550502E-3</v>
      </c>
      <c r="AH1314">
        <f>Q1314/L1314</f>
        <v>2.4611644530683707E-2</v>
      </c>
      <c r="AI1314" s="1">
        <f>R1314</f>
        <v>0.4</v>
      </c>
      <c r="AJ1314" s="1">
        <f>P1314</f>
        <v>-386776</v>
      </c>
    </row>
    <row r="1315" spans="1:36" x14ac:dyDescent="0.25">
      <c r="A1315" t="s">
        <v>200</v>
      </c>
      <c r="B1315">
        <v>2022</v>
      </c>
      <c r="C1315" s="1">
        <v>2484</v>
      </c>
      <c r="D1315" s="1">
        <v>15073</v>
      </c>
      <c r="E1315" s="1">
        <v>6821</v>
      </c>
      <c r="G1315" s="1">
        <v>517169</v>
      </c>
      <c r="H1315" s="1">
        <v>32862</v>
      </c>
      <c r="I1315" s="1">
        <v>13154</v>
      </c>
      <c r="J1315" s="1">
        <v>441936</v>
      </c>
      <c r="K1315" s="1">
        <v>408254</v>
      </c>
      <c r="L1315" s="1">
        <v>293746</v>
      </c>
      <c r="M1315" s="1">
        <v>0</v>
      </c>
      <c r="N1315" s="1">
        <v>75233</v>
      </c>
      <c r="O1315" s="1">
        <v>75233</v>
      </c>
      <c r="P1315" s="1">
        <v>-382430</v>
      </c>
      <c r="Q1315" s="1">
        <v>39261</v>
      </c>
      <c r="R1315" s="1">
        <v>0.47</v>
      </c>
      <c r="T1315">
        <f>E1315/G1315</f>
        <v>1.3189112263109351E-2</v>
      </c>
      <c r="U1315">
        <f>D1315/C1315</f>
        <v>6.068035426731079</v>
      </c>
      <c r="V1315">
        <f>(E1315-F1315)/O1315</f>
        <v>9.0665000731062165E-2</v>
      </c>
      <c r="W1315">
        <f>H1315/K1315</f>
        <v>8.0494006182425651E-2</v>
      </c>
      <c r="X1315">
        <f>(H1315-I1315)/K1315</f>
        <v>4.8273868718983773E-2</v>
      </c>
      <c r="Y1315">
        <f>(H1315-K1315)/G1315</f>
        <v>-0.72585943859744106</v>
      </c>
      <c r="Z1315">
        <f>J1315/N1315</f>
        <v>5.8742307232198634</v>
      </c>
      <c r="AA1315">
        <f>J1315/G1315</f>
        <v>0.85452917711618448</v>
      </c>
      <c r="AB1315">
        <f>C1315/G1315</f>
        <v>4.8030721098905778E-3</v>
      </c>
      <c r="AC1315">
        <f>C1315/(G1315-K1315)</f>
        <v>2.2806775926180967E-2</v>
      </c>
      <c r="AD1315">
        <f>Q1315/E1315</f>
        <v>5.7559008942970236</v>
      </c>
      <c r="AE1315">
        <f>Q1315/J1315</f>
        <v>8.8838655370913441E-2</v>
      </c>
      <c r="AF1315">
        <f>Q1315/G1315</f>
        <v>7.5915223070214963E-2</v>
      </c>
      <c r="AG1315">
        <f>Q1315/K1315</f>
        <v>9.61680718376305E-2</v>
      </c>
      <c r="AH1315">
        <f>Q1315/L1315</f>
        <v>0.13365628808562499</v>
      </c>
      <c r="AI1315" s="1">
        <f>R1315</f>
        <v>0.47</v>
      </c>
      <c r="AJ1315" s="1">
        <f>P1315</f>
        <v>-382430</v>
      </c>
    </row>
    <row r="1316" spans="1:36" x14ac:dyDescent="0.25">
      <c r="A1316" t="s">
        <v>200</v>
      </c>
      <c r="B1316">
        <v>2023</v>
      </c>
      <c r="C1316" s="1">
        <v>21176</v>
      </c>
      <c r="D1316" s="1">
        <v>-4911</v>
      </c>
      <c r="E1316" s="1">
        <v>-6913</v>
      </c>
      <c r="G1316" s="1">
        <v>554563</v>
      </c>
      <c r="H1316" s="1">
        <v>84918</v>
      </c>
      <c r="I1316" s="1">
        <v>0</v>
      </c>
      <c r="J1316" s="1">
        <v>406732</v>
      </c>
      <c r="K1316" s="1">
        <v>364656</v>
      </c>
      <c r="L1316" s="1">
        <v>32883</v>
      </c>
      <c r="M1316" s="1">
        <v>0</v>
      </c>
      <c r="N1316" s="1">
        <v>147831</v>
      </c>
      <c r="O1316" s="1">
        <v>147831</v>
      </c>
      <c r="P1316" s="1">
        <v>-394143</v>
      </c>
      <c r="Q1316" s="1">
        <v>2710</v>
      </c>
      <c r="R1316" s="1">
        <v>0.47</v>
      </c>
      <c r="T1316">
        <f>E1316/G1316</f>
        <v>-1.2465671168108943E-2</v>
      </c>
      <c r="U1316">
        <f>D1316/C1316</f>
        <v>-0.23191348696637704</v>
      </c>
      <c r="V1316">
        <f>(E1316-F1316)/O1316</f>
        <v>-4.6762857587380184E-2</v>
      </c>
      <c r="W1316">
        <f>H1316/K1316</f>
        <v>0.23287152823482954</v>
      </c>
      <c r="X1316">
        <f>(H1316-I1316)/K1316</f>
        <v>0.23287152823482954</v>
      </c>
      <c r="Y1316">
        <f>(H1316-K1316)/G1316</f>
        <v>-0.50442961394828001</v>
      </c>
      <c r="Z1316">
        <f>J1316/N1316</f>
        <v>2.7513309116491129</v>
      </c>
      <c r="AA1316">
        <f>J1316/G1316</f>
        <v>0.73342794236182363</v>
      </c>
      <c r="AB1316">
        <f>C1316/G1316</f>
        <v>3.8185021359160277E-2</v>
      </c>
      <c r="AC1316">
        <f>C1316/(G1316-K1316)</f>
        <v>0.11150721142453938</v>
      </c>
      <c r="AD1316">
        <f>Q1316/E1316</f>
        <v>-0.39201504411977434</v>
      </c>
      <c r="AE1316">
        <f>Q1316/J1316</f>
        <v>6.6628639988985374E-3</v>
      </c>
      <c r="AF1316">
        <f>Q1316/G1316</f>
        <v>4.8867306329488268E-3</v>
      </c>
      <c r="AG1316">
        <f>Q1316/K1316</f>
        <v>7.4316616208152343E-3</v>
      </c>
      <c r="AH1316">
        <f>Q1316/L1316</f>
        <v>8.2413405102940734E-2</v>
      </c>
      <c r="AI1316" s="1">
        <f>R1316</f>
        <v>0.47</v>
      </c>
      <c r="AJ1316" s="1">
        <f>P1316</f>
        <v>-394143</v>
      </c>
    </row>
    <row r="1317" spans="1:36" x14ac:dyDescent="0.25">
      <c r="A1317" t="s">
        <v>200</v>
      </c>
      <c r="B1317">
        <v>2024</v>
      </c>
      <c r="C1317" s="1">
        <v>10761</v>
      </c>
      <c r="D1317" s="1">
        <v>-22079</v>
      </c>
      <c r="E1317" s="1">
        <v>-21615</v>
      </c>
      <c r="G1317" s="1">
        <v>691487</v>
      </c>
      <c r="H1317" s="1">
        <v>114632</v>
      </c>
      <c r="I1317" s="1">
        <v>32578</v>
      </c>
      <c r="J1317" s="1">
        <v>396259</v>
      </c>
      <c r="K1317" s="1">
        <v>347446</v>
      </c>
      <c r="L1317" s="1">
        <v>32883</v>
      </c>
      <c r="M1317" s="1">
        <v>0</v>
      </c>
      <c r="N1317" s="1">
        <v>295228</v>
      </c>
      <c r="O1317" s="1">
        <v>295228</v>
      </c>
      <c r="P1317" s="1">
        <v>-423452</v>
      </c>
      <c r="Q1317" s="1">
        <v>-86099</v>
      </c>
      <c r="R1317" s="1">
        <v>0.47</v>
      </c>
      <c r="T1317">
        <f>E1317/G1317</f>
        <v>-3.1258722145174098E-2</v>
      </c>
      <c r="U1317">
        <f>D1317/C1317</f>
        <v>-2.0517609887556918</v>
      </c>
      <c r="V1317">
        <f>(E1317-F1317)/O1317</f>
        <v>-7.3214600241169533E-2</v>
      </c>
      <c r="W1317">
        <f>H1317/K1317</f>
        <v>0.32992752830655697</v>
      </c>
      <c r="X1317">
        <f>(H1317-I1317)/K1317</f>
        <v>0.23616331746516006</v>
      </c>
      <c r="Y1317">
        <f>(H1317-K1317)/G1317</f>
        <v>-0.33668601145068527</v>
      </c>
      <c r="Z1317">
        <f>J1317/N1317</f>
        <v>1.342213475686588</v>
      </c>
      <c r="AA1317">
        <f>J1317/G1317</f>
        <v>0.57305343412095966</v>
      </c>
      <c r="AB1317">
        <f>C1317/G1317</f>
        <v>1.556211468906863E-2</v>
      </c>
      <c r="AC1317">
        <f>C1317/(G1317-K1317)</f>
        <v>3.1278248813368173E-2</v>
      </c>
      <c r="AD1317">
        <f>Q1317/E1317</f>
        <v>3.9832986352070323</v>
      </c>
      <c r="AE1317">
        <f>Q1317/J1317</f>
        <v>-0.21727960752941888</v>
      </c>
      <c r="AF1317">
        <f>Q1317/G1317</f>
        <v>-0.1245128252591878</v>
      </c>
      <c r="AG1317">
        <f>Q1317/K1317</f>
        <v>-0.24780541436654904</v>
      </c>
      <c r="AH1317">
        <f>Q1317/L1317</f>
        <v>-2.6183438250767872</v>
      </c>
      <c r="AI1317" s="1">
        <f>R1317</f>
        <v>0.47</v>
      </c>
      <c r="AJ1317" s="1">
        <f>P1317</f>
        <v>-423452</v>
      </c>
    </row>
    <row r="1318" spans="1:36" x14ac:dyDescent="0.25">
      <c r="A1318" s="15" t="s">
        <v>132</v>
      </c>
      <c r="B1318" s="15">
        <v>2018</v>
      </c>
      <c r="C1318" s="6">
        <v>6126307</v>
      </c>
      <c r="D1318" s="6">
        <v>1098833</v>
      </c>
      <c r="E1318" s="6">
        <v>1003997</v>
      </c>
      <c r="F1318" s="6"/>
      <c r="G1318" s="6">
        <v>8756292</v>
      </c>
      <c r="H1318" s="6">
        <v>3732385</v>
      </c>
      <c r="I1318" s="6">
        <v>1945726</v>
      </c>
      <c r="J1318" s="6">
        <v>1831145</v>
      </c>
      <c r="K1318" s="6">
        <v>1023155</v>
      </c>
      <c r="L1318" s="6">
        <v>201402</v>
      </c>
      <c r="M1318" s="6">
        <v>7374</v>
      </c>
      <c r="N1318" s="6">
        <v>6919774</v>
      </c>
      <c r="O1318" s="6">
        <v>6925147</v>
      </c>
      <c r="P1318" s="6">
        <v>4828272</v>
      </c>
      <c r="Q1318" s="6">
        <v>416184</v>
      </c>
      <c r="R1318" s="6">
        <v>99.7</v>
      </c>
      <c r="S1318" s="15"/>
      <c r="T1318" s="15">
        <f>E1318/G1318</f>
        <v>0.114660063871785</v>
      </c>
      <c r="U1318" s="15">
        <f>D1318/C1318</f>
        <v>0.17936303224764935</v>
      </c>
      <c r="V1318" s="15">
        <f>(E1318-F1318)/O1318</f>
        <v>0.14497843872483862</v>
      </c>
      <c r="W1318" s="15">
        <f>H1318/K1318</f>
        <v>3.6479174709599231</v>
      </c>
      <c r="X1318" s="15">
        <f>(H1318-I1318)/K1318</f>
        <v>1.7462251565012143</v>
      </c>
      <c r="Y1318" s="15">
        <f>(H1318-K1318)/G1318</f>
        <v>0.30940379786329647</v>
      </c>
      <c r="Z1318" s="15">
        <f>J1318/N1318</f>
        <v>0.26462497185601724</v>
      </c>
      <c r="AA1318" s="15">
        <f>J1318/G1318</f>
        <v>0.20912333668178265</v>
      </c>
      <c r="AB1318" s="15">
        <f>C1318/G1318</f>
        <v>0.69964626579378575</v>
      </c>
      <c r="AC1318" s="15">
        <f>C1318/(G1318-K1318)</f>
        <v>0.79221498338901797</v>
      </c>
      <c r="AD1318" s="15">
        <f>Q1318/E1318</f>
        <v>0.41452713504124017</v>
      </c>
      <c r="AE1318" s="15">
        <f>Q1318/J1318</f>
        <v>0.22728074510756932</v>
      </c>
      <c r="AF1318" s="15">
        <f>Q1318/G1318</f>
        <v>4.7529707780416645E-2</v>
      </c>
      <c r="AG1318" s="15">
        <f>Q1318/K1318</f>
        <v>0.40676534835875305</v>
      </c>
      <c r="AH1318" s="15">
        <f>Q1318/L1318</f>
        <v>2.0664342955879285</v>
      </c>
      <c r="AI1318" s="6">
        <f>R1318</f>
        <v>99.7</v>
      </c>
      <c r="AJ1318" s="6">
        <f>P1318</f>
        <v>4828272</v>
      </c>
    </row>
    <row r="1319" spans="1:36" x14ac:dyDescent="0.25">
      <c r="A1319" t="s">
        <v>132</v>
      </c>
      <c r="B1319">
        <v>2019</v>
      </c>
      <c r="C1319" s="1">
        <v>7008992</v>
      </c>
      <c r="D1319" s="1">
        <v>751879</v>
      </c>
      <c r="E1319" s="1">
        <v>528012</v>
      </c>
      <c r="G1319" s="1">
        <v>11906947</v>
      </c>
      <c r="H1319" s="1">
        <v>4845074</v>
      </c>
      <c r="I1319" s="1">
        <v>3019769</v>
      </c>
      <c r="J1319" s="1">
        <v>4609707</v>
      </c>
      <c r="K1319" s="1">
        <v>2322732</v>
      </c>
      <c r="L1319" s="1">
        <v>2102058</v>
      </c>
      <c r="M1319" s="1">
        <v>1351169</v>
      </c>
      <c r="N1319" s="1">
        <v>7291480</v>
      </c>
      <c r="O1319" s="1">
        <v>7297240</v>
      </c>
      <c r="P1319" s="1">
        <v>5199620</v>
      </c>
      <c r="Q1319" s="1">
        <v>-62013</v>
      </c>
      <c r="R1319" s="1">
        <v>70</v>
      </c>
      <c r="T1319">
        <f>E1319/G1319</f>
        <v>4.4344868588060402E-2</v>
      </c>
      <c r="U1319">
        <f>D1319/C1319</f>
        <v>0.10727348526007734</v>
      </c>
      <c r="V1319">
        <f>(E1319-F1319)/O1319</f>
        <v>7.2357768142475784E-2</v>
      </c>
      <c r="W1319">
        <f>H1319/K1319</f>
        <v>2.0859375941778904</v>
      </c>
      <c r="X1319">
        <f>(H1319-I1319)/K1319</f>
        <v>0.78584399749949629</v>
      </c>
      <c r="Y1319">
        <f>(H1319-K1319)/G1319</f>
        <v>0.21183784558711818</v>
      </c>
      <c r="Z1319">
        <f>J1319/N1319</f>
        <v>0.63220457300849764</v>
      </c>
      <c r="AA1319">
        <f>J1319/G1319</f>
        <v>0.38714432843280483</v>
      </c>
      <c r="AB1319">
        <f>C1319/G1319</f>
        <v>0.58864728296850566</v>
      </c>
      <c r="AC1319">
        <f>C1319/(G1319-K1319)</f>
        <v>0.73130579812744179</v>
      </c>
      <c r="AD1319">
        <f>Q1319/E1319</f>
        <v>-0.11744619440467262</v>
      </c>
      <c r="AE1319">
        <f>Q1319/J1319</f>
        <v>-1.345269883747492E-2</v>
      </c>
      <c r="AF1319">
        <f>Q1319/G1319</f>
        <v>-5.2081360570430018E-3</v>
      </c>
      <c r="AG1319">
        <f>Q1319/K1319</f>
        <v>-2.669830182733092E-2</v>
      </c>
      <c r="AH1319">
        <f>Q1319/L1319</f>
        <v>-2.9501088932845813E-2</v>
      </c>
      <c r="AI1319" s="1">
        <f>R1319</f>
        <v>70</v>
      </c>
      <c r="AJ1319" s="1">
        <f>P1319</f>
        <v>5199620</v>
      </c>
    </row>
    <row r="1320" spans="1:36" x14ac:dyDescent="0.25">
      <c r="A1320" t="s">
        <v>132</v>
      </c>
      <c r="B1320">
        <v>2020</v>
      </c>
      <c r="C1320" s="1">
        <v>6694824</v>
      </c>
      <c r="D1320" s="1">
        <v>1026965</v>
      </c>
      <c r="E1320" s="1">
        <v>581945</v>
      </c>
      <c r="G1320" s="1">
        <v>13882635</v>
      </c>
      <c r="H1320" s="1">
        <v>6388438</v>
      </c>
      <c r="I1320" s="1">
        <v>4780594</v>
      </c>
      <c r="J1320" s="1">
        <v>6004094</v>
      </c>
      <c r="K1320" s="1">
        <v>3727488</v>
      </c>
      <c r="L1320" s="1">
        <v>3511213</v>
      </c>
      <c r="M1320" s="1">
        <v>1216342</v>
      </c>
      <c r="N1320" s="1">
        <v>7872774</v>
      </c>
      <c r="O1320" s="1">
        <v>7878543</v>
      </c>
      <c r="P1320" s="1">
        <v>5781070</v>
      </c>
      <c r="Q1320" s="1">
        <v>-814180</v>
      </c>
      <c r="R1320" s="1">
        <v>50.1</v>
      </c>
      <c r="T1320">
        <f>E1320/G1320</f>
        <v>4.1918915249158389E-2</v>
      </c>
      <c r="U1320">
        <f>D1320/C1320</f>
        <v>0.15339686300939354</v>
      </c>
      <c r="V1320">
        <f>(E1320-F1320)/O1320</f>
        <v>7.386454576690131E-2</v>
      </c>
      <c r="W1320">
        <f>H1320/K1320</f>
        <v>1.7138721841626319</v>
      </c>
      <c r="X1320">
        <f>(H1320-I1320)/K1320</f>
        <v>0.4313478675182858</v>
      </c>
      <c r="Y1320">
        <f>(H1320-K1320)/G1320</f>
        <v>0.19167470728719727</v>
      </c>
      <c r="Z1320">
        <f>J1320/N1320</f>
        <v>0.76264020788606401</v>
      </c>
      <c r="AA1320">
        <f>J1320/G1320</f>
        <v>0.43248950937628194</v>
      </c>
      <c r="AB1320">
        <f>C1320/G1320</f>
        <v>0.48224447304132106</v>
      </c>
      <c r="AC1320">
        <f>C1320/(G1320-K1320)</f>
        <v>0.65925426781118979</v>
      </c>
      <c r="AD1320">
        <f>Q1320/E1320</f>
        <v>-1.3990669221318166</v>
      </c>
      <c r="AE1320">
        <f>Q1320/J1320</f>
        <v>-0.13560413944218727</v>
      </c>
      <c r="AF1320">
        <f>Q1320/G1320</f>
        <v>-5.8647367736744505E-2</v>
      </c>
      <c r="AG1320">
        <f>Q1320/K1320</f>
        <v>-0.21842592115655368</v>
      </c>
      <c r="AH1320">
        <f>Q1320/L1320</f>
        <v>-0.23187997993855686</v>
      </c>
      <c r="AI1320" s="1">
        <f>R1320</f>
        <v>50.1</v>
      </c>
      <c r="AJ1320" s="1">
        <f>P1320</f>
        <v>5781070</v>
      </c>
    </row>
    <row r="1321" spans="1:36" x14ac:dyDescent="0.25">
      <c r="A1321" t="s">
        <v>132</v>
      </c>
      <c r="B1321">
        <v>2021</v>
      </c>
      <c r="C1321" s="1">
        <v>12626485</v>
      </c>
      <c r="D1321" s="1">
        <v>3062141</v>
      </c>
      <c r="E1321" s="1">
        <v>2450894</v>
      </c>
      <c r="G1321" s="1">
        <v>14248047</v>
      </c>
      <c r="H1321" s="1">
        <v>6064483</v>
      </c>
      <c r="I1321" s="1">
        <v>2322116</v>
      </c>
      <c r="J1321" s="1">
        <v>4314774</v>
      </c>
      <c r="K1321" s="1">
        <v>2363439</v>
      </c>
      <c r="L1321" s="1">
        <v>1292933</v>
      </c>
      <c r="M1321" s="1">
        <v>971206</v>
      </c>
      <c r="N1321" s="1">
        <v>9927081</v>
      </c>
      <c r="O1321" s="1">
        <v>9933273</v>
      </c>
      <c r="P1321" s="1">
        <v>7443205</v>
      </c>
      <c r="Q1321" s="1">
        <v>5833994</v>
      </c>
      <c r="R1321" s="1">
        <v>37.15</v>
      </c>
      <c r="T1321">
        <f>E1321/G1321</f>
        <v>0.17201613666771312</v>
      </c>
      <c r="U1321">
        <f>D1321/C1321</f>
        <v>0.2425172959853831</v>
      </c>
      <c r="V1321">
        <f>(E1321-F1321)/O1321</f>
        <v>0.24673579393217121</v>
      </c>
      <c r="W1321">
        <f>H1321/K1321</f>
        <v>2.5659570651072441</v>
      </c>
      <c r="X1321">
        <f>(H1321-I1321)/K1321</f>
        <v>1.5834413327358989</v>
      </c>
      <c r="Y1321">
        <f>(H1321-K1321)/G1321</f>
        <v>0.25975798648053311</v>
      </c>
      <c r="Z1321">
        <f>J1321/N1321</f>
        <v>0.43464680100827224</v>
      </c>
      <c r="AA1321">
        <f>J1321/G1321</f>
        <v>0.30283266190797936</v>
      </c>
      <c r="AB1321">
        <f>C1321/G1321</f>
        <v>0.88619057755775232</v>
      </c>
      <c r="AC1321">
        <f>C1321/(G1321-K1321)</f>
        <v>1.0624233462306876</v>
      </c>
      <c r="AD1321">
        <f>Q1321/E1321</f>
        <v>2.3803534546985712</v>
      </c>
      <c r="AE1321">
        <f>Q1321/J1321</f>
        <v>1.3520972361472468</v>
      </c>
      <c r="AF1321">
        <f>Q1321/G1321</f>
        <v>0.40945920518089252</v>
      </c>
      <c r="AG1321">
        <f>Q1321/K1321</f>
        <v>2.4684343450370414</v>
      </c>
      <c r="AH1321">
        <f>Q1321/L1321</f>
        <v>4.5122167970034024</v>
      </c>
      <c r="AI1321" s="1">
        <f>R1321</f>
        <v>37.15</v>
      </c>
      <c r="AJ1321" s="1">
        <f>P1321</f>
        <v>7443205</v>
      </c>
    </row>
    <row r="1322" spans="1:36" x14ac:dyDescent="0.25">
      <c r="A1322" t="s">
        <v>132</v>
      </c>
      <c r="B1322">
        <v>2022</v>
      </c>
      <c r="C1322" s="1">
        <v>14591620</v>
      </c>
      <c r="D1322" s="1">
        <v>4951118</v>
      </c>
      <c r="E1322" s="1">
        <v>4110316</v>
      </c>
      <c r="G1322" s="1">
        <v>16926973</v>
      </c>
      <c r="H1322" s="1">
        <v>8334927</v>
      </c>
      <c r="I1322" s="1">
        <v>2473794</v>
      </c>
      <c r="J1322" s="1">
        <v>4699555</v>
      </c>
      <c r="K1322" s="1">
        <v>2927695</v>
      </c>
      <c r="L1322" s="1">
        <v>1467812</v>
      </c>
      <c r="M1322" s="1">
        <v>705420</v>
      </c>
      <c r="N1322" s="1">
        <v>12219323</v>
      </c>
      <c r="O1322" s="1">
        <v>12227418</v>
      </c>
      <c r="P1322" s="1">
        <v>9740862</v>
      </c>
      <c r="Q1322" s="1">
        <v>4802042</v>
      </c>
      <c r="R1322" s="1">
        <v>59.7</v>
      </c>
      <c r="T1322">
        <f>E1322/G1322</f>
        <v>0.24282640493371141</v>
      </c>
      <c r="U1322">
        <f>D1322/C1322</f>
        <v>0.33931242726989874</v>
      </c>
      <c r="V1322">
        <f>(E1322-F1322)/O1322</f>
        <v>0.3361556789830854</v>
      </c>
      <c r="W1322">
        <f>H1322/K1322</f>
        <v>2.8469246284192855</v>
      </c>
      <c r="X1322">
        <f>(H1322-I1322)/K1322</f>
        <v>2.0019616114383498</v>
      </c>
      <c r="Y1322">
        <f>(H1322-K1322)/G1322</f>
        <v>0.31944471111284928</v>
      </c>
      <c r="Z1322">
        <f>J1322/N1322</f>
        <v>0.38460027613641118</v>
      </c>
      <c r="AA1322">
        <f>J1322/G1322</f>
        <v>0.2776370589118326</v>
      </c>
      <c r="AB1322">
        <f>C1322/G1322</f>
        <v>0.8620336311755209</v>
      </c>
      <c r="AC1322">
        <f>C1322/(G1322-K1322)</f>
        <v>1.0423123249641875</v>
      </c>
      <c r="AD1322">
        <f>Q1322/E1322</f>
        <v>1.1682902239146578</v>
      </c>
      <c r="AE1322">
        <f>Q1322/J1322</f>
        <v>1.0218078094628109</v>
      </c>
      <c r="AF1322">
        <f>Q1322/G1322</f>
        <v>0.28369171499239704</v>
      </c>
      <c r="AG1322">
        <f>Q1322/K1322</f>
        <v>1.6402125221377226</v>
      </c>
      <c r="AH1322">
        <f>Q1322/L1322</f>
        <v>3.2715647507991488</v>
      </c>
      <c r="AI1322" s="1">
        <f>R1322</f>
        <v>59.7</v>
      </c>
      <c r="AJ1322" s="1">
        <f>P1322</f>
        <v>9740862</v>
      </c>
    </row>
    <row r="1323" spans="1:36" x14ac:dyDescent="0.25">
      <c r="A1323" t="s">
        <v>132</v>
      </c>
      <c r="B1323">
        <v>2023</v>
      </c>
      <c r="C1323" s="1">
        <v>18684042</v>
      </c>
      <c r="D1323" s="1">
        <v>5031074</v>
      </c>
      <c r="E1323" s="1">
        <v>3687802</v>
      </c>
      <c r="G1323" s="1">
        <v>18626599</v>
      </c>
      <c r="H1323" s="1">
        <v>9883895</v>
      </c>
      <c r="I1323" s="1">
        <v>8742704</v>
      </c>
      <c r="J1323" s="1">
        <v>5694416</v>
      </c>
      <c r="K1323" s="1">
        <v>3730741</v>
      </c>
      <c r="L1323" s="1">
        <v>1750288</v>
      </c>
      <c r="M1323" s="1">
        <v>434405</v>
      </c>
      <c r="N1323" s="1">
        <v>12922261</v>
      </c>
      <c r="O1323" s="1">
        <v>12932183</v>
      </c>
      <c r="P1323" s="1">
        <v>10554962</v>
      </c>
      <c r="Q1323" s="1">
        <v>-1224443</v>
      </c>
      <c r="R1323" s="1">
        <v>43.1</v>
      </c>
      <c r="T1323">
        <f>E1323/G1323</f>
        <v>0.19798579440079211</v>
      </c>
      <c r="U1323">
        <f>D1323/C1323</f>
        <v>0.26927117804594958</v>
      </c>
      <c r="V1323">
        <f>(E1323-F1323)/O1323</f>
        <v>0.28516469338548645</v>
      </c>
      <c r="W1323">
        <f>H1323/K1323</f>
        <v>2.6493114906663315</v>
      </c>
      <c r="X1323">
        <f>(H1323-I1323)/K1323</f>
        <v>0.3058885620845832</v>
      </c>
      <c r="Y1323">
        <f>(H1323-K1323)/G1323</f>
        <v>0.33034232389927976</v>
      </c>
      <c r="Z1323">
        <f>J1323/N1323</f>
        <v>0.44066715569357406</v>
      </c>
      <c r="AA1323">
        <f>J1323/G1323</f>
        <v>0.30571421009278182</v>
      </c>
      <c r="AB1323">
        <f>C1323/G1323</f>
        <v>1.003083923157416</v>
      </c>
      <c r="AC1323">
        <f>C1323/(G1323-K1323)</f>
        <v>1.25431123202168</v>
      </c>
      <c r="AD1323">
        <f>Q1323/E1323</f>
        <v>-0.33202514668629174</v>
      </c>
      <c r="AE1323">
        <f>Q1323/J1323</f>
        <v>-0.2150252106625157</v>
      </c>
      <c r="AF1323">
        <f>Q1323/G1323</f>
        <v>-6.5736262427724998E-2</v>
      </c>
      <c r="AG1323">
        <f>Q1323/K1323</f>
        <v>-0.32820370001562693</v>
      </c>
      <c r="AH1323">
        <f>Q1323/L1323</f>
        <v>-0.69956658561333906</v>
      </c>
      <c r="AI1323" s="1">
        <f>R1323</f>
        <v>43.1</v>
      </c>
      <c r="AJ1323" s="1">
        <f>P1323</f>
        <v>10554962</v>
      </c>
    </row>
    <row r="1324" spans="1:36" x14ac:dyDescent="0.25">
      <c r="A1324" t="s">
        <v>132</v>
      </c>
      <c r="B1324">
        <v>2024</v>
      </c>
      <c r="C1324" s="1">
        <v>16131536</v>
      </c>
      <c r="D1324" s="1">
        <v>4091859</v>
      </c>
      <c r="E1324" s="1">
        <v>2906870</v>
      </c>
      <c r="G1324" s="1">
        <v>20335680</v>
      </c>
      <c r="H1324" s="1">
        <v>10094420</v>
      </c>
      <c r="I1324" s="1">
        <v>10241260</v>
      </c>
      <c r="J1324" s="1">
        <v>5344455</v>
      </c>
      <c r="K1324" s="1">
        <v>3370747</v>
      </c>
      <c r="L1324" s="1">
        <v>1153255</v>
      </c>
      <c r="M1324" s="1">
        <v>188290</v>
      </c>
      <c r="N1324" s="1">
        <v>14935262</v>
      </c>
      <c r="O1324" s="1">
        <v>14991225</v>
      </c>
      <c r="P1324" s="1">
        <v>11944984</v>
      </c>
      <c r="Q1324" s="1">
        <v>2728749</v>
      </c>
      <c r="R1324" s="1">
        <v>51.7</v>
      </c>
      <c r="T1324">
        <f>E1324/G1324</f>
        <v>0.14294432249130593</v>
      </c>
      <c r="U1324">
        <f>D1324/C1324</f>
        <v>0.25365588249004928</v>
      </c>
      <c r="V1324">
        <f>(E1324-F1324)/O1324</f>
        <v>0.19390476762239242</v>
      </c>
      <c r="W1324">
        <f>H1324/K1324</f>
        <v>2.9947130413525547</v>
      </c>
      <c r="X1324">
        <f>(H1324-I1324)/K1324</f>
        <v>-4.3563044037419597E-2</v>
      </c>
      <c r="Y1324">
        <f>(H1324-K1324)/G1324</f>
        <v>0.33063428417441659</v>
      </c>
      <c r="Z1324">
        <f>J1324/N1324</f>
        <v>0.35784139575187901</v>
      </c>
      <c r="AA1324">
        <f>J1324/G1324</f>
        <v>0.26281171812302317</v>
      </c>
      <c r="AB1324">
        <f>C1324/G1324</f>
        <v>0.79326267919243421</v>
      </c>
      <c r="AC1324">
        <f>C1324/(G1324-K1324)</f>
        <v>0.95087531439116202</v>
      </c>
      <c r="AD1324">
        <f>Q1324/E1324</f>
        <v>0.93872412594990484</v>
      </c>
      <c r="AE1324">
        <f>Q1324/J1324</f>
        <v>0.51057572755313685</v>
      </c>
      <c r="AF1324">
        <f>Q1324/G1324</f>
        <v>0.13418528419015249</v>
      </c>
      <c r="AG1324">
        <f>Q1324/K1324</f>
        <v>0.80953836048804617</v>
      </c>
      <c r="AH1324">
        <f>Q1324/L1324</f>
        <v>2.3661280462690386</v>
      </c>
      <c r="AI1324" s="1">
        <f>R1324</f>
        <v>51.7</v>
      </c>
      <c r="AJ1324" s="1">
        <f>P1324</f>
        <v>11944984</v>
      </c>
    </row>
    <row r="1325" spans="1:36" x14ac:dyDescent="0.25">
      <c r="A1325" t="s">
        <v>199</v>
      </c>
      <c r="B1325">
        <v>2018</v>
      </c>
      <c r="C1325" s="1">
        <v>24647488</v>
      </c>
      <c r="D1325" s="1">
        <v>1810842</v>
      </c>
      <c r="E1325" s="1">
        <v>1596114</v>
      </c>
      <c r="G1325" s="1">
        <v>19564936</v>
      </c>
      <c r="H1325" s="1">
        <v>11127755</v>
      </c>
      <c r="I1325" s="1">
        <v>4091207</v>
      </c>
      <c r="J1325" s="1">
        <v>1632454</v>
      </c>
      <c r="K1325" s="1">
        <v>6231060</v>
      </c>
      <c r="L1325" s="1">
        <v>2836239</v>
      </c>
      <c r="M1325" s="1">
        <v>1106784</v>
      </c>
      <c r="N1325" s="1">
        <v>17932482</v>
      </c>
      <c r="O1325" s="1">
        <v>17932482</v>
      </c>
      <c r="P1325" s="1">
        <v>4971882</v>
      </c>
      <c r="Q1325" s="1">
        <v>3010383</v>
      </c>
      <c r="R1325" s="1">
        <v>31.9</v>
      </c>
      <c r="T1325">
        <f>E1325/G1325</f>
        <v>8.158033330648258E-2</v>
      </c>
      <c r="U1325">
        <f>D1325/C1325</f>
        <v>7.346963714922998E-2</v>
      </c>
      <c r="V1325">
        <f>(E1325-F1325)/O1325</f>
        <v>8.9006864749676035E-2</v>
      </c>
      <c r="W1325">
        <f>H1325/K1325</f>
        <v>1.7858526478640873</v>
      </c>
      <c r="X1325">
        <f>(H1325-I1325)/K1325</f>
        <v>1.1292698192602864</v>
      </c>
      <c r="Y1325">
        <f>(H1325-K1325)/G1325</f>
        <v>0.25027912179216943</v>
      </c>
      <c r="Z1325">
        <f>J1325/N1325</f>
        <v>9.1033355003507038E-2</v>
      </c>
      <c r="AA1325">
        <f>J1325/G1325</f>
        <v>8.3437737797864509E-2</v>
      </c>
      <c r="AB1325">
        <f>C1325/G1325</f>
        <v>1.2597786161937867</v>
      </c>
      <c r="AC1325">
        <f>C1325/(G1325-K1325)</f>
        <v>1.8484863666048792</v>
      </c>
      <c r="AD1325">
        <f>Q1325/E1325</f>
        <v>1.8860701679203364</v>
      </c>
      <c r="AE1325">
        <f>Q1325/J1325</f>
        <v>1.8440844274938222</v>
      </c>
      <c r="AF1325">
        <f>Q1325/G1325</f>
        <v>0.15386623293835461</v>
      </c>
      <c r="AG1325">
        <f>Q1325/K1325</f>
        <v>0.48312534303954702</v>
      </c>
      <c r="AH1325">
        <f>Q1325/L1325</f>
        <v>1.0613996211179664</v>
      </c>
      <c r="AI1325" s="1">
        <f>R1325</f>
        <v>31.9</v>
      </c>
      <c r="AJ1325" s="1">
        <f>P1325</f>
        <v>4971882</v>
      </c>
    </row>
    <row r="1326" spans="1:36" x14ac:dyDescent="0.25">
      <c r="A1326" t="s">
        <v>199</v>
      </c>
      <c r="B1326">
        <v>2019</v>
      </c>
      <c r="C1326" s="1">
        <v>31746592</v>
      </c>
      <c r="D1326" s="1">
        <v>2344649</v>
      </c>
      <c r="E1326" s="1">
        <v>1858717</v>
      </c>
      <c r="G1326" s="1">
        <v>22385931</v>
      </c>
      <c r="H1326" s="1">
        <v>13359457</v>
      </c>
      <c r="I1326" s="1">
        <v>5904129</v>
      </c>
      <c r="J1326" s="1">
        <v>1591380</v>
      </c>
      <c r="K1326" s="1">
        <v>6869296</v>
      </c>
      <c r="L1326" s="1">
        <v>2967867</v>
      </c>
      <c r="M1326" s="1">
        <v>801182</v>
      </c>
      <c r="N1326" s="1">
        <v>20794551</v>
      </c>
      <c r="O1326" s="1">
        <v>20794551</v>
      </c>
      <c r="P1326" s="1">
        <v>5600028</v>
      </c>
      <c r="Q1326" s="1">
        <v>3585008</v>
      </c>
      <c r="R1326" s="1">
        <v>30.4</v>
      </c>
      <c r="T1326">
        <f>E1326/G1326</f>
        <v>8.3030587380976031E-2</v>
      </c>
      <c r="U1326">
        <f>D1326/C1326</f>
        <v>7.3855140104487432E-2</v>
      </c>
      <c r="V1326">
        <f>(E1326-F1326)/O1326</f>
        <v>8.9384810472705079E-2</v>
      </c>
      <c r="W1326">
        <f>H1326/K1326</f>
        <v>1.9448072990303518</v>
      </c>
      <c r="X1326">
        <f>(H1326-I1326)/K1326</f>
        <v>1.0853117990548085</v>
      </c>
      <c r="Y1326">
        <f>(H1326-K1326)/G1326</f>
        <v>0.28992142430886614</v>
      </c>
      <c r="Z1326">
        <f>J1326/N1326</f>
        <v>7.6528702158560669E-2</v>
      </c>
      <c r="AA1326">
        <f>J1326/G1326</f>
        <v>7.1088399227175317E-2</v>
      </c>
      <c r="AB1326">
        <f>C1326/G1326</f>
        <v>1.4181492831368059</v>
      </c>
      <c r="AC1326">
        <f>C1326/(G1326-K1326)</f>
        <v>2.0459714364615782</v>
      </c>
      <c r="AD1326">
        <f>Q1326/E1326</f>
        <v>1.9287540814443511</v>
      </c>
      <c r="AE1326">
        <f>Q1326/J1326</f>
        <v>2.2527667810328142</v>
      </c>
      <c r="AF1326">
        <f>Q1326/G1326</f>
        <v>0.16014558429577935</v>
      </c>
      <c r="AG1326">
        <f>Q1326/K1326</f>
        <v>0.52188870591687997</v>
      </c>
      <c r="AH1326">
        <f>Q1326/L1326</f>
        <v>1.2079409218809334</v>
      </c>
      <c r="AI1326" s="1">
        <f>R1326</f>
        <v>30.4</v>
      </c>
      <c r="AJ1326" s="1">
        <f>P1326</f>
        <v>5600028</v>
      </c>
    </row>
    <row r="1327" spans="1:36" x14ac:dyDescent="0.25">
      <c r="A1327" t="s">
        <v>199</v>
      </c>
      <c r="B1327">
        <v>2020</v>
      </c>
      <c r="C1327" s="1">
        <v>33276977</v>
      </c>
      <c r="D1327" s="1">
        <v>2728431</v>
      </c>
      <c r="E1327" s="1">
        <v>2383784</v>
      </c>
      <c r="G1327" s="1">
        <v>26962493</v>
      </c>
      <c r="H1327" s="1">
        <v>16289050</v>
      </c>
      <c r="I1327" s="1">
        <v>5904129</v>
      </c>
      <c r="J1327" s="1">
        <v>2065648</v>
      </c>
      <c r="K1327" s="1">
        <v>9248491</v>
      </c>
      <c r="L1327" s="1">
        <v>3914303</v>
      </c>
      <c r="M1327" s="1">
        <v>412192</v>
      </c>
      <c r="N1327" s="1">
        <v>24896845</v>
      </c>
      <c r="O1327" s="1">
        <v>24896845</v>
      </c>
      <c r="P1327" s="1">
        <v>6231783</v>
      </c>
      <c r="Q1327" s="1">
        <v>3848633</v>
      </c>
      <c r="R1327" s="1">
        <v>23.3</v>
      </c>
      <c r="T1327">
        <f>E1327/G1327</f>
        <v>8.8411112429403318E-2</v>
      </c>
      <c r="U1327">
        <f>D1327/C1327</f>
        <v>8.1991552297553949E-2</v>
      </c>
      <c r="V1327">
        <f>(E1327-F1327)/O1327</f>
        <v>9.5746428914989024E-2</v>
      </c>
      <c r="W1327">
        <f>H1327/K1327</f>
        <v>1.7612657026967966</v>
      </c>
      <c r="X1327">
        <f>(H1327-I1327)/K1327</f>
        <v>1.1228773429092378</v>
      </c>
      <c r="Y1327">
        <f>(H1327-K1327)/G1327</f>
        <v>0.2611241846219487</v>
      </c>
      <c r="Z1327">
        <f>J1327/N1327</f>
        <v>8.296826364947045E-2</v>
      </c>
      <c r="AA1327">
        <f>J1327/G1327</f>
        <v>7.6611906769896987E-2</v>
      </c>
      <c r="AB1327">
        <f>C1327/G1327</f>
        <v>1.2341951094804178</v>
      </c>
      <c r="AC1327">
        <f>C1327/(G1327-K1327)</f>
        <v>1.8785691115988357</v>
      </c>
      <c r="AD1327">
        <f>Q1327/E1327</f>
        <v>1.6145057605890467</v>
      </c>
      <c r="AE1327">
        <f>Q1327/J1327</f>
        <v>1.8631601318327227</v>
      </c>
      <c r="AF1327">
        <f>Q1327/G1327</f>
        <v>0.14274025031735751</v>
      </c>
      <c r="AG1327">
        <f>Q1327/K1327</f>
        <v>0.41613631888704872</v>
      </c>
      <c r="AH1327">
        <f>Q1327/L1327</f>
        <v>0.98322306678864668</v>
      </c>
      <c r="AI1327" s="1">
        <f>R1327</f>
        <v>23.3</v>
      </c>
      <c r="AJ1327" s="1">
        <f>P1327</f>
        <v>6231783</v>
      </c>
    </row>
    <row r="1328" spans="1:36" x14ac:dyDescent="0.25">
      <c r="A1328" t="s">
        <v>199</v>
      </c>
      <c r="B1328">
        <v>2021</v>
      </c>
      <c r="C1328" s="1">
        <v>31780287</v>
      </c>
      <c r="D1328" s="1">
        <v>2441402</v>
      </c>
      <c r="E1328" s="1">
        <v>2139602</v>
      </c>
      <c r="G1328" s="1">
        <v>31099339</v>
      </c>
      <c r="H1328" s="1">
        <v>20599835</v>
      </c>
      <c r="I1328" s="1">
        <v>7280706</v>
      </c>
      <c r="J1328" s="1">
        <v>1999689</v>
      </c>
      <c r="K1328" s="1">
        <v>11335426</v>
      </c>
      <c r="L1328" s="1">
        <v>3305910</v>
      </c>
      <c r="M1328" s="1">
        <v>197620</v>
      </c>
      <c r="N1328" s="1">
        <v>29099650</v>
      </c>
      <c r="O1328" s="1">
        <v>29099650</v>
      </c>
      <c r="P1328" s="1">
        <v>7136671</v>
      </c>
      <c r="Q1328" s="1">
        <v>2343764</v>
      </c>
      <c r="R1328" s="1">
        <v>40</v>
      </c>
      <c r="T1328">
        <f>E1328/G1328</f>
        <v>6.8798954215714997E-2</v>
      </c>
      <c r="U1328">
        <f>D1328/C1328</f>
        <v>7.6821269738690523E-2</v>
      </c>
      <c r="V1328">
        <f>(E1328-F1328)/O1328</f>
        <v>7.3526726266467127E-2</v>
      </c>
      <c r="W1328">
        <f>H1328/K1328</f>
        <v>1.8172969414647495</v>
      </c>
      <c r="X1328">
        <f>(H1328-I1328)/K1328</f>
        <v>1.1750003043555663</v>
      </c>
      <c r="Y1328">
        <f>(H1328-K1328)/G1328</f>
        <v>0.29789729614510457</v>
      </c>
      <c r="Z1328">
        <f>J1328/N1328</f>
        <v>6.8718661564657987E-2</v>
      </c>
      <c r="AA1328">
        <f>J1328/G1328</f>
        <v>6.4300048306492941E-2</v>
      </c>
      <c r="AB1328">
        <f>C1328/G1328</f>
        <v>1.0218958994594709</v>
      </c>
      <c r="AC1328">
        <f>C1328/(G1328-K1328)</f>
        <v>1.6079956939701161</v>
      </c>
      <c r="AD1328">
        <f>Q1328/E1328</f>
        <v>1.0954205501770891</v>
      </c>
      <c r="AE1328">
        <f>Q1328/J1328</f>
        <v>1.1720642559918066</v>
      </c>
      <c r="AF1328">
        <f>Q1328/G1328</f>
        <v>7.5363788278586891E-2</v>
      </c>
      <c r="AG1328">
        <f>Q1328/K1328</f>
        <v>0.2067645274204957</v>
      </c>
      <c r="AH1328">
        <f>Q1328/L1328</f>
        <v>0.70896182896691073</v>
      </c>
      <c r="AI1328" s="1">
        <f>R1328</f>
        <v>40</v>
      </c>
      <c r="AJ1328" s="1">
        <f>P1328</f>
        <v>7136671</v>
      </c>
    </row>
    <row r="1329" spans="1:36" x14ac:dyDescent="0.25">
      <c r="A1329" t="s">
        <v>199</v>
      </c>
      <c r="B1329">
        <v>2022</v>
      </c>
      <c r="C1329" s="1">
        <v>49587964</v>
      </c>
      <c r="D1329" s="1">
        <v>2573103</v>
      </c>
      <c r="E1329" s="1">
        <v>2531250</v>
      </c>
      <c r="G1329" s="1">
        <v>59893775</v>
      </c>
      <c r="H1329" s="1">
        <v>37897277</v>
      </c>
      <c r="I1329" s="1">
        <v>16355777</v>
      </c>
      <c r="J1329" s="1">
        <v>7855202</v>
      </c>
      <c r="K1329" s="1">
        <v>23812704</v>
      </c>
      <c r="L1329" s="1">
        <v>11494713</v>
      </c>
      <c r="M1329" s="1">
        <v>5581171</v>
      </c>
      <c r="N1329" s="1">
        <v>52038573</v>
      </c>
      <c r="O1329" s="1">
        <v>52038573</v>
      </c>
      <c r="P1329" s="1">
        <v>8410460</v>
      </c>
      <c r="Q1329" s="1">
        <v>4766105</v>
      </c>
      <c r="R1329" s="1">
        <v>39.799999999999997</v>
      </c>
      <c r="T1329">
        <f>E1329/G1329</f>
        <v>4.2262321919097602E-2</v>
      </c>
      <c r="U1329">
        <f>D1329/C1329</f>
        <v>5.1889668226749543E-2</v>
      </c>
      <c r="V1329">
        <f>(E1329-F1329)/O1329</f>
        <v>4.8641802687402667E-2</v>
      </c>
      <c r="W1329">
        <f>H1329/K1329</f>
        <v>1.5914730641257708</v>
      </c>
      <c r="X1329">
        <f>(H1329-I1329)/K1329</f>
        <v>0.90462217142580703</v>
      </c>
      <c r="Y1329">
        <f>(H1329-K1329)/G1329</f>
        <v>0.23515921312356752</v>
      </c>
      <c r="Z1329">
        <f>J1329/N1329</f>
        <v>0.15094960424837167</v>
      </c>
      <c r="AA1329">
        <f>J1329/G1329</f>
        <v>0.13115222742263283</v>
      </c>
      <c r="AB1329">
        <f>C1329/G1329</f>
        <v>0.82793185101456701</v>
      </c>
      <c r="AC1329">
        <f>C1329/(G1329-K1329)</f>
        <v>1.3743484499115894</v>
      </c>
      <c r="AD1329">
        <f>Q1329/E1329</f>
        <v>1.8829056790123457</v>
      </c>
      <c r="AE1329">
        <f>Q1329/J1329</f>
        <v>0.6067450588794534</v>
      </c>
      <c r="AF1329">
        <f>Q1329/G1329</f>
        <v>7.9575965949716818E-2</v>
      </c>
      <c r="AG1329">
        <f>Q1329/K1329</f>
        <v>0.20014967640802153</v>
      </c>
      <c r="AH1329">
        <f>Q1329/L1329</f>
        <v>0.41463453676485879</v>
      </c>
      <c r="AI1329" s="1">
        <f>R1329</f>
        <v>39.799999999999997</v>
      </c>
      <c r="AJ1329" s="1">
        <f>P1329</f>
        <v>8410460</v>
      </c>
    </row>
    <row r="1330" spans="1:36" x14ac:dyDescent="0.25">
      <c r="A1330" t="s">
        <v>199</v>
      </c>
      <c r="B1330">
        <v>2023</v>
      </c>
      <c r="C1330" s="1">
        <v>84037126</v>
      </c>
      <c r="D1330" s="1">
        <v>3295076</v>
      </c>
      <c r="E1330" s="1">
        <v>2126731</v>
      </c>
      <c r="G1330" s="1">
        <v>60058217</v>
      </c>
      <c r="H1330" s="1">
        <v>34100466</v>
      </c>
      <c r="I1330" s="1">
        <v>13382977</v>
      </c>
      <c r="J1330" s="1">
        <v>10511897</v>
      </c>
      <c r="K1330" s="1">
        <v>18195538</v>
      </c>
      <c r="L1330" s="1">
        <v>9231131</v>
      </c>
      <c r="M1330" s="1">
        <v>6238676</v>
      </c>
      <c r="N1330" s="1">
        <v>49546320</v>
      </c>
      <c r="O1330" s="1">
        <v>49546320</v>
      </c>
      <c r="P1330" s="1">
        <v>9400088</v>
      </c>
      <c r="Q1330" s="1">
        <v>7667218</v>
      </c>
      <c r="R1330" s="1">
        <v>32</v>
      </c>
      <c r="T1330">
        <f>E1330/G1330</f>
        <v>3.5411157810429174E-2</v>
      </c>
      <c r="U1330">
        <f>D1330/C1330</f>
        <v>3.9209765455329823E-2</v>
      </c>
      <c r="V1330">
        <f>(E1330-F1330)/O1330</f>
        <v>4.2924096078174927E-2</v>
      </c>
      <c r="W1330">
        <f>H1330/K1330</f>
        <v>1.8741114442452869</v>
      </c>
      <c r="X1330">
        <f>(H1330-I1330)/K1330</f>
        <v>1.138602716775948</v>
      </c>
      <c r="Y1330">
        <f>(H1330-K1330)/G1330</f>
        <v>0.26482517787699228</v>
      </c>
      <c r="Z1330">
        <f>J1330/N1330</f>
        <v>0.21216302240004908</v>
      </c>
      <c r="AA1330">
        <f>J1330/G1330</f>
        <v>0.17502845613948212</v>
      </c>
      <c r="AB1330">
        <f>C1330/G1330</f>
        <v>1.3992610869550124</v>
      </c>
      <c r="AC1330">
        <f>C1330/(G1330-K1330)</f>
        <v>2.0074473972389582</v>
      </c>
      <c r="AD1330">
        <f>Q1330/E1330</f>
        <v>3.6051658625373872</v>
      </c>
      <c r="AE1330">
        <f>Q1330/J1330</f>
        <v>0.72938481037247604</v>
      </c>
      <c r="AF1330">
        <f>Q1330/G1330</f>
        <v>0.12766309729108341</v>
      </c>
      <c r="AG1330">
        <f>Q1330/K1330</f>
        <v>0.42137902160408774</v>
      </c>
      <c r="AH1330">
        <f>Q1330/L1330</f>
        <v>0.83058273141178474</v>
      </c>
      <c r="AI1330" s="1">
        <f>R1330</f>
        <v>32</v>
      </c>
      <c r="AJ1330" s="1">
        <f>P1330</f>
        <v>9400088</v>
      </c>
    </row>
    <row r="1331" spans="1:36" x14ac:dyDescent="0.25">
      <c r="A1331" t="s">
        <v>199</v>
      </c>
      <c r="B1331">
        <v>2024</v>
      </c>
      <c r="C1331" s="1">
        <v>60733952</v>
      </c>
      <c r="D1331" s="1">
        <v>2213198</v>
      </c>
      <c r="E1331" s="1">
        <v>1109536</v>
      </c>
      <c r="G1331" s="1">
        <v>55032700</v>
      </c>
      <c r="H1331" s="1">
        <v>30935723</v>
      </c>
      <c r="I1331" s="1">
        <v>11645818</v>
      </c>
      <c r="J1331" s="1">
        <v>8458165</v>
      </c>
      <c r="K1331" s="1">
        <v>16444371</v>
      </c>
      <c r="L1331" s="1">
        <v>9323724</v>
      </c>
      <c r="M1331" s="1">
        <v>4139942</v>
      </c>
      <c r="N1331" s="1">
        <v>46574535</v>
      </c>
      <c r="O1331" s="1">
        <v>46574535</v>
      </c>
      <c r="P1331" s="1">
        <v>10436101</v>
      </c>
      <c r="Q1331" s="1">
        <v>2854100</v>
      </c>
      <c r="R1331" s="1">
        <v>37.6</v>
      </c>
      <c r="T1331">
        <f>E1331/G1331</f>
        <v>2.0161394952455541E-2</v>
      </c>
      <c r="U1331">
        <f>D1331/C1331</f>
        <v>3.6440869186316081E-2</v>
      </c>
      <c r="V1331">
        <f>(E1331-F1331)/O1331</f>
        <v>2.3822803598575918E-2</v>
      </c>
      <c r="W1331">
        <f>H1331/K1331</f>
        <v>1.8812348006500219</v>
      </c>
      <c r="X1331">
        <f>(H1331-I1331)/K1331</f>
        <v>1.1730400025637953</v>
      </c>
      <c r="Y1331">
        <f>(H1331-K1331)/G1331</f>
        <v>0.26332257003563336</v>
      </c>
      <c r="Z1331">
        <f>J1331/N1331</f>
        <v>0.18160492638305462</v>
      </c>
      <c r="AA1331">
        <f>J1331/G1331</f>
        <v>0.15369344044540792</v>
      </c>
      <c r="AB1331">
        <f>C1331/G1331</f>
        <v>1.1035975338298867</v>
      </c>
      <c r="AC1331">
        <f>C1331/(G1331-K1331)</f>
        <v>1.5738943243694228</v>
      </c>
      <c r="AD1331">
        <f>Q1331/E1331</f>
        <v>2.5723365442851787</v>
      </c>
      <c r="AE1331">
        <f>Q1331/J1331</f>
        <v>0.33743725737201863</v>
      </c>
      <c r="AF1331">
        <f>Q1331/G1331</f>
        <v>5.1861893019968131E-2</v>
      </c>
      <c r="AG1331">
        <f>Q1331/K1331</f>
        <v>0.17356091029568721</v>
      </c>
      <c r="AH1331">
        <f>Q1331/L1331</f>
        <v>0.30611159232083662</v>
      </c>
      <c r="AI1331" s="1">
        <f>R1331</f>
        <v>37.6</v>
      </c>
      <c r="AJ1331" s="1">
        <f>P1331</f>
        <v>10436101</v>
      </c>
    </row>
    <row r="1332" spans="1:36" x14ac:dyDescent="0.25">
      <c r="A1332" t="s">
        <v>210</v>
      </c>
      <c r="B1332">
        <v>2018</v>
      </c>
      <c r="C1332" s="1">
        <v>35633000</v>
      </c>
      <c r="D1332" s="1">
        <v>2572000</v>
      </c>
      <c r="E1332" s="1">
        <v>2329000</v>
      </c>
      <c r="F1332" s="1">
        <v>0</v>
      </c>
      <c r="G1332" s="1">
        <v>35002000</v>
      </c>
      <c r="H1332" s="1">
        <v>7746000</v>
      </c>
      <c r="I1332" s="1">
        <v>2530000</v>
      </c>
      <c r="J1332" s="1">
        <v>11027492</v>
      </c>
      <c r="K1332" s="1">
        <v>11019000</v>
      </c>
      <c r="L1332" s="1">
        <v>12957000</v>
      </c>
      <c r="M1332" s="1">
        <v>5761000</v>
      </c>
      <c r="N1332" s="1">
        <v>23974508</v>
      </c>
      <c r="O1332" s="1">
        <v>23974508</v>
      </c>
      <c r="P1332" s="1">
        <v>11189000</v>
      </c>
      <c r="Q1332" s="1">
        <v>1775000</v>
      </c>
      <c r="R1332" s="1">
        <v>54</v>
      </c>
      <c r="T1332">
        <f>E1332/G1332</f>
        <v>6.6539054911147935E-2</v>
      </c>
      <c r="U1332">
        <f>D1332/C1332</f>
        <v>7.2180282322566167E-2</v>
      </c>
      <c r="V1332">
        <f>(E1332-F1332)/O1332</f>
        <v>9.7144850688906728E-2</v>
      </c>
      <c r="W1332">
        <f>H1332/K1332</f>
        <v>0.70296760141573644</v>
      </c>
      <c r="X1332">
        <f>(H1332-I1332)/K1332</f>
        <v>0.47336418912787004</v>
      </c>
      <c r="Y1332">
        <f>(H1332-K1332)/G1332</f>
        <v>-9.3508942346151647E-2</v>
      </c>
      <c r="Z1332">
        <f>J1332/N1332</f>
        <v>0.45996739536844716</v>
      </c>
      <c r="AA1332">
        <f>J1332/G1332</f>
        <v>0.3150531969601737</v>
      </c>
      <c r="AB1332">
        <f>C1332/G1332</f>
        <v>1.0180275412833553</v>
      </c>
      <c r="AC1332">
        <f>C1332/(G1332-K1332)</f>
        <v>1.4857607471959304</v>
      </c>
      <c r="AD1332">
        <f>Q1332/E1332</f>
        <v>0.76212966938600257</v>
      </c>
      <c r="AE1332">
        <f>Q1332/J1332</f>
        <v>0.16096135005130813</v>
      </c>
      <c r="AF1332">
        <f>Q1332/G1332</f>
        <v>5.0711387920690243E-2</v>
      </c>
      <c r="AG1332">
        <f>Q1332/K1332</f>
        <v>0.16108539794899718</v>
      </c>
      <c r="AH1332">
        <f>Q1332/L1332</f>
        <v>0.13699158755884849</v>
      </c>
      <c r="AI1332" s="1">
        <f>R1332</f>
        <v>54</v>
      </c>
      <c r="AJ1332" s="1">
        <f>P1332</f>
        <v>11189000</v>
      </c>
    </row>
    <row r="1333" spans="1:36" x14ac:dyDescent="0.25">
      <c r="A1333" t="s">
        <v>210</v>
      </c>
      <c r="B1333">
        <v>2019</v>
      </c>
      <c r="C1333" s="1">
        <v>38496000</v>
      </c>
      <c r="D1333" s="1">
        <v>-1000</v>
      </c>
      <c r="E1333" s="1">
        <v>-476000</v>
      </c>
      <c r="F1333" s="1">
        <v>0</v>
      </c>
      <c r="G1333" s="1">
        <v>38461000</v>
      </c>
      <c r="H1333" s="1">
        <v>10292000</v>
      </c>
      <c r="I1333" s="1">
        <v>3636000</v>
      </c>
      <c r="J1333" s="1">
        <v>15629823</v>
      </c>
      <c r="K1333" s="1">
        <v>15622000</v>
      </c>
      <c r="L1333" s="1">
        <v>14065000</v>
      </c>
      <c r="M1333" s="1">
        <v>4853000</v>
      </c>
      <c r="N1333" s="1">
        <v>22831177</v>
      </c>
      <c r="O1333" s="1">
        <v>22831177</v>
      </c>
      <c r="P1333" s="1">
        <v>10682000</v>
      </c>
      <c r="Q1333" s="1">
        <v>664000</v>
      </c>
      <c r="R1333" s="1">
        <v>20.7</v>
      </c>
      <c r="T1333">
        <f>E1333/G1333</f>
        <v>-1.2376173266425729E-2</v>
      </c>
      <c r="U1333">
        <f>D1333/C1333</f>
        <v>-2.5976724854530341E-5</v>
      </c>
      <c r="V1333">
        <f>(E1333-F1333)/O1333</f>
        <v>-2.0848684235595914E-2</v>
      </c>
      <c r="W1333">
        <f>H1333/K1333</f>
        <v>0.65881449238253742</v>
      </c>
      <c r="X1333">
        <f>(H1333-I1333)/K1333</f>
        <v>0.42606580463448984</v>
      </c>
      <c r="Y1333">
        <f>(H1333-K1333)/G1333</f>
        <v>-0.13858194014716205</v>
      </c>
      <c r="Z1333">
        <f>J1333/N1333</f>
        <v>0.6845824461875093</v>
      </c>
      <c r="AA1333">
        <f>J1333/G1333</f>
        <v>0.40638108733522271</v>
      </c>
      <c r="AB1333">
        <f>C1333/G1333</f>
        <v>1.0009100127401784</v>
      </c>
      <c r="AC1333">
        <f>C1333/(G1333-K1333)</f>
        <v>1.6855378957047156</v>
      </c>
      <c r="AD1333">
        <f>Q1333/E1333</f>
        <v>-1.3949579831932772</v>
      </c>
      <c r="AE1333">
        <f>Q1333/J1333</f>
        <v>4.2482886722389625E-2</v>
      </c>
      <c r="AF1333">
        <f>Q1333/G1333</f>
        <v>1.726424169938379E-2</v>
      </c>
      <c r="AG1333">
        <f>Q1333/K1333</f>
        <v>4.2504160798873383E-2</v>
      </c>
      <c r="AH1333">
        <f>Q1333/L1333</f>
        <v>4.7209384998222539E-2</v>
      </c>
      <c r="AI1333" s="1">
        <f>R1333</f>
        <v>20.7</v>
      </c>
      <c r="AJ1333" s="1">
        <f>P1333</f>
        <v>10682000</v>
      </c>
    </row>
    <row r="1334" spans="1:36" x14ac:dyDescent="0.25">
      <c r="A1334" t="s">
        <v>210</v>
      </c>
      <c r="B1334">
        <v>2020</v>
      </c>
      <c r="C1334" s="1">
        <v>35768000</v>
      </c>
      <c r="D1334" s="1">
        <v>2629000</v>
      </c>
      <c r="E1334" s="1">
        <v>2318000</v>
      </c>
      <c r="F1334" s="1">
        <v>0</v>
      </c>
      <c r="G1334" s="1">
        <v>38148000</v>
      </c>
      <c r="H1334" s="1">
        <v>9214000</v>
      </c>
      <c r="I1334" s="1">
        <v>3493000</v>
      </c>
      <c r="J1334" s="1">
        <v>10233000</v>
      </c>
      <c r="K1334" s="1">
        <v>10233000</v>
      </c>
      <c r="L1334" s="1">
        <v>20726000</v>
      </c>
      <c r="M1334" s="1">
        <v>7215000</v>
      </c>
      <c r="N1334" s="1">
        <v>27915000</v>
      </c>
      <c r="O1334" s="1">
        <v>27915000</v>
      </c>
      <c r="P1334" s="1">
        <v>12917000</v>
      </c>
      <c r="Q1334" s="1">
        <v>2855000</v>
      </c>
      <c r="R1334" s="1">
        <v>22.5</v>
      </c>
      <c r="T1334">
        <f>E1334/G1334</f>
        <v>6.0763342770263185E-2</v>
      </c>
      <c r="U1334">
        <f>D1334/C1334</f>
        <v>7.3501453813464554E-2</v>
      </c>
      <c r="V1334">
        <f>(E1334-F1334)/O1334</f>
        <v>8.3037793301092608E-2</v>
      </c>
      <c r="W1334">
        <f>H1334/K1334</f>
        <v>0.90042020912733312</v>
      </c>
      <c r="X1334">
        <f>(H1334-I1334)/K1334</f>
        <v>0.5590735854588097</v>
      </c>
      <c r="Y1334">
        <f>(H1334-K1334)/G1334</f>
        <v>-2.671175422040474E-2</v>
      </c>
      <c r="Z1334">
        <f>J1334/N1334</f>
        <v>0.36657710908113916</v>
      </c>
      <c r="AA1334">
        <f>J1334/G1334</f>
        <v>0.26824473104749924</v>
      </c>
      <c r="AB1334">
        <f>C1334/G1334</f>
        <v>0.9376114081996435</v>
      </c>
      <c r="AC1334">
        <f>C1334/(G1334-K1334)</f>
        <v>1.2813182876589646</v>
      </c>
      <c r="AD1334">
        <f>Q1334/E1334</f>
        <v>1.231665228645384</v>
      </c>
      <c r="AE1334">
        <f>Q1334/J1334</f>
        <v>0.27899931593862992</v>
      </c>
      <c r="AF1334">
        <f>Q1334/G1334</f>
        <v>7.4840096466394043E-2</v>
      </c>
      <c r="AG1334">
        <f>Q1334/K1334</f>
        <v>0.27899931593862992</v>
      </c>
      <c r="AH1334">
        <f>Q1334/L1334</f>
        <v>0.13774968638425167</v>
      </c>
      <c r="AI1334" s="1">
        <f>R1334</f>
        <v>22.5</v>
      </c>
      <c r="AJ1334" s="1">
        <f>P1334</f>
        <v>12917000</v>
      </c>
    </row>
    <row r="1335" spans="1:36" x14ac:dyDescent="0.25">
      <c r="A1335" t="s">
        <v>210</v>
      </c>
      <c r="B1335">
        <v>2021</v>
      </c>
      <c r="C1335" s="1">
        <v>42962000</v>
      </c>
      <c r="D1335" s="1">
        <v>5209000</v>
      </c>
      <c r="E1335" s="1">
        <v>5411000</v>
      </c>
      <c r="F1335" s="1">
        <v>0</v>
      </c>
      <c r="G1335" s="1">
        <v>39134000</v>
      </c>
      <c r="H1335" s="1">
        <v>9291000</v>
      </c>
      <c r="I1335" s="1">
        <v>3240000</v>
      </c>
      <c r="J1335" s="1">
        <v>10121000</v>
      </c>
      <c r="K1335" s="1">
        <v>10121000</v>
      </c>
      <c r="L1335" s="1">
        <v>12139000</v>
      </c>
      <c r="M1335" s="1">
        <v>3963000</v>
      </c>
      <c r="N1335" s="1">
        <v>29013000</v>
      </c>
      <c r="O1335" s="1">
        <v>29013000</v>
      </c>
      <c r="P1335" s="1">
        <v>17743000</v>
      </c>
      <c r="Q1335" s="1">
        <v>10089000</v>
      </c>
      <c r="R1335" s="1">
        <v>66.7</v>
      </c>
      <c r="T1335">
        <f>E1335/G1335</f>
        <v>0.13826851331323145</v>
      </c>
      <c r="U1335">
        <f>D1335/C1335</f>
        <v>0.1212466831153112</v>
      </c>
      <c r="V1335">
        <f>(E1335-F1335)/O1335</f>
        <v>0.18650260228173576</v>
      </c>
      <c r="W1335">
        <f>H1335/K1335</f>
        <v>0.91799229325165499</v>
      </c>
      <c r="X1335">
        <f>(H1335-I1335)/K1335</f>
        <v>0.59786582353522377</v>
      </c>
      <c r="Y1335">
        <f>(H1335-K1335)/G1335</f>
        <v>-2.1209178719272245E-2</v>
      </c>
      <c r="Z1335">
        <f>J1335/N1335</f>
        <v>0.34884362182469925</v>
      </c>
      <c r="AA1335">
        <f>J1335/G1335</f>
        <v>0.25862421423825827</v>
      </c>
      <c r="AB1335">
        <f>C1335/G1335</f>
        <v>1.0978177543823784</v>
      </c>
      <c r="AC1335">
        <f>C1335/(G1335-K1335)</f>
        <v>1.4807844759245856</v>
      </c>
      <c r="AD1335">
        <f>Q1335/E1335</f>
        <v>1.8645352060617262</v>
      </c>
      <c r="AE1335">
        <f>Q1335/J1335</f>
        <v>0.99683825708922047</v>
      </c>
      <c r="AF1335">
        <f>Q1335/G1335</f>
        <v>0.25780651096233453</v>
      </c>
      <c r="AG1335">
        <f>Q1335/K1335</f>
        <v>0.99683825708922047</v>
      </c>
      <c r="AH1335">
        <f>Q1335/L1335</f>
        <v>0.83112282725100917</v>
      </c>
      <c r="AI1335" s="1">
        <f>R1335</f>
        <v>66.7</v>
      </c>
      <c r="AJ1335" s="1">
        <f>P1335</f>
        <v>17743000</v>
      </c>
    </row>
    <row r="1336" spans="1:36" x14ac:dyDescent="0.25">
      <c r="A1336" t="s">
        <v>210</v>
      </c>
      <c r="B1336">
        <v>2022</v>
      </c>
      <c r="C1336" s="1">
        <v>52477000</v>
      </c>
      <c r="D1336" s="1">
        <v>-289000</v>
      </c>
      <c r="E1336" s="1">
        <v>-358000</v>
      </c>
      <c r="F1336" s="1">
        <v>0</v>
      </c>
      <c r="G1336" s="1">
        <v>47210000</v>
      </c>
      <c r="H1336" s="1">
        <v>17182000</v>
      </c>
      <c r="I1336" s="1">
        <v>5460000</v>
      </c>
      <c r="J1336" s="1">
        <v>22471000</v>
      </c>
      <c r="K1336" s="1">
        <v>22471000</v>
      </c>
      <c r="L1336" s="1">
        <v>6887000</v>
      </c>
      <c r="M1336" s="1">
        <v>1350000</v>
      </c>
      <c r="N1336" s="1">
        <v>24739000</v>
      </c>
      <c r="O1336" s="1">
        <v>24739000</v>
      </c>
      <c r="P1336" s="1">
        <v>16596000</v>
      </c>
      <c r="Q1336" s="1">
        <v>9138000</v>
      </c>
      <c r="R1336" s="1">
        <v>33.9</v>
      </c>
      <c r="T1336">
        <f>E1336/G1336</f>
        <v>-7.5831391654310526E-3</v>
      </c>
      <c r="U1336">
        <f>D1336/C1336</f>
        <v>-5.5071745717171329E-3</v>
      </c>
      <c r="V1336">
        <f>(E1336-F1336)/O1336</f>
        <v>-1.4471078054893083E-2</v>
      </c>
      <c r="W1336">
        <f>H1336/K1336</f>
        <v>0.76462996751368428</v>
      </c>
      <c r="X1336">
        <f>(H1336-I1336)/K1336</f>
        <v>0.52165012683013667</v>
      </c>
      <c r="Y1336">
        <f>(H1336-K1336)/G1336</f>
        <v>-0.11203134929040458</v>
      </c>
      <c r="Z1336">
        <f>J1336/N1336</f>
        <v>0.90832289098185048</v>
      </c>
      <c r="AA1336">
        <f>J1336/G1336</f>
        <v>0.47597966532514296</v>
      </c>
      <c r="AB1336">
        <f>C1336/G1336</f>
        <v>1.1115653463249311</v>
      </c>
      <c r="AC1336">
        <f>C1336/(G1336-K1336)</f>
        <v>2.1212255952140344</v>
      </c>
      <c r="AD1336">
        <f>Q1336/E1336</f>
        <v>-25.52513966480447</v>
      </c>
      <c r="AE1336">
        <f>Q1336/J1336</f>
        <v>0.40665746962751992</v>
      </c>
      <c r="AF1336">
        <f>Q1336/G1336</f>
        <v>0.19356068629527642</v>
      </c>
      <c r="AG1336">
        <f>Q1336/K1336</f>
        <v>0.40665746962751992</v>
      </c>
      <c r="AH1336">
        <f>Q1336/L1336</f>
        <v>1.3268476840423986</v>
      </c>
      <c r="AI1336" s="1">
        <f>R1336</f>
        <v>33.9</v>
      </c>
      <c r="AJ1336" s="1">
        <f>P1336</f>
        <v>16596000</v>
      </c>
    </row>
    <row r="1337" spans="1:36" x14ac:dyDescent="0.25">
      <c r="A1337" t="s">
        <v>210</v>
      </c>
      <c r="B1337">
        <v>2023</v>
      </c>
      <c r="C1337" s="1">
        <v>56481000</v>
      </c>
      <c r="D1337" s="1">
        <v>6772000</v>
      </c>
      <c r="E1337" s="1">
        <v>4999000</v>
      </c>
      <c r="F1337" s="1">
        <v>0</v>
      </c>
      <c r="G1337" s="1">
        <v>47475000</v>
      </c>
      <c r="H1337" s="1">
        <v>15812000</v>
      </c>
      <c r="I1337" s="1">
        <v>8352000</v>
      </c>
      <c r="J1337" s="1">
        <v>16716000</v>
      </c>
      <c r="K1337" s="1">
        <v>16716000</v>
      </c>
      <c r="L1337" s="1">
        <v>12972000</v>
      </c>
      <c r="M1337" s="1">
        <v>1163000</v>
      </c>
      <c r="N1337" s="1">
        <v>30759000</v>
      </c>
      <c r="O1337" s="1">
        <v>30759000</v>
      </c>
      <c r="P1337" s="1">
        <v>21554000</v>
      </c>
      <c r="Q1337" s="1">
        <v>-7486000</v>
      </c>
      <c r="R1337" s="1">
        <v>50</v>
      </c>
      <c r="T1337">
        <f>E1337/G1337</f>
        <v>0.10529752501316482</v>
      </c>
      <c r="U1337">
        <f>D1337/C1337</f>
        <v>0.11989872700554169</v>
      </c>
      <c r="V1337">
        <f>(E1337-F1337)/O1337</f>
        <v>0.16252153841152184</v>
      </c>
      <c r="W1337">
        <f>H1337/K1337</f>
        <v>0.94592007657334287</v>
      </c>
      <c r="X1337">
        <f>(H1337-I1337)/K1337</f>
        <v>0.44627901411821008</v>
      </c>
      <c r="Y1337">
        <f>(H1337-K1337)/G1337</f>
        <v>-1.904160084254871E-2</v>
      </c>
      <c r="Z1337">
        <f>J1337/N1337</f>
        <v>0.54345069735687113</v>
      </c>
      <c r="AA1337">
        <f>J1337/G1337</f>
        <v>0.35210110584518167</v>
      </c>
      <c r="AB1337">
        <f>C1337/G1337</f>
        <v>1.189699842022117</v>
      </c>
      <c r="AC1337">
        <f>C1337/(G1337-K1337)</f>
        <v>1.8362430508143959</v>
      </c>
      <c r="AD1337">
        <f>Q1337/E1337</f>
        <v>-1.49749949989998</v>
      </c>
      <c r="AE1337">
        <f>Q1337/J1337</f>
        <v>-0.44783441014596792</v>
      </c>
      <c r="AF1337">
        <f>Q1337/G1337</f>
        <v>-0.15768299104791997</v>
      </c>
      <c r="AG1337">
        <f>Q1337/K1337</f>
        <v>-0.44783441014596792</v>
      </c>
      <c r="AH1337">
        <f>Q1337/L1337</f>
        <v>-0.57708911501695959</v>
      </c>
      <c r="AI1337" s="1">
        <f>R1337</f>
        <v>50</v>
      </c>
      <c r="AJ1337" s="1">
        <f>P1337</f>
        <v>21554000</v>
      </c>
    </row>
    <row r="1338" spans="1:36" x14ac:dyDescent="0.25">
      <c r="A1338" t="s">
        <v>210</v>
      </c>
      <c r="B1338">
        <v>2024</v>
      </c>
      <c r="C1338" s="1">
        <v>49824000</v>
      </c>
      <c r="D1338" s="1">
        <v>3448000</v>
      </c>
      <c r="E1338" s="1">
        <v>2422000</v>
      </c>
      <c r="F1338" s="1">
        <v>0</v>
      </c>
      <c r="G1338" s="1">
        <v>50633000</v>
      </c>
      <c r="H1338" s="1">
        <v>14926000</v>
      </c>
      <c r="I1338" s="1">
        <v>5685000</v>
      </c>
      <c r="J1338" s="1">
        <v>13809000</v>
      </c>
      <c r="K1338" s="1">
        <v>13809000</v>
      </c>
      <c r="L1338" s="1">
        <v>12926000</v>
      </c>
      <c r="M1338" s="1">
        <v>4600000</v>
      </c>
      <c r="N1338" s="1">
        <v>36824000</v>
      </c>
      <c r="O1338" s="1">
        <v>36824000</v>
      </c>
      <c r="P1338" s="1">
        <v>21991000</v>
      </c>
      <c r="Q1338" s="1">
        <v>5562000</v>
      </c>
      <c r="R1338" s="1">
        <v>51.5</v>
      </c>
      <c r="T1338">
        <f>E1338/G1338</f>
        <v>4.7834416289771496E-2</v>
      </c>
      <c r="U1338">
        <f>D1338/C1338</f>
        <v>6.920359666024406E-2</v>
      </c>
      <c r="V1338">
        <f>(E1338-F1338)/O1338</f>
        <v>6.5772322398435806E-2</v>
      </c>
      <c r="W1338">
        <f>H1338/K1338</f>
        <v>1.0808892751104353</v>
      </c>
      <c r="X1338">
        <f>(H1338-I1338)/K1338</f>
        <v>0.6692012455644869</v>
      </c>
      <c r="Y1338">
        <f>(H1338-K1338)/G1338</f>
        <v>2.206071139375506E-2</v>
      </c>
      <c r="Z1338">
        <f>J1338/N1338</f>
        <v>0.375</v>
      </c>
      <c r="AA1338">
        <f>J1338/G1338</f>
        <v>0.27272727272727271</v>
      </c>
      <c r="AB1338">
        <f>C1338/G1338</f>
        <v>0.9840222779610136</v>
      </c>
      <c r="AC1338">
        <f>C1338/(G1338-K1338)</f>
        <v>1.3530306321963936</v>
      </c>
      <c r="AD1338">
        <f>Q1338/E1338</f>
        <v>2.2964492155243601</v>
      </c>
      <c r="AE1338">
        <f>Q1338/J1338</f>
        <v>0.40278079513360854</v>
      </c>
      <c r="AF1338">
        <f>Q1338/G1338</f>
        <v>0.10984930776371141</v>
      </c>
      <c r="AG1338">
        <f>Q1338/K1338</f>
        <v>0.40278079513360854</v>
      </c>
      <c r="AH1338">
        <f>Q1338/L1338</f>
        <v>0.43029552839238744</v>
      </c>
      <c r="AI1338" s="1">
        <f>R1338</f>
        <v>51.5</v>
      </c>
      <c r="AJ1338" s="1">
        <f>P1338</f>
        <v>21991000</v>
      </c>
    </row>
    <row r="1339" spans="1:36" x14ac:dyDescent="0.25">
      <c r="A1339" t="s">
        <v>196</v>
      </c>
      <c r="B1339">
        <v>2018</v>
      </c>
      <c r="C1339" s="1">
        <v>4061310</v>
      </c>
      <c r="D1339" s="1">
        <v>616828</v>
      </c>
      <c r="E1339" s="1">
        <v>547567</v>
      </c>
      <c r="G1339" s="1">
        <v>4725146</v>
      </c>
      <c r="H1339" s="1">
        <v>1384270</v>
      </c>
      <c r="I1339" s="1">
        <v>454884</v>
      </c>
      <c r="J1339" s="1">
        <v>2032036</v>
      </c>
      <c r="K1339" s="1">
        <v>628894</v>
      </c>
      <c r="L1339" s="1">
        <v>161999</v>
      </c>
      <c r="M1339" s="1">
        <v>96633</v>
      </c>
      <c r="N1339" s="1">
        <v>2693110</v>
      </c>
      <c r="O1339" s="1">
        <v>2693110</v>
      </c>
      <c r="P1339" s="1">
        <v>1980539</v>
      </c>
      <c r="Q1339" s="1">
        <v>815818</v>
      </c>
      <c r="R1339" s="1">
        <v>54.5</v>
      </c>
      <c r="T1339">
        <f>E1339/G1339</f>
        <v>0.11588361502480558</v>
      </c>
      <c r="U1339">
        <f>D1339/C1339</f>
        <v>0.15187907350091473</v>
      </c>
      <c r="V1339">
        <f>(E1339-F1339)/O1339</f>
        <v>0.20332143878267134</v>
      </c>
      <c r="W1339">
        <f>H1339/K1339</f>
        <v>2.2011181534567035</v>
      </c>
      <c r="X1339">
        <f>(H1339-I1339)/K1339</f>
        <v>1.4778102510120943</v>
      </c>
      <c r="Y1339">
        <f>(H1339-K1339)/G1339</f>
        <v>0.15986299682591817</v>
      </c>
      <c r="Z1339">
        <f>J1339/N1339</f>
        <v>0.75453137822071881</v>
      </c>
      <c r="AA1339">
        <f>J1339/G1339</f>
        <v>0.43004724086832447</v>
      </c>
      <c r="AB1339">
        <f>C1339/G1339</f>
        <v>0.85950994953383453</v>
      </c>
      <c r="AC1339">
        <f>C1339/(G1339-K1339)</f>
        <v>0.9914697630907473</v>
      </c>
      <c r="AD1339">
        <f>Q1339/E1339</f>
        <v>1.4898962136140417</v>
      </c>
      <c r="AE1339">
        <f>Q1339/J1339</f>
        <v>0.4014781234190733</v>
      </c>
      <c r="AF1339">
        <f>Q1339/G1339</f>
        <v>0.17265455924536513</v>
      </c>
      <c r="AG1339">
        <f>Q1339/K1339</f>
        <v>1.2972265596428014</v>
      </c>
      <c r="AH1339">
        <f>Q1339/L1339</f>
        <v>5.0359446663251006</v>
      </c>
      <c r="AI1339" s="1">
        <f>R1339</f>
        <v>54.5</v>
      </c>
      <c r="AJ1339" s="1">
        <f>P1339</f>
        <v>1980539</v>
      </c>
    </row>
    <row r="1340" spans="1:36" x14ac:dyDescent="0.25">
      <c r="A1340" t="s">
        <v>196</v>
      </c>
      <c r="B1340">
        <v>2019</v>
      </c>
      <c r="C1340" s="1">
        <v>4025913</v>
      </c>
      <c r="D1340" s="1">
        <v>483681</v>
      </c>
      <c r="E1340" s="1">
        <v>412715</v>
      </c>
      <c r="G1340" s="1">
        <v>5022500</v>
      </c>
      <c r="H1340" s="1">
        <v>1679708</v>
      </c>
      <c r="I1340" s="1">
        <v>452416</v>
      </c>
      <c r="J1340" s="1">
        <v>2203736</v>
      </c>
      <c r="K1340" s="1">
        <v>682108</v>
      </c>
      <c r="L1340" s="1">
        <v>40025</v>
      </c>
      <c r="M1340" s="1">
        <v>17582</v>
      </c>
      <c r="N1340" s="1">
        <v>2818764</v>
      </c>
      <c r="O1340" s="1">
        <v>2818764</v>
      </c>
      <c r="P1340" s="1">
        <v>2097176</v>
      </c>
      <c r="Q1340" s="1">
        <v>629399</v>
      </c>
      <c r="R1340" s="1">
        <v>48.7</v>
      </c>
      <c r="T1340">
        <f>E1340/G1340</f>
        <v>8.2173220507715278E-2</v>
      </c>
      <c r="U1340">
        <f>D1340/C1340</f>
        <v>0.12014194047412351</v>
      </c>
      <c r="V1340">
        <f>(E1340-F1340)/O1340</f>
        <v>0.14641701114389144</v>
      </c>
      <c r="W1340">
        <f>H1340/K1340</f>
        <v>2.4625249960416826</v>
      </c>
      <c r="X1340">
        <f>(H1340-I1340)/K1340</f>
        <v>1.7992634597453776</v>
      </c>
      <c r="Y1340">
        <f>(H1340-K1340)/G1340</f>
        <v>0.19862618218018915</v>
      </c>
      <c r="Z1340">
        <f>J1340/N1340</f>
        <v>0.7818093320334728</v>
      </c>
      <c r="AA1340">
        <f>J1340/G1340</f>
        <v>0.43877272274763562</v>
      </c>
      <c r="AB1340">
        <f>C1340/G1340</f>
        <v>0.80157551020408169</v>
      </c>
      <c r="AC1340">
        <f>C1340/(G1340-K1340)</f>
        <v>0.92754594515887046</v>
      </c>
      <c r="AD1340">
        <f>Q1340/E1340</f>
        <v>1.5250208981985147</v>
      </c>
      <c r="AE1340">
        <f>Q1340/J1340</f>
        <v>0.28560544457230813</v>
      </c>
      <c r="AF1340">
        <f>Q1340/G1340</f>
        <v>0.12531587854654055</v>
      </c>
      <c r="AG1340">
        <f>Q1340/K1340</f>
        <v>0.9227263131351634</v>
      </c>
      <c r="AH1340">
        <f>Q1340/L1340</f>
        <v>15.725146783260461</v>
      </c>
      <c r="AI1340" s="1">
        <f>R1340</f>
        <v>48.7</v>
      </c>
      <c r="AJ1340" s="1">
        <f>P1340</f>
        <v>2097176</v>
      </c>
    </row>
    <row r="1341" spans="1:36" x14ac:dyDescent="0.25">
      <c r="A1341" t="s">
        <v>196</v>
      </c>
      <c r="B1341">
        <v>2020</v>
      </c>
      <c r="C1341" s="1">
        <v>3886417</v>
      </c>
      <c r="D1341" s="1">
        <v>218789</v>
      </c>
      <c r="E1341" s="1">
        <v>196574</v>
      </c>
      <c r="G1341" s="1">
        <v>5088277</v>
      </c>
      <c r="H1341" s="1">
        <v>1632224</v>
      </c>
      <c r="I1341" s="1">
        <v>303822</v>
      </c>
      <c r="J1341" s="1">
        <v>2056628</v>
      </c>
      <c r="K1341" s="1">
        <v>408924</v>
      </c>
      <c r="L1341" s="1">
        <v>18162</v>
      </c>
      <c r="M1341" s="1">
        <v>13097</v>
      </c>
      <c r="N1341" s="1">
        <v>3031649</v>
      </c>
      <c r="O1341" s="1">
        <v>3031649</v>
      </c>
      <c r="P1341" s="1">
        <v>2318389</v>
      </c>
      <c r="Q1341" s="1">
        <v>505211</v>
      </c>
      <c r="R1341" s="1">
        <v>39.9</v>
      </c>
      <c r="T1341">
        <f>E1341/G1341</f>
        <v>3.8632723808078848E-2</v>
      </c>
      <c r="U1341">
        <f>D1341/C1341</f>
        <v>5.6295811797859058E-2</v>
      </c>
      <c r="V1341">
        <f>(E1341-F1341)/O1341</f>
        <v>6.4840619741929229E-2</v>
      </c>
      <c r="W1341">
        <f>H1341/K1341</f>
        <v>3.9915094247341805</v>
      </c>
      <c r="X1341">
        <f>(H1341-I1341)/K1341</f>
        <v>3.2485302892469017</v>
      </c>
      <c r="Y1341">
        <f>(H1341-K1341)/G1341</f>
        <v>0.24041537046823513</v>
      </c>
      <c r="Z1341">
        <f>J1341/N1341</f>
        <v>0.67838592132532494</v>
      </c>
      <c r="AA1341">
        <f>J1341/G1341</f>
        <v>0.4041894731753008</v>
      </c>
      <c r="AB1341">
        <f>C1341/G1341</f>
        <v>0.7637982366132976</v>
      </c>
      <c r="AC1341">
        <f>C1341/(G1341-K1341)</f>
        <v>0.83054580408872769</v>
      </c>
      <c r="AD1341">
        <f>Q1341/E1341</f>
        <v>2.5700804785983906</v>
      </c>
      <c r="AE1341">
        <f>Q1341/J1341</f>
        <v>0.24565016133204448</v>
      </c>
      <c r="AF1341">
        <f>Q1341/G1341</f>
        <v>9.9289209294226716E-2</v>
      </c>
      <c r="AG1341">
        <f>Q1341/K1341</f>
        <v>1.2354642916532168</v>
      </c>
      <c r="AH1341">
        <f>Q1341/L1341</f>
        <v>27.816925448739127</v>
      </c>
      <c r="AI1341" s="1">
        <f>R1341</f>
        <v>39.9</v>
      </c>
      <c r="AJ1341" s="1">
        <f>P1341</f>
        <v>2318389</v>
      </c>
    </row>
    <row r="1342" spans="1:36" x14ac:dyDescent="0.25">
      <c r="A1342" t="s">
        <v>196</v>
      </c>
      <c r="B1342">
        <v>2021</v>
      </c>
      <c r="C1342" s="1">
        <v>4488639</v>
      </c>
      <c r="D1342" s="1">
        <v>771718</v>
      </c>
      <c r="E1342" s="1">
        <v>711740</v>
      </c>
      <c r="G1342" s="1">
        <v>5912871</v>
      </c>
      <c r="H1342" s="1">
        <v>2458001</v>
      </c>
      <c r="I1342" s="1">
        <v>424705</v>
      </c>
      <c r="J1342" s="1">
        <v>2200446</v>
      </c>
      <c r="K1342" s="1">
        <v>666835</v>
      </c>
      <c r="L1342" s="1">
        <v>33927</v>
      </c>
      <c r="M1342" s="1">
        <v>13754</v>
      </c>
      <c r="N1342" s="1">
        <v>3712425</v>
      </c>
      <c r="O1342" s="1">
        <v>3712425</v>
      </c>
      <c r="P1342" s="1">
        <v>2987968</v>
      </c>
      <c r="Q1342" s="1">
        <v>916596</v>
      </c>
      <c r="R1342" s="1">
        <v>37.5</v>
      </c>
      <c r="T1342">
        <f>E1342/G1342</f>
        <v>0.12037130524241101</v>
      </c>
      <c r="U1342">
        <f>D1342/C1342</f>
        <v>0.17192694712138801</v>
      </c>
      <c r="V1342">
        <f>(E1342-F1342)/O1342</f>
        <v>0.1917183512124824</v>
      </c>
      <c r="W1342">
        <f>H1342/K1342</f>
        <v>3.6860707671312993</v>
      </c>
      <c r="X1342">
        <f>(H1342-I1342)/K1342</f>
        <v>3.049174083543905</v>
      </c>
      <c r="Y1342">
        <f>(H1342-K1342)/G1342</f>
        <v>0.30292661551385103</v>
      </c>
      <c r="Z1342">
        <f>J1342/N1342</f>
        <v>0.59272470150912138</v>
      </c>
      <c r="AA1342">
        <f>J1342/G1342</f>
        <v>0.37214510514435373</v>
      </c>
      <c r="AB1342">
        <f>C1342/G1342</f>
        <v>0.75913020933485609</v>
      </c>
      <c r="AC1342">
        <f>C1342/(G1342-K1342)</f>
        <v>0.8556248946823849</v>
      </c>
      <c r="AD1342">
        <f>Q1342/E1342</f>
        <v>1.2878242054682889</v>
      </c>
      <c r="AE1342">
        <f>Q1342/J1342</f>
        <v>0.41655009938894205</v>
      </c>
      <c r="AF1342">
        <f>Q1342/G1342</f>
        <v>0.15501708053498883</v>
      </c>
      <c r="AG1342">
        <f>Q1342/K1342</f>
        <v>1.3745469269009576</v>
      </c>
      <c r="AH1342">
        <f>Q1342/L1342</f>
        <v>27.016712352993192</v>
      </c>
      <c r="AI1342" s="1">
        <f>R1342</f>
        <v>37.5</v>
      </c>
      <c r="AJ1342" s="1">
        <f>P1342</f>
        <v>2987968</v>
      </c>
    </row>
    <row r="1343" spans="1:36" x14ac:dyDescent="0.25">
      <c r="A1343" t="s">
        <v>196</v>
      </c>
      <c r="B1343">
        <v>2022</v>
      </c>
      <c r="C1343" s="1">
        <v>4727355</v>
      </c>
      <c r="D1343" s="1">
        <v>837291</v>
      </c>
      <c r="E1343" s="1">
        <v>817372</v>
      </c>
      <c r="G1343" s="1">
        <v>6551514</v>
      </c>
      <c r="H1343" s="1">
        <v>2863867</v>
      </c>
      <c r="I1343" s="1">
        <v>483036</v>
      </c>
      <c r="J1343" s="1">
        <v>2101683</v>
      </c>
      <c r="K1343" s="1">
        <v>655719</v>
      </c>
      <c r="L1343" s="1">
        <v>13754</v>
      </c>
      <c r="M1343" s="1">
        <v>6112</v>
      </c>
      <c r="N1343" s="1">
        <v>4449831</v>
      </c>
      <c r="O1343" s="1">
        <v>4449831</v>
      </c>
      <c r="P1343" s="1">
        <v>3708170</v>
      </c>
      <c r="Q1343" s="1">
        <v>730035</v>
      </c>
      <c r="R1343" s="1">
        <v>42.6</v>
      </c>
      <c r="T1343">
        <f>E1343/G1343</f>
        <v>0.12476078048524357</v>
      </c>
      <c r="U1343">
        <f>D1343/C1343</f>
        <v>0.17711616749746953</v>
      </c>
      <c r="V1343">
        <f>(E1343-F1343)/O1343</f>
        <v>0.18368607706674703</v>
      </c>
      <c r="W1343">
        <f>H1343/K1343</f>
        <v>4.3675217585581629</v>
      </c>
      <c r="X1343">
        <f>(H1343-I1343)/K1343</f>
        <v>3.6308708455908705</v>
      </c>
      <c r="Y1343">
        <f>(H1343-K1343)/G1343</f>
        <v>0.33704392602992223</v>
      </c>
      <c r="Z1343">
        <f>J1343/N1343</f>
        <v>0.47230625163067991</v>
      </c>
      <c r="AA1343">
        <f>J1343/G1343</f>
        <v>0.32079348376573719</v>
      </c>
      <c r="AB1343">
        <f>C1343/G1343</f>
        <v>0.72156680120045535</v>
      </c>
      <c r="AC1343">
        <f>C1343/(G1343-K1343)</f>
        <v>0.80181807542494266</v>
      </c>
      <c r="AD1343">
        <f>Q1343/E1343</f>
        <v>0.89314901905130095</v>
      </c>
      <c r="AE1343">
        <f>Q1343/J1343</f>
        <v>0.34735733219519782</v>
      </c>
      <c r="AF1343">
        <f>Q1343/G1343</f>
        <v>0.11142996870646998</v>
      </c>
      <c r="AG1343">
        <f>Q1343/K1343</f>
        <v>1.1133351328846655</v>
      </c>
      <c r="AH1343">
        <f>Q1343/L1343</f>
        <v>53.078013668750906</v>
      </c>
      <c r="AI1343" s="1">
        <f>R1343</f>
        <v>42.6</v>
      </c>
      <c r="AJ1343" s="1">
        <f>P1343</f>
        <v>3708170</v>
      </c>
    </row>
    <row r="1344" spans="1:36" x14ac:dyDescent="0.25">
      <c r="A1344" t="s">
        <v>196</v>
      </c>
      <c r="B1344">
        <v>2023</v>
      </c>
      <c r="C1344" s="1">
        <v>8199353</v>
      </c>
      <c r="D1344" s="1">
        <v>3298269</v>
      </c>
      <c r="E1344" s="1">
        <v>2578786</v>
      </c>
      <c r="G1344" s="1">
        <v>4090522</v>
      </c>
      <c r="H1344" s="1">
        <v>5054918</v>
      </c>
      <c r="I1344" s="1">
        <v>830826</v>
      </c>
      <c r="J1344" s="1">
        <v>2978280</v>
      </c>
      <c r="K1344" s="1">
        <v>1234271</v>
      </c>
      <c r="L1344" s="1">
        <v>6111</v>
      </c>
      <c r="M1344" s="1">
        <v>2619</v>
      </c>
      <c r="N1344" s="1">
        <v>1112242</v>
      </c>
      <c r="O1344" s="1">
        <v>1112242</v>
      </c>
      <c r="P1344" s="1">
        <v>5335371</v>
      </c>
      <c r="Q1344" s="1">
        <v>3163722</v>
      </c>
      <c r="R1344" s="1">
        <v>88.6</v>
      </c>
      <c r="T1344">
        <f>E1344/G1344</f>
        <v>0.63042956375738846</v>
      </c>
      <c r="U1344">
        <f>D1344/C1344</f>
        <v>0.40225966609804459</v>
      </c>
      <c r="V1344">
        <f>(E1344-F1344)/O1344</f>
        <v>2.3185475822707646</v>
      </c>
      <c r="W1344">
        <f>H1344/K1344</f>
        <v>4.0954684992193773</v>
      </c>
      <c r="X1344">
        <f>(H1344-I1344)/K1344</f>
        <v>3.4223375579593136</v>
      </c>
      <c r="Y1344">
        <f>(H1344-K1344)/G1344</f>
        <v>0.934024312789419</v>
      </c>
      <c r="Z1344">
        <f>J1344/N1344</f>
        <v>2.6777266098564882</v>
      </c>
      <c r="AA1344">
        <f>J1344/G1344</f>
        <v>0.72809289376759245</v>
      </c>
      <c r="AB1344">
        <f>C1344/G1344</f>
        <v>2.0044759568583177</v>
      </c>
      <c r="AC1344">
        <f>C1344/(G1344-K1344)</f>
        <v>2.8706696295248562</v>
      </c>
      <c r="AD1344">
        <f>Q1344/E1344</f>
        <v>1.226826111201162</v>
      </c>
      <c r="AE1344">
        <f>Q1344/J1344</f>
        <v>1.06226479713123</v>
      </c>
      <c r="AF1344">
        <f>Q1344/G1344</f>
        <v>0.77342745009072189</v>
      </c>
      <c r="AG1344">
        <f>Q1344/K1344</f>
        <v>2.5632312514836695</v>
      </c>
      <c r="AH1344">
        <f>Q1344/L1344</f>
        <v>517.70937653411875</v>
      </c>
      <c r="AI1344" s="1">
        <f>R1344</f>
        <v>88.6</v>
      </c>
      <c r="AJ1344" s="1">
        <f>P1344</f>
        <v>5335371</v>
      </c>
    </row>
    <row r="1345" spans="1:36" x14ac:dyDescent="0.25">
      <c r="A1345" t="s">
        <v>196</v>
      </c>
      <c r="B1345">
        <v>2024</v>
      </c>
      <c r="C1345" s="1">
        <v>7763611</v>
      </c>
      <c r="D1345" s="1">
        <v>2134648</v>
      </c>
      <c r="E1345" s="1">
        <v>1643452</v>
      </c>
      <c r="G1345" s="1">
        <v>4669008</v>
      </c>
      <c r="H1345" s="1">
        <v>5188757</v>
      </c>
      <c r="I1345" s="1">
        <v>749802</v>
      </c>
      <c r="J1345" s="1">
        <v>3488228</v>
      </c>
      <c r="K1345" s="1">
        <v>1385324</v>
      </c>
      <c r="L1345" s="1">
        <v>2619</v>
      </c>
      <c r="M1345" s="1">
        <v>0</v>
      </c>
      <c r="N1345" s="1">
        <v>1180780</v>
      </c>
      <c r="O1345" s="1">
        <v>1180780</v>
      </c>
      <c r="P1345" s="1">
        <v>5520526</v>
      </c>
      <c r="Q1345" s="1">
        <v>1997124</v>
      </c>
      <c r="R1345" s="1">
        <v>113.75</v>
      </c>
      <c r="T1345">
        <f>E1345/G1345</f>
        <v>0.35199168645673773</v>
      </c>
      <c r="U1345">
        <f>D1345/C1345</f>
        <v>0.2749555586955606</v>
      </c>
      <c r="V1345">
        <f>(E1345-F1345)/O1345</f>
        <v>1.3918359050796931</v>
      </c>
      <c r="W1345">
        <f>H1345/K1345</f>
        <v>3.7455187378548267</v>
      </c>
      <c r="X1345">
        <f>(H1345-I1345)/K1345</f>
        <v>3.2042720692054711</v>
      </c>
      <c r="Y1345">
        <f>(H1345-K1345)/G1345</f>
        <v>0.8146126543368527</v>
      </c>
      <c r="Z1345">
        <f>J1345/N1345</f>
        <v>2.9541726655261775</v>
      </c>
      <c r="AA1345">
        <f>J1345/G1345</f>
        <v>0.74710259652585731</v>
      </c>
      <c r="AB1345">
        <f>C1345/G1345</f>
        <v>1.6627966797229732</v>
      </c>
      <c r="AC1345">
        <f>C1345/(G1345-K1345)</f>
        <v>2.3642990616636679</v>
      </c>
      <c r="AD1345">
        <f>Q1345/E1345</f>
        <v>1.2152006873337342</v>
      </c>
      <c r="AE1345">
        <f>Q1345/J1345</f>
        <v>0.57253252941034816</v>
      </c>
      <c r="AF1345">
        <f>Q1345/G1345</f>
        <v>0.42774053931798789</v>
      </c>
      <c r="AG1345">
        <f>Q1345/K1345</f>
        <v>1.441629539371295</v>
      </c>
      <c r="AH1345">
        <f>Q1345/L1345</f>
        <v>762.55211912943867</v>
      </c>
      <c r="AI1345" s="1">
        <f>R1345</f>
        <v>113.75</v>
      </c>
      <c r="AJ1345" s="1">
        <f>P1345</f>
        <v>5520526</v>
      </c>
    </row>
    <row r="1346" spans="1:36" x14ac:dyDescent="0.25">
      <c r="A1346" t="s">
        <v>211</v>
      </c>
      <c r="B1346">
        <v>2018</v>
      </c>
      <c r="C1346" s="1">
        <v>3198851</v>
      </c>
      <c r="D1346" s="1">
        <v>1015971</v>
      </c>
      <c r="E1346" s="1">
        <v>883189</v>
      </c>
      <c r="G1346" s="1">
        <v>7677470</v>
      </c>
      <c r="H1346" s="1">
        <v>665809</v>
      </c>
      <c r="I1346" s="1">
        <v>37968</v>
      </c>
      <c r="J1346" s="1">
        <v>1494351</v>
      </c>
      <c r="K1346" s="1">
        <v>667505</v>
      </c>
      <c r="L1346" s="1">
        <v>292312</v>
      </c>
      <c r="M1346" s="1">
        <v>146156</v>
      </c>
      <c r="N1346" s="1">
        <v>6183119</v>
      </c>
      <c r="O1346" s="1">
        <v>6183119</v>
      </c>
      <c r="P1346" s="1">
        <v>3509347</v>
      </c>
      <c r="Q1346" s="1">
        <v>678944</v>
      </c>
      <c r="R1346" s="1">
        <v>95</v>
      </c>
      <c r="T1346">
        <f>E1346/G1346</f>
        <v>0.1150364638350915</v>
      </c>
      <c r="U1346">
        <f>D1346/C1346</f>
        <v>0.31760497753724698</v>
      </c>
      <c r="V1346">
        <f>(E1346-F1346)/O1346</f>
        <v>0.14283875176913141</v>
      </c>
      <c r="W1346">
        <f>H1346/K1346</f>
        <v>0.99745919506220926</v>
      </c>
      <c r="X1346">
        <f>(H1346-I1346)/K1346</f>
        <v>0.94057872225676209</v>
      </c>
      <c r="Y1346">
        <f>(H1346-K1346)/G1346</f>
        <v>-2.2090610578745341E-4</v>
      </c>
      <c r="Z1346">
        <f>J1346/N1346</f>
        <v>0.24168239362690577</v>
      </c>
      <c r="AA1346">
        <f>J1346/G1346</f>
        <v>0.19464107316602997</v>
      </c>
      <c r="AB1346">
        <f>C1346/G1346</f>
        <v>0.41665431450725304</v>
      </c>
      <c r="AC1346">
        <f>C1346/(G1346-K1346)</f>
        <v>0.45632909722088483</v>
      </c>
      <c r="AD1346">
        <f>Q1346/E1346</f>
        <v>0.76874145851001319</v>
      </c>
      <c r="AE1346">
        <f>Q1346/J1346</f>
        <v>0.45434037920140585</v>
      </c>
      <c r="AF1346">
        <f>Q1346/G1346</f>
        <v>8.8433298990422626E-2</v>
      </c>
      <c r="AG1346">
        <f>Q1346/K1346</f>
        <v>1.0171369502850165</v>
      </c>
      <c r="AH1346">
        <f>Q1346/L1346</f>
        <v>2.322668929089466</v>
      </c>
      <c r="AI1346" s="1">
        <f>R1346</f>
        <v>95</v>
      </c>
      <c r="AJ1346" s="1">
        <f>P1346</f>
        <v>3509347</v>
      </c>
    </row>
    <row r="1347" spans="1:36" x14ac:dyDescent="0.25">
      <c r="A1347" t="s">
        <v>211</v>
      </c>
      <c r="B1347">
        <v>2019</v>
      </c>
      <c r="C1347" s="1">
        <v>2825425</v>
      </c>
      <c r="D1347" s="1">
        <v>582185</v>
      </c>
      <c r="E1347" s="1">
        <v>471424</v>
      </c>
      <c r="G1347" s="1">
        <v>7813703</v>
      </c>
      <c r="H1347" s="1">
        <v>745348</v>
      </c>
      <c r="I1347" s="1">
        <v>36253</v>
      </c>
      <c r="J1347" s="1">
        <v>1369532</v>
      </c>
      <c r="K1347" s="1">
        <v>814068</v>
      </c>
      <c r="L1347" s="1">
        <v>165479</v>
      </c>
      <c r="M1347" s="1">
        <v>132582</v>
      </c>
      <c r="N1347" s="1">
        <v>6444171</v>
      </c>
      <c r="O1347" s="1">
        <v>6444171</v>
      </c>
      <c r="P1347" s="1">
        <v>3803088</v>
      </c>
      <c r="Q1347" s="1">
        <v>536336</v>
      </c>
      <c r="R1347" s="1">
        <v>76.400000000000006</v>
      </c>
      <c r="T1347">
        <f>E1347/G1347</f>
        <v>6.0332981686148042E-2</v>
      </c>
      <c r="U1347">
        <f>D1347/C1347</f>
        <v>0.20605218683914808</v>
      </c>
      <c r="V1347">
        <f>(E1347-F1347)/O1347</f>
        <v>7.31551040467424E-2</v>
      </c>
      <c r="W1347">
        <f>H1347/K1347</f>
        <v>0.91558444749087298</v>
      </c>
      <c r="X1347">
        <f>(H1347-I1347)/K1347</f>
        <v>0.87105131266675506</v>
      </c>
      <c r="Y1347">
        <f>(H1347-K1347)/G1347</f>
        <v>-8.7948057406328339E-3</v>
      </c>
      <c r="Z1347">
        <f>J1347/N1347</f>
        <v>0.2125226037608251</v>
      </c>
      <c r="AA1347">
        <f>J1347/G1347</f>
        <v>0.17527310674593083</v>
      </c>
      <c r="AB1347">
        <f>C1347/G1347</f>
        <v>0.36159871958276379</v>
      </c>
      <c r="AC1347">
        <f>C1347/(G1347-K1347)</f>
        <v>0.40365319048778975</v>
      </c>
      <c r="AD1347">
        <f>Q1347/E1347</f>
        <v>1.1376934564213956</v>
      </c>
      <c r="AE1347">
        <f>Q1347/J1347</f>
        <v>0.39161991103530258</v>
      </c>
      <c r="AF1347">
        <f>Q1347/G1347</f>
        <v>6.8640438470722528E-2</v>
      </c>
      <c r="AG1347">
        <f>Q1347/K1347</f>
        <v>0.65883439712653002</v>
      </c>
      <c r="AH1347">
        <f>Q1347/L1347</f>
        <v>3.2411121652898554</v>
      </c>
      <c r="AI1347" s="1">
        <f>R1347</f>
        <v>76.400000000000006</v>
      </c>
      <c r="AJ1347" s="1">
        <f>P1347</f>
        <v>3803088</v>
      </c>
    </row>
    <row r="1348" spans="1:36" x14ac:dyDescent="0.25">
      <c r="A1348" t="s">
        <v>211</v>
      </c>
      <c r="B1348">
        <v>2020</v>
      </c>
      <c r="C1348" s="1">
        <v>2328596</v>
      </c>
      <c r="D1348" s="1">
        <v>329587</v>
      </c>
      <c r="E1348" s="1">
        <v>275220</v>
      </c>
      <c r="G1348" s="1">
        <v>7886933</v>
      </c>
      <c r="H1348" s="1">
        <v>707565</v>
      </c>
      <c r="I1348" s="1">
        <v>39858</v>
      </c>
      <c r="J1348" s="1">
        <v>1258863</v>
      </c>
      <c r="K1348" s="1">
        <v>698389</v>
      </c>
      <c r="L1348" s="1">
        <v>186573</v>
      </c>
      <c r="M1348" s="1">
        <v>146619</v>
      </c>
      <c r="N1348" s="1">
        <v>6628070</v>
      </c>
      <c r="O1348" s="1">
        <v>6628070</v>
      </c>
      <c r="P1348" s="1">
        <v>4011482</v>
      </c>
      <c r="Q1348" s="1">
        <v>333278</v>
      </c>
      <c r="R1348" s="1">
        <v>56.3</v>
      </c>
      <c r="T1348">
        <f>E1348/G1348</f>
        <v>3.4895693928172079E-2</v>
      </c>
      <c r="U1348">
        <f>D1348/C1348</f>
        <v>0.14153893590816097</v>
      </c>
      <c r="V1348">
        <f>(E1348-F1348)/O1348</f>
        <v>4.1523399722694539E-2</v>
      </c>
      <c r="W1348">
        <f>H1348/K1348</f>
        <v>1.0131388094600573</v>
      </c>
      <c r="X1348">
        <f>(H1348-I1348)/K1348</f>
        <v>0.95606746383462515</v>
      </c>
      <c r="Y1348">
        <f>(H1348-K1348)/G1348</f>
        <v>1.1634433816034699E-3</v>
      </c>
      <c r="Z1348">
        <f>J1348/N1348</f>
        <v>0.18992904420140402</v>
      </c>
      <c r="AA1348">
        <f>J1348/G1348</f>
        <v>0.15961375606969147</v>
      </c>
      <c r="AB1348">
        <f>C1348/G1348</f>
        <v>0.29524734139366976</v>
      </c>
      <c r="AC1348">
        <f>C1348/(G1348-K1348)</f>
        <v>0.32393152215525145</v>
      </c>
      <c r="AD1348">
        <f>Q1348/E1348</f>
        <v>1.2109512390087929</v>
      </c>
      <c r="AE1348">
        <f>Q1348/J1348</f>
        <v>0.2647452502774329</v>
      </c>
      <c r="AF1348">
        <f>Q1348/G1348</f>
        <v>4.2256983798391594E-2</v>
      </c>
      <c r="AG1348">
        <f>Q1348/K1348</f>
        <v>0.47720969259252366</v>
      </c>
      <c r="AH1348">
        <f>Q1348/L1348</f>
        <v>1.7863142040916959</v>
      </c>
      <c r="AI1348" s="1">
        <f>R1348</f>
        <v>56.3</v>
      </c>
      <c r="AJ1348" s="1">
        <f>P1348</f>
        <v>4011482</v>
      </c>
    </row>
    <row r="1349" spans="1:36" x14ac:dyDescent="0.25">
      <c r="A1349" t="s">
        <v>211</v>
      </c>
      <c r="B1349">
        <v>2021</v>
      </c>
      <c r="C1349" s="1">
        <v>810968</v>
      </c>
      <c r="D1349" s="1">
        <v>-921809</v>
      </c>
      <c r="E1349" s="1">
        <v>-818746</v>
      </c>
      <c r="G1349" s="1">
        <v>7172289</v>
      </c>
      <c r="H1349" s="1">
        <v>234368</v>
      </c>
      <c r="I1349" s="1">
        <v>36535</v>
      </c>
      <c r="J1349" s="1">
        <v>1328142</v>
      </c>
      <c r="K1349" s="1">
        <v>894588</v>
      </c>
      <c r="L1349" s="1">
        <v>217527</v>
      </c>
      <c r="M1349" s="1">
        <v>177511</v>
      </c>
      <c r="N1349" s="1">
        <v>5844147</v>
      </c>
      <c r="O1349" s="1">
        <v>5844147</v>
      </c>
      <c r="P1349" s="1">
        <v>3217952</v>
      </c>
      <c r="Q1349" s="1">
        <v>-228321</v>
      </c>
      <c r="R1349" s="1">
        <v>55.9</v>
      </c>
      <c r="T1349">
        <f>E1349/G1349</f>
        <v>-0.11415407270956315</v>
      </c>
      <c r="U1349">
        <f>D1349/C1349</f>
        <v>-1.1366774028075091</v>
      </c>
      <c r="V1349">
        <f>(E1349-F1349)/O1349</f>
        <v>-0.14009674979085912</v>
      </c>
      <c r="W1349">
        <f>H1349/K1349</f>
        <v>0.26198428773916038</v>
      </c>
      <c r="X1349">
        <f>(H1349-I1349)/K1349</f>
        <v>0.22114425858607537</v>
      </c>
      <c r="Y1349">
        <f>(H1349-K1349)/G1349</f>
        <v>-9.2051505453837681E-2</v>
      </c>
      <c r="Z1349">
        <f>J1349/N1349</f>
        <v>0.22726019725376517</v>
      </c>
      <c r="AA1349">
        <f>J1349/G1349</f>
        <v>0.18517686613018522</v>
      </c>
      <c r="AB1349">
        <f>C1349/G1349</f>
        <v>0.11306962114884105</v>
      </c>
      <c r="AC1349">
        <f>C1349/(G1349-K1349)</f>
        <v>0.12918232327407755</v>
      </c>
      <c r="AD1349">
        <f>Q1349/E1349</f>
        <v>0.27886670591367774</v>
      </c>
      <c r="AE1349">
        <f>Q1349/J1349</f>
        <v>-0.17191008190389281</v>
      </c>
      <c r="AF1349">
        <f>Q1349/G1349</f>
        <v>-3.1833770223146332E-2</v>
      </c>
      <c r="AG1349">
        <f>Q1349/K1349</f>
        <v>-0.25522475150572105</v>
      </c>
      <c r="AH1349">
        <f>Q1349/L1349</f>
        <v>-1.0496214263057</v>
      </c>
      <c r="AI1349" s="1">
        <f>R1349</f>
        <v>55.9</v>
      </c>
      <c r="AJ1349" s="1">
        <f>P1349</f>
        <v>3217952</v>
      </c>
    </row>
    <row r="1350" spans="1:36" x14ac:dyDescent="0.25">
      <c r="A1350" t="s">
        <v>211</v>
      </c>
      <c r="B1350">
        <v>2022</v>
      </c>
      <c r="C1350" s="1">
        <v>1817224</v>
      </c>
      <c r="D1350" s="1">
        <v>127111</v>
      </c>
      <c r="E1350" s="1">
        <v>4100</v>
      </c>
      <c r="G1350" s="1">
        <v>7555345</v>
      </c>
      <c r="H1350" s="1">
        <v>482684</v>
      </c>
      <c r="I1350" s="1">
        <v>68971</v>
      </c>
      <c r="J1350" s="1">
        <v>1665763</v>
      </c>
      <c r="K1350" s="1">
        <v>1234797</v>
      </c>
      <c r="L1350" s="1">
        <v>236546</v>
      </c>
      <c r="M1350" s="1">
        <v>179358</v>
      </c>
      <c r="N1350" s="1">
        <v>5889582</v>
      </c>
      <c r="O1350" s="1">
        <v>5889582</v>
      </c>
      <c r="P1350" s="1">
        <v>3252158</v>
      </c>
      <c r="Q1350" s="1">
        <v>-63292</v>
      </c>
      <c r="R1350" s="1">
        <v>48.2</v>
      </c>
      <c r="T1350">
        <f>E1350/G1350</f>
        <v>5.4266218154167684E-4</v>
      </c>
      <c r="U1350">
        <f>D1350/C1350</f>
        <v>6.9947898552957702E-2</v>
      </c>
      <c r="V1350">
        <f>(E1350-F1350)/O1350</f>
        <v>6.9614448020249994E-4</v>
      </c>
      <c r="W1350">
        <f>H1350/K1350</f>
        <v>0.39090150040856919</v>
      </c>
      <c r="X1350">
        <f>(H1350-I1350)/K1350</f>
        <v>0.33504535563335514</v>
      </c>
      <c r="Y1350">
        <f>(H1350-K1350)/G1350</f>
        <v>-9.9547141791671984E-2</v>
      </c>
      <c r="Z1350">
        <f>J1350/N1350</f>
        <v>0.28283212628672122</v>
      </c>
      <c r="AA1350">
        <f>J1350/G1350</f>
        <v>0.22047477646619712</v>
      </c>
      <c r="AB1350">
        <f>C1350/G1350</f>
        <v>0.24052164394875417</v>
      </c>
      <c r="AC1350">
        <f>C1350/(G1350-K1350)</f>
        <v>0.28751051332890754</v>
      </c>
      <c r="AD1350">
        <f>Q1350/E1350</f>
        <v>-15.437073170731708</v>
      </c>
      <c r="AE1350">
        <f>Q1350/J1350</f>
        <v>-3.7995801323477588E-2</v>
      </c>
      <c r="AF1350">
        <f>Q1350/G1350</f>
        <v>-8.3771158034477572E-3</v>
      </c>
      <c r="AG1350">
        <f>Q1350/K1350</f>
        <v>-5.1257008236981462E-2</v>
      </c>
      <c r="AH1350">
        <f>Q1350/L1350</f>
        <v>-0.2675674076078226</v>
      </c>
      <c r="AI1350" s="1">
        <f>R1350</f>
        <v>48.2</v>
      </c>
      <c r="AJ1350" s="1">
        <f>P1350</f>
        <v>3252158</v>
      </c>
    </row>
    <row r="1351" spans="1:36" x14ac:dyDescent="0.25">
      <c r="A1351" t="s">
        <v>211</v>
      </c>
      <c r="B1351">
        <v>2023</v>
      </c>
      <c r="C1351" s="1">
        <v>3569025</v>
      </c>
      <c r="D1351" s="1">
        <v>339358</v>
      </c>
      <c r="E1351" s="1">
        <v>-97497</v>
      </c>
      <c r="G1351" s="1">
        <v>8656825</v>
      </c>
      <c r="H1351" s="1">
        <v>715838</v>
      </c>
      <c r="I1351" s="1">
        <v>150177</v>
      </c>
      <c r="J1351" s="1">
        <v>2714599</v>
      </c>
      <c r="K1351" s="1">
        <v>1860234</v>
      </c>
      <c r="L1351" s="1">
        <v>213987</v>
      </c>
      <c r="M1351" s="1">
        <v>121453</v>
      </c>
      <c r="N1351" s="1">
        <v>5942226</v>
      </c>
      <c r="O1351" s="1">
        <v>5942226</v>
      </c>
      <c r="P1351" s="1">
        <v>3173606</v>
      </c>
      <c r="Q1351" s="1">
        <v>90315</v>
      </c>
      <c r="R1351" s="1">
        <v>45.2</v>
      </c>
      <c r="T1351">
        <f>E1351/G1351</f>
        <v>-1.1262443216768272E-2</v>
      </c>
      <c r="U1351">
        <f>D1351/C1351</f>
        <v>9.5084231687925971E-2</v>
      </c>
      <c r="V1351">
        <f>(E1351-F1351)/O1351</f>
        <v>-1.6407487699054191E-2</v>
      </c>
      <c r="W1351">
        <f>H1351/K1351</f>
        <v>0.38481072811269978</v>
      </c>
      <c r="X1351">
        <f>(H1351-I1351)/K1351</f>
        <v>0.30408056190780297</v>
      </c>
      <c r="Y1351">
        <f>(H1351-K1351)/G1351</f>
        <v>-0.13219581081978671</v>
      </c>
      <c r="Z1351">
        <f>J1351/N1351</f>
        <v>0.45683200201406005</v>
      </c>
      <c r="AA1351">
        <f>J1351/G1351</f>
        <v>0.31357905467651248</v>
      </c>
      <c r="AB1351">
        <f>C1351/G1351</f>
        <v>0.41227875115876778</v>
      </c>
      <c r="AC1351">
        <f>C1351/(G1351-K1351)</f>
        <v>0.52511987259495241</v>
      </c>
      <c r="AD1351">
        <f>Q1351/E1351</f>
        <v>-0.92633619495984487</v>
      </c>
      <c r="AE1351">
        <f>Q1351/J1351</f>
        <v>3.3270107297615599E-2</v>
      </c>
      <c r="AF1351">
        <f>Q1351/G1351</f>
        <v>1.0432808795372438E-2</v>
      </c>
      <c r="AG1351">
        <f>Q1351/K1351</f>
        <v>4.8550343666441967E-2</v>
      </c>
      <c r="AH1351">
        <f>Q1351/L1351</f>
        <v>0.42205834933897851</v>
      </c>
      <c r="AI1351" s="1">
        <f>R1351</f>
        <v>45.2</v>
      </c>
      <c r="AJ1351" s="1">
        <f>P1351</f>
        <v>3173606</v>
      </c>
    </row>
    <row r="1352" spans="1:36" x14ac:dyDescent="0.25">
      <c r="A1352" t="s">
        <v>211</v>
      </c>
      <c r="B1352">
        <v>2024</v>
      </c>
      <c r="C1352" s="1">
        <v>4461845</v>
      </c>
      <c r="D1352" s="1">
        <v>420919</v>
      </c>
      <c r="E1352" s="1">
        <v>173117</v>
      </c>
      <c r="G1352" s="1">
        <v>9495731</v>
      </c>
      <c r="H1352" s="1">
        <v>951683</v>
      </c>
      <c r="I1352" s="1">
        <v>119806</v>
      </c>
      <c r="J1352" s="1">
        <v>3133565</v>
      </c>
      <c r="K1352" s="1">
        <v>2172850</v>
      </c>
      <c r="L1352" s="1">
        <v>454726</v>
      </c>
      <c r="M1352" s="1">
        <v>0</v>
      </c>
      <c r="N1352" s="1">
        <v>6362166</v>
      </c>
      <c r="O1352" s="1">
        <v>6362166</v>
      </c>
      <c r="P1352" s="1">
        <v>3343128</v>
      </c>
      <c r="Q1352" s="1">
        <v>104879</v>
      </c>
      <c r="R1352" s="1">
        <v>42.6</v>
      </c>
      <c r="T1352">
        <f>E1352/G1352</f>
        <v>1.8231034556475959E-2</v>
      </c>
      <c r="U1352">
        <f>D1352/C1352</f>
        <v>9.4337432160911019E-2</v>
      </c>
      <c r="V1352">
        <f>(E1352-F1352)/O1352</f>
        <v>2.7210387154311913E-2</v>
      </c>
      <c r="W1352">
        <f>H1352/K1352</f>
        <v>0.43798835630623373</v>
      </c>
      <c r="X1352">
        <f>(H1352-I1352)/K1352</f>
        <v>0.38285063396000646</v>
      </c>
      <c r="Y1352">
        <f>(H1352-K1352)/G1352</f>
        <v>-0.12860168427264843</v>
      </c>
      <c r="Z1352">
        <f>J1352/N1352</f>
        <v>0.49253115998545149</v>
      </c>
      <c r="AA1352">
        <f>J1352/G1352</f>
        <v>0.32999723770608075</v>
      </c>
      <c r="AB1352">
        <f>C1352/G1352</f>
        <v>0.46987904354072374</v>
      </c>
      <c r="AC1352">
        <f>C1352/(G1352-K1352)</f>
        <v>0.60930185810748527</v>
      </c>
      <c r="AD1352">
        <f>Q1352/E1352</f>
        <v>0.60582727288481197</v>
      </c>
      <c r="AE1352">
        <f>Q1352/J1352</f>
        <v>3.3469546666496465E-2</v>
      </c>
      <c r="AF1352">
        <f>Q1352/G1352</f>
        <v>1.1044857947218597E-2</v>
      </c>
      <c r="AG1352">
        <f>Q1352/K1352</f>
        <v>4.8267943024138803E-2</v>
      </c>
      <c r="AH1352">
        <f>Q1352/L1352</f>
        <v>0.23064218892255997</v>
      </c>
      <c r="AI1352" s="1">
        <f>R1352</f>
        <v>42.6</v>
      </c>
      <c r="AJ1352" s="1">
        <f>P1352</f>
        <v>3343128</v>
      </c>
    </row>
    <row r="1353" spans="1:36" x14ac:dyDescent="0.25">
      <c r="A1353" t="s">
        <v>198</v>
      </c>
      <c r="B1353">
        <v>2018</v>
      </c>
      <c r="C1353" s="1">
        <v>2679634</v>
      </c>
      <c r="D1353" s="1">
        <v>44814</v>
      </c>
      <c r="E1353" s="1">
        <v>244072</v>
      </c>
      <c r="G1353" s="1">
        <v>1716067</v>
      </c>
      <c r="H1353" s="1">
        <v>526100</v>
      </c>
      <c r="I1353" s="1">
        <v>309974</v>
      </c>
      <c r="J1353" s="1">
        <v>506754</v>
      </c>
      <c r="K1353" s="1">
        <v>277901</v>
      </c>
      <c r="L1353" s="1">
        <v>0</v>
      </c>
      <c r="M1353" s="1">
        <v>0</v>
      </c>
      <c r="N1353" s="1">
        <v>1209313</v>
      </c>
      <c r="O1353" s="1">
        <v>1209313</v>
      </c>
      <c r="P1353" s="1">
        <v>662418</v>
      </c>
      <c r="Q1353" s="1">
        <v>49629</v>
      </c>
      <c r="R1353" s="1">
        <v>34</v>
      </c>
      <c r="T1353">
        <f>E1353/G1353</f>
        <v>0.14222754705964277</v>
      </c>
      <c r="U1353">
        <f>D1353/C1353</f>
        <v>1.6723925730155687E-2</v>
      </c>
      <c r="V1353">
        <f>(E1353-F1353)/O1353</f>
        <v>0.20182698771947377</v>
      </c>
      <c r="W1353">
        <f>H1353/K1353</f>
        <v>1.8931202118740127</v>
      </c>
      <c r="X1353">
        <f>(H1353-I1353)/K1353</f>
        <v>0.77770860846128653</v>
      </c>
      <c r="Y1353">
        <f>(H1353-K1353)/G1353</f>
        <v>0.14463246481635042</v>
      </c>
      <c r="Z1353">
        <f>J1353/N1353</f>
        <v>0.41904287806382634</v>
      </c>
      <c r="AA1353">
        <f>J1353/G1353</f>
        <v>0.29529965904594635</v>
      </c>
      <c r="AB1353">
        <f>C1353/G1353</f>
        <v>1.561497307506059</v>
      </c>
      <c r="AC1353">
        <f>C1353/(G1353-K1353)</f>
        <v>1.8632299748429597</v>
      </c>
      <c r="AD1353">
        <f>Q1353/E1353</f>
        <v>0.20333753974237109</v>
      </c>
      <c r="AE1353">
        <f>Q1353/J1353</f>
        <v>9.7935092766904652E-2</v>
      </c>
      <c r="AF1353">
        <f>Q1353/G1353</f>
        <v>2.892019950270007E-2</v>
      </c>
      <c r="AG1353">
        <f>Q1353/K1353</f>
        <v>0.17858517961432308</v>
      </c>
      <c r="AH1353" t="e">
        <f>Q1353/L1353</f>
        <v>#DIV/0!</v>
      </c>
      <c r="AI1353" s="1">
        <f>R1353</f>
        <v>34</v>
      </c>
      <c r="AJ1353" s="1">
        <f>P1353</f>
        <v>662418</v>
      </c>
    </row>
    <row r="1354" spans="1:36" x14ac:dyDescent="0.25">
      <c r="A1354" t="s">
        <v>198</v>
      </c>
      <c r="B1354">
        <v>2019</v>
      </c>
      <c r="C1354" s="1">
        <v>2171257</v>
      </c>
      <c r="D1354" s="1">
        <v>-69926</v>
      </c>
      <c r="E1354" s="1">
        <v>51318</v>
      </c>
      <c r="G1354" s="1">
        <v>1699444</v>
      </c>
      <c r="H1354" s="1">
        <v>515071</v>
      </c>
      <c r="I1354" s="1">
        <v>298700</v>
      </c>
      <c r="J1354" s="1">
        <v>402964</v>
      </c>
      <c r="K1354" s="1">
        <v>177008</v>
      </c>
      <c r="L1354" s="1">
        <v>0</v>
      </c>
      <c r="M1354" s="1">
        <v>0</v>
      </c>
      <c r="N1354" s="1">
        <v>1296480</v>
      </c>
      <c r="O1354" s="1">
        <v>1296480</v>
      </c>
      <c r="P1354" s="1">
        <v>657610</v>
      </c>
      <c r="Q1354" s="1">
        <v>19757</v>
      </c>
      <c r="R1354" s="1">
        <v>24.1</v>
      </c>
      <c r="T1354">
        <f>E1354/G1354</f>
        <v>3.0196934997563908E-2</v>
      </c>
      <c r="U1354">
        <f>D1354/C1354</f>
        <v>-3.2205307800965061E-2</v>
      </c>
      <c r="V1354">
        <f>(E1354-F1354)/O1354</f>
        <v>3.9582562014068866E-2</v>
      </c>
      <c r="W1354">
        <f>H1354/K1354</f>
        <v>2.9098741299828257</v>
      </c>
      <c r="X1354">
        <f>(H1354-I1354)/K1354</f>
        <v>1.2223797794449969</v>
      </c>
      <c r="Y1354">
        <f>(H1354-K1354)/G1354</f>
        <v>0.19892564862390288</v>
      </c>
      <c r="Z1354">
        <f>J1354/N1354</f>
        <v>0.31081389608786869</v>
      </c>
      <c r="AA1354">
        <f>J1354/G1354</f>
        <v>0.23711519767641653</v>
      </c>
      <c r="AB1354">
        <f>C1354/G1354</f>
        <v>1.2776278594646249</v>
      </c>
      <c r="AC1354">
        <f>C1354/(G1354-K1354)</f>
        <v>1.4261729228683504</v>
      </c>
      <c r="AD1354">
        <f>Q1354/E1354</f>
        <v>0.38499162087376748</v>
      </c>
      <c r="AE1354">
        <f>Q1354/J1354</f>
        <v>4.9029193674869222E-2</v>
      </c>
      <c r="AF1354">
        <f>Q1354/G1354</f>
        <v>1.1625566950131925E-2</v>
      </c>
      <c r="AG1354">
        <f>Q1354/K1354</f>
        <v>0.11161642411642411</v>
      </c>
      <c r="AH1354" t="e">
        <f>Q1354/L1354</f>
        <v>#DIV/0!</v>
      </c>
      <c r="AI1354" s="1">
        <f>R1354</f>
        <v>24.1</v>
      </c>
      <c r="AJ1354" s="1">
        <f>P1354</f>
        <v>657610</v>
      </c>
    </row>
    <row r="1355" spans="1:36" x14ac:dyDescent="0.25">
      <c r="A1355" t="s">
        <v>198</v>
      </c>
      <c r="B1355">
        <v>2020</v>
      </c>
      <c r="C1355" s="1">
        <v>2109139</v>
      </c>
      <c r="D1355" s="1">
        <v>-8360</v>
      </c>
      <c r="E1355" s="1">
        <v>104086</v>
      </c>
      <c r="G1355" s="1">
        <v>1644202</v>
      </c>
      <c r="H1355" s="1">
        <v>383757</v>
      </c>
      <c r="I1355" s="1">
        <v>182161</v>
      </c>
      <c r="J1355" s="1">
        <v>225317</v>
      </c>
      <c r="K1355" s="1">
        <v>90008</v>
      </c>
      <c r="L1355" s="1">
        <v>0</v>
      </c>
      <c r="M1355" s="1">
        <v>0</v>
      </c>
      <c r="N1355" s="1">
        <v>1418885</v>
      </c>
      <c r="O1355" s="1">
        <v>1418885</v>
      </c>
      <c r="P1355" s="1">
        <v>757901</v>
      </c>
      <c r="Q1355" s="1">
        <v>115831</v>
      </c>
      <c r="R1355" s="1">
        <v>19.100000000000001</v>
      </c>
      <c r="T1355">
        <f>E1355/G1355</f>
        <v>6.3304873732059688E-2</v>
      </c>
      <c r="U1355">
        <f>D1355/C1355</f>
        <v>-3.9637027241921944E-3</v>
      </c>
      <c r="V1355">
        <f>(E1355-F1355)/O1355</f>
        <v>7.3357601215038565E-2</v>
      </c>
      <c r="W1355">
        <f>H1355/K1355</f>
        <v>4.2635876810950135</v>
      </c>
      <c r="X1355">
        <f>(H1355-I1355)/K1355</f>
        <v>2.2397564660919032</v>
      </c>
      <c r="Y1355">
        <f>(H1355-K1355)/G1355</f>
        <v>0.17865748855675884</v>
      </c>
      <c r="Z1355">
        <f>J1355/N1355</f>
        <v>0.15879863413877798</v>
      </c>
      <c r="AA1355">
        <f>J1355/G1355</f>
        <v>0.13703729833682235</v>
      </c>
      <c r="AB1355">
        <f>C1355/G1355</f>
        <v>1.2827736494664281</v>
      </c>
      <c r="AC1355">
        <f>C1355/(G1355-K1355)</f>
        <v>1.3570628891888656</v>
      </c>
      <c r="AD1355">
        <f>Q1355/E1355</f>
        <v>1.1128393828180543</v>
      </c>
      <c r="AE1355">
        <f>Q1355/J1355</f>
        <v>0.51408016261533751</v>
      </c>
      <c r="AF1355">
        <f>Q1355/G1355</f>
        <v>7.0448156613360152E-2</v>
      </c>
      <c r="AG1355">
        <f>Q1355/K1355</f>
        <v>1.2868967202915296</v>
      </c>
      <c r="AH1355" t="e">
        <f>Q1355/L1355</f>
        <v>#DIV/0!</v>
      </c>
      <c r="AI1355" s="1">
        <f>R1355</f>
        <v>19.100000000000001</v>
      </c>
      <c r="AJ1355" s="1">
        <f>P1355</f>
        <v>757901</v>
      </c>
    </row>
    <row r="1356" spans="1:36" x14ac:dyDescent="0.25">
      <c r="A1356" t="s">
        <v>198</v>
      </c>
      <c r="B1356">
        <v>2021</v>
      </c>
      <c r="C1356" s="1">
        <v>2346224</v>
      </c>
      <c r="D1356" s="1">
        <v>72197</v>
      </c>
      <c r="E1356" s="1">
        <v>66544</v>
      </c>
      <c r="G1356" s="1">
        <v>1771314</v>
      </c>
      <c r="H1356" s="1">
        <v>517021</v>
      </c>
      <c r="I1356" s="1">
        <v>253605</v>
      </c>
      <c r="J1356" s="1">
        <v>323590</v>
      </c>
      <c r="K1356" s="1">
        <v>178526</v>
      </c>
      <c r="L1356" s="1">
        <v>0</v>
      </c>
      <c r="M1356" s="1">
        <v>0</v>
      </c>
      <c r="N1356" s="1">
        <v>1447724</v>
      </c>
      <c r="O1356" s="1">
        <v>1447724</v>
      </c>
      <c r="P1356" s="1">
        <v>768709</v>
      </c>
      <c r="Q1356" s="1">
        <v>134255</v>
      </c>
      <c r="R1356" s="1">
        <v>41</v>
      </c>
      <c r="T1356">
        <f>E1356/G1356</f>
        <v>3.7567591065164052E-2</v>
      </c>
      <c r="U1356">
        <f>D1356/C1356</f>
        <v>3.0771571682840171E-2</v>
      </c>
      <c r="V1356">
        <f>(E1356-F1356)/O1356</f>
        <v>4.5964562306074916E-2</v>
      </c>
      <c r="W1356">
        <f>H1356/K1356</f>
        <v>2.8960543562282246</v>
      </c>
      <c r="X1356">
        <f>(H1356-I1356)/K1356</f>
        <v>1.4755049684639772</v>
      </c>
      <c r="Y1356">
        <f>(H1356-K1356)/G1356</f>
        <v>0.19109824683822293</v>
      </c>
      <c r="Z1356">
        <f>J1356/N1356</f>
        <v>0.22351636085331181</v>
      </c>
      <c r="AA1356">
        <f>J1356/G1356</f>
        <v>0.18268358969668844</v>
      </c>
      <c r="AB1356">
        <f>C1356/G1356</f>
        <v>1.3245669598953094</v>
      </c>
      <c r="AC1356">
        <f>C1356/(G1356-K1356)</f>
        <v>1.4730296812884074</v>
      </c>
      <c r="AD1356">
        <f>Q1356/E1356</f>
        <v>2.0175372685741766</v>
      </c>
      <c r="AE1356">
        <f>Q1356/J1356</f>
        <v>0.41489230198708243</v>
      </c>
      <c r="AF1356">
        <f>Q1356/G1356</f>
        <v>7.5794015064522727E-2</v>
      </c>
      <c r="AG1356">
        <f>Q1356/K1356</f>
        <v>0.75201931371340869</v>
      </c>
      <c r="AH1356" t="e">
        <f>Q1356/L1356</f>
        <v>#DIV/0!</v>
      </c>
      <c r="AI1356" s="1">
        <f>R1356</f>
        <v>41</v>
      </c>
      <c r="AJ1356" s="1">
        <f>P1356</f>
        <v>768709</v>
      </c>
    </row>
    <row r="1357" spans="1:36" x14ac:dyDescent="0.25">
      <c r="A1357" t="s">
        <v>198</v>
      </c>
      <c r="B1357">
        <v>2022</v>
      </c>
      <c r="C1357" s="1">
        <v>2018797</v>
      </c>
      <c r="D1357" s="1">
        <v>-257</v>
      </c>
      <c r="E1357" s="1">
        <v>15311</v>
      </c>
      <c r="G1357" s="1">
        <v>1883609</v>
      </c>
      <c r="H1357" s="1">
        <v>543503</v>
      </c>
      <c r="I1357" s="1">
        <v>241285</v>
      </c>
      <c r="J1357" s="1">
        <v>367937</v>
      </c>
      <c r="K1357" s="1">
        <v>218808</v>
      </c>
      <c r="L1357" s="1">
        <v>0</v>
      </c>
      <c r="M1357" s="1">
        <v>0</v>
      </c>
      <c r="N1357" s="1">
        <v>1515672</v>
      </c>
      <c r="O1357" s="1">
        <v>1515672</v>
      </c>
      <c r="P1357" s="1">
        <v>755044</v>
      </c>
      <c r="Q1357" s="1">
        <v>52770</v>
      </c>
      <c r="R1357" s="1">
        <v>27.1</v>
      </c>
      <c r="T1357">
        <f>E1357/G1357</f>
        <v>8.1285447245155445E-3</v>
      </c>
      <c r="U1357">
        <f>D1357/C1357</f>
        <v>-1.2730353770091791E-4</v>
      </c>
      <c r="V1357">
        <f>(E1357-F1357)/O1357</f>
        <v>1.0101789833156514E-2</v>
      </c>
      <c r="W1357">
        <f>H1357/K1357</f>
        <v>2.4839265474754124</v>
      </c>
      <c r="X1357">
        <f>(H1357-I1357)/K1357</f>
        <v>1.3812017842126429</v>
      </c>
      <c r="Y1357">
        <f>(H1357-K1357)/G1357</f>
        <v>0.17237919334638982</v>
      </c>
      <c r="Z1357">
        <f>J1357/N1357</f>
        <v>0.24275502879250921</v>
      </c>
      <c r="AA1357">
        <f>J1357/G1357</f>
        <v>0.19533618707491843</v>
      </c>
      <c r="AB1357">
        <f>C1357/G1357</f>
        <v>1.0717707337350799</v>
      </c>
      <c r="AC1357">
        <f>C1357/(G1357-K1357)</f>
        <v>1.2126356243178613</v>
      </c>
      <c r="AD1357">
        <f>Q1357/E1357</f>
        <v>3.4465417020442817</v>
      </c>
      <c r="AE1357">
        <f>Q1357/J1357</f>
        <v>0.14342129223209407</v>
      </c>
      <c r="AF1357">
        <f>Q1357/G1357</f>
        <v>2.8015368369974872E-2</v>
      </c>
      <c r="AG1357">
        <f>Q1357/K1357</f>
        <v>0.24117034112098279</v>
      </c>
      <c r="AH1357" t="e">
        <f>Q1357/L1357</f>
        <v>#DIV/0!</v>
      </c>
      <c r="AI1357" s="1">
        <f>R1357</f>
        <v>27.1</v>
      </c>
      <c r="AJ1357" s="1">
        <f>P1357</f>
        <v>755044</v>
      </c>
    </row>
    <row r="1358" spans="1:36" x14ac:dyDescent="0.25">
      <c r="A1358" t="s">
        <v>198</v>
      </c>
      <c r="B1358">
        <v>2023</v>
      </c>
      <c r="C1358" s="1">
        <v>3743939</v>
      </c>
      <c r="D1358" s="1">
        <v>391385</v>
      </c>
      <c r="E1358" s="1">
        <v>278495</v>
      </c>
      <c r="G1358" s="1">
        <v>2305083</v>
      </c>
      <c r="H1358" s="1">
        <v>654700</v>
      </c>
      <c r="I1358" s="1">
        <v>491670</v>
      </c>
      <c r="J1358" s="1">
        <v>686215</v>
      </c>
      <c r="K1358" s="1">
        <v>362973</v>
      </c>
      <c r="L1358" s="1">
        <v>0</v>
      </c>
      <c r="M1358" s="1">
        <v>0</v>
      </c>
      <c r="N1358" s="1">
        <v>1618868</v>
      </c>
      <c r="O1358" s="1">
        <v>1618868</v>
      </c>
      <c r="P1358" s="1">
        <v>838572</v>
      </c>
      <c r="Q1358" s="1">
        <v>241181</v>
      </c>
      <c r="R1358" s="1">
        <v>44</v>
      </c>
      <c r="T1358">
        <f>E1358/G1358</f>
        <v>0.1208177753252269</v>
      </c>
      <c r="U1358">
        <f>D1358/C1358</f>
        <v>0.10453829509508568</v>
      </c>
      <c r="V1358">
        <f>(E1358-F1358)/O1358</f>
        <v>0.17203070293563155</v>
      </c>
      <c r="W1358">
        <f>H1358/K1358</f>
        <v>1.8037154278692906</v>
      </c>
      <c r="X1358">
        <f>(H1358-I1358)/K1358</f>
        <v>0.44915186529025575</v>
      </c>
      <c r="Y1358">
        <f>(H1358-K1358)/G1358</f>
        <v>0.12655813261387985</v>
      </c>
      <c r="Z1358">
        <f>J1358/N1358</f>
        <v>0.42388570284915139</v>
      </c>
      <c r="AA1358">
        <f>J1358/G1358</f>
        <v>0.29769643869656753</v>
      </c>
      <c r="AB1358">
        <f>C1358/G1358</f>
        <v>1.6242100609826198</v>
      </c>
      <c r="AC1358">
        <f>C1358/(G1358-K1358)</f>
        <v>1.9277687669596471</v>
      </c>
      <c r="AD1358">
        <f>Q1358/E1358</f>
        <v>0.86601554785543722</v>
      </c>
      <c r="AE1358">
        <f>Q1358/J1358</f>
        <v>0.35146564852123607</v>
      </c>
      <c r="AF1358">
        <f>Q1358/G1358</f>
        <v>0.1046300718889515</v>
      </c>
      <c r="AG1358">
        <f>Q1358/K1358</f>
        <v>0.6644598909560766</v>
      </c>
      <c r="AH1358" t="e">
        <f>Q1358/L1358</f>
        <v>#DIV/0!</v>
      </c>
      <c r="AI1358" s="1">
        <f>R1358</f>
        <v>44</v>
      </c>
      <c r="AJ1358" s="1">
        <f>P1358</f>
        <v>838572</v>
      </c>
    </row>
    <row r="1359" spans="1:36" x14ac:dyDescent="0.25">
      <c r="A1359" t="s">
        <v>198</v>
      </c>
      <c r="B1359">
        <v>2024</v>
      </c>
      <c r="C1359" s="1">
        <v>3055960</v>
      </c>
      <c r="D1359" s="1">
        <v>-47491</v>
      </c>
      <c r="E1359" s="1">
        <v>6229</v>
      </c>
      <c r="G1359" s="1">
        <v>2220447</v>
      </c>
      <c r="H1359" s="1">
        <v>441090</v>
      </c>
      <c r="I1359" s="1">
        <v>338860</v>
      </c>
      <c r="J1359" s="1">
        <v>547115</v>
      </c>
      <c r="K1359" s="1">
        <v>200061</v>
      </c>
      <c r="L1359" s="1">
        <v>0</v>
      </c>
      <c r="M1359" s="1">
        <v>0</v>
      </c>
      <c r="N1359" s="1">
        <v>1673332</v>
      </c>
      <c r="O1359" s="1">
        <v>1673332</v>
      </c>
      <c r="P1359" s="1">
        <v>842998</v>
      </c>
      <c r="Q1359" s="1">
        <v>21596</v>
      </c>
      <c r="R1359" s="1">
        <v>41.5</v>
      </c>
      <c r="T1359">
        <f>E1359/G1359</f>
        <v>2.8052910067207187E-3</v>
      </c>
      <c r="U1359">
        <f>D1359/C1359</f>
        <v>-1.554045210015838E-2</v>
      </c>
      <c r="V1359">
        <f>(E1359-F1359)/O1359</f>
        <v>3.7225129263051206E-3</v>
      </c>
      <c r="W1359">
        <f>H1359/K1359</f>
        <v>2.2047775428494307</v>
      </c>
      <c r="X1359">
        <f>(H1359-I1359)/K1359</f>
        <v>0.51099414678523047</v>
      </c>
      <c r="Y1359">
        <f>(H1359-K1359)/G1359</f>
        <v>0.10854976497975408</v>
      </c>
      <c r="Z1359">
        <f>J1359/N1359</f>
        <v>0.3269614159055107</v>
      </c>
      <c r="AA1359">
        <f>J1359/G1359</f>
        <v>0.24639858551003468</v>
      </c>
      <c r="AB1359">
        <f>C1359/G1359</f>
        <v>1.3762814424302854</v>
      </c>
      <c r="AC1359">
        <f>C1359/(G1359-K1359)</f>
        <v>1.512562450937593</v>
      </c>
      <c r="AD1359">
        <f>Q1359/E1359</f>
        <v>3.4670091507465082</v>
      </c>
      <c r="AE1359">
        <f>Q1359/J1359</f>
        <v>3.947250578032041E-2</v>
      </c>
      <c r="AF1359">
        <f>Q1359/G1359</f>
        <v>9.7259695908076173E-3</v>
      </c>
      <c r="AG1359">
        <f>Q1359/K1359</f>
        <v>0.10794707614177676</v>
      </c>
      <c r="AH1359" t="e">
        <f>Q1359/L1359</f>
        <v>#DIV/0!</v>
      </c>
      <c r="AI1359" s="1">
        <f>R1359</f>
        <v>41.5</v>
      </c>
      <c r="AJ1359" s="1">
        <f>P1359</f>
        <v>842998</v>
      </c>
    </row>
    <row r="1360" spans="1:36" x14ac:dyDescent="0.25">
      <c r="A1360" s="15" t="s">
        <v>118</v>
      </c>
      <c r="B1360" s="15">
        <v>2018</v>
      </c>
      <c r="C1360" s="6">
        <v>536452</v>
      </c>
      <c r="D1360" s="6">
        <v>551</v>
      </c>
      <c r="E1360" s="6">
        <v>576380</v>
      </c>
      <c r="F1360" s="6"/>
      <c r="G1360" s="6">
        <v>4836223</v>
      </c>
      <c r="H1360" s="6">
        <v>758175</v>
      </c>
      <c r="I1360" s="6"/>
      <c r="J1360" s="6">
        <v>68537</v>
      </c>
      <c r="K1360" s="6">
        <v>63249</v>
      </c>
      <c r="L1360" s="6">
        <v>54306</v>
      </c>
      <c r="M1360" s="6">
        <v>944</v>
      </c>
      <c r="N1360" s="6">
        <v>4767686</v>
      </c>
      <c r="O1360" s="6">
        <v>4767686</v>
      </c>
      <c r="P1360" s="6">
        <v>3878079</v>
      </c>
      <c r="Q1360" s="6">
        <v>-195936</v>
      </c>
      <c r="R1360" s="6">
        <v>49.2</v>
      </c>
      <c r="S1360" s="15"/>
      <c r="T1360" s="15">
        <f>E1360/G1360</f>
        <v>0.11917978141206474</v>
      </c>
      <c r="U1360" s="15">
        <f>D1360/C1360</f>
        <v>1.0271189221030027E-3</v>
      </c>
      <c r="V1360" s="15">
        <f>(E1360-F1360)/O1360</f>
        <v>0.12089302860968612</v>
      </c>
      <c r="W1360" s="15">
        <f>H1360/K1360</f>
        <v>11.987146041834654</v>
      </c>
      <c r="X1360" s="15">
        <f>(H1360-I1360)/K1360</f>
        <v>11.987146041834654</v>
      </c>
      <c r="Y1360" s="15">
        <f>(H1360-K1360)/G1360</f>
        <v>0.1436918851756836</v>
      </c>
      <c r="Z1360" s="15">
        <f>J1360/N1360</f>
        <v>1.4375317502033481E-2</v>
      </c>
      <c r="AA1360" s="15">
        <f>J1360/G1360</f>
        <v>1.4171596305629414E-2</v>
      </c>
      <c r="AB1360" s="15">
        <f>C1360/G1360</f>
        <v>0.11092375186173177</v>
      </c>
      <c r="AC1360" s="15">
        <f>C1360/(G1360-K1360)</f>
        <v>0.11239365644983609</v>
      </c>
      <c r="AD1360" s="15">
        <f>Q1360/E1360</f>
        <v>-0.33994239911169716</v>
      </c>
      <c r="AE1360" s="15">
        <f>Q1360/J1360</f>
        <v>-2.8588353735938252</v>
      </c>
      <c r="AF1360" s="15">
        <f>Q1360/G1360</f>
        <v>-4.0514260818824942E-2</v>
      </c>
      <c r="AG1360" s="15">
        <f>Q1360/K1360</f>
        <v>-3.0978513494284496</v>
      </c>
      <c r="AH1360" s="15">
        <f>Q1360/L1360</f>
        <v>-3.6079991161197658</v>
      </c>
      <c r="AI1360" s="6">
        <f>R1360</f>
        <v>49.2</v>
      </c>
      <c r="AJ1360" s="6">
        <f>P1360</f>
        <v>3878079</v>
      </c>
    </row>
    <row r="1361" spans="1:36" x14ac:dyDescent="0.25">
      <c r="A1361" t="s">
        <v>118</v>
      </c>
      <c r="B1361">
        <v>2019</v>
      </c>
      <c r="C1361" s="1">
        <v>426874</v>
      </c>
      <c r="D1361" s="1">
        <v>-18969</v>
      </c>
      <c r="E1361" s="1">
        <v>484202</v>
      </c>
      <c r="G1361" s="1">
        <v>4966549</v>
      </c>
      <c r="H1361" s="1">
        <v>508613</v>
      </c>
      <c r="J1361" s="1">
        <v>115493</v>
      </c>
      <c r="K1361" s="1">
        <v>110667</v>
      </c>
      <c r="L1361" s="1">
        <v>73251</v>
      </c>
      <c r="M1361" s="1">
        <v>0</v>
      </c>
      <c r="N1361" s="1">
        <v>4851056</v>
      </c>
      <c r="O1361" s="1">
        <v>4851056</v>
      </c>
      <c r="P1361" s="1">
        <v>3961449</v>
      </c>
      <c r="Q1361" s="1">
        <v>135500</v>
      </c>
      <c r="R1361" s="1">
        <v>30.9</v>
      </c>
      <c r="T1361">
        <f>E1361/G1361</f>
        <v>9.7492645295556332E-2</v>
      </c>
      <c r="U1361">
        <f>D1361/C1361</f>
        <v>-4.443700014524192E-2</v>
      </c>
      <c r="V1361">
        <f>(E1361-F1361)/O1361</f>
        <v>9.9813731278303119E-2</v>
      </c>
      <c r="W1361">
        <f>H1361/K1361</f>
        <v>4.5958867593772306</v>
      </c>
      <c r="X1361">
        <f>(H1361-I1361)/K1361</f>
        <v>4.5958867593772306</v>
      </c>
      <c r="Y1361">
        <f>(H1361-K1361)/G1361</f>
        <v>8.0125253974137778E-2</v>
      </c>
      <c r="Z1361">
        <f>J1361/N1361</f>
        <v>2.3807805970493846E-2</v>
      </c>
      <c r="AA1361">
        <f>J1361/G1361</f>
        <v>2.3254175082134496E-2</v>
      </c>
      <c r="AB1361">
        <f>C1361/G1361</f>
        <v>8.5949821495771003E-2</v>
      </c>
      <c r="AC1361">
        <f>C1361/(G1361-K1361)</f>
        <v>8.7908643579065554E-2</v>
      </c>
      <c r="AD1361">
        <f>Q1361/E1361</f>
        <v>0.27984188417230826</v>
      </c>
      <c r="AE1361">
        <f>Q1361/J1361</f>
        <v>1.1732312780861178</v>
      </c>
      <c r="AF1361">
        <f>Q1361/G1361</f>
        <v>2.7282525552451007E-2</v>
      </c>
      <c r="AG1361">
        <f>Q1361/K1361</f>
        <v>1.2243939024280048</v>
      </c>
      <c r="AH1361">
        <f>Q1361/L1361</f>
        <v>1.8498040982375668</v>
      </c>
      <c r="AI1361" s="1">
        <f>R1361</f>
        <v>30.9</v>
      </c>
      <c r="AJ1361" s="1">
        <f>P1361</f>
        <v>3961449</v>
      </c>
    </row>
    <row r="1362" spans="1:36" x14ac:dyDescent="0.25">
      <c r="A1362" t="s">
        <v>118</v>
      </c>
      <c r="B1362">
        <v>2020</v>
      </c>
      <c r="C1362" s="1">
        <v>280778</v>
      </c>
      <c r="D1362" s="1">
        <v>-21941</v>
      </c>
      <c r="E1362" s="1">
        <v>442788</v>
      </c>
      <c r="G1362" s="1">
        <v>5242260</v>
      </c>
      <c r="H1362" s="1">
        <v>862688</v>
      </c>
      <c r="J1362" s="1">
        <v>151978</v>
      </c>
      <c r="K1362" s="1">
        <v>124415</v>
      </c>
      <c r="L1362" s="1">
        <v>94677</v>
      </c>
      <c r="M1362" s="1">
        <v>20833</v>
      </c>
      <c r="N1362" s="1">
        <v>5090282</v>
      </c>
      <c r="O1362" s="1">
        <v>5090282</v>
      </c>
      <c r="P1362" s="1">
        <v>4200675</v>
      </c>
      <c r="Q1362" s="1">
        <v>258834</v>
      </c>
      <c r="R1362" s="1">
        <v>33.1</v>
      </c>
      <c r="T1362">
        <f>E1362/G1362</f>
        <v>8.4465097114603246E-2</v>
      </c>
      <c r="U1362">
        <f>D1362/C1362</f>
        <v>-7.8143586748249505E-2</v>
      </c>
      <c r="V1362">
        <f>(E1362-F1362)/O1362</f>
        <v>8.6986929211387509E-2</v>
      </c>
      <c r="W1362">
        <f>H1362/K1362</f>
        <v>6.9339549089739982</v>
      </c>
      <c r="X1362">
        <f>(H1362-I1362)/K1362</f>
        <v>6.9339549089739982</v>
      </c>
      <c r="Y1362">
        <f>(H1362-K1362)/G1362</f>
        <v>0.14083105378214739</v>
      </c>
      <c r="Z1362">
        <f>J1362/N1362</f>
        <v>2.9856499109479594E-2</v>
      </c>
      <c r="AA1362">
        <f>J1362/G1362</f>
        <v>2.8990931392185813E-2</v>
      </c>
      <c r="AB1362">
        <f>C1362/G1362</f>
        <v>5.3560487270757268E-2</v>
      </c>
      <c r="AC1362">
        <f>C1362/(G1362-K1362)</f>
        <v>5.4862544684334907E-2</v>
      </c>
      <c r="AD1362">
        <f>Q1362/E1362</f>
        <v>0.58455513699558259</v>
      </c>
      <c r="AE1362">
        <f>Q1362/J1362</f>
        <v>1.7031017647291056</v>
      </c>
      <c r="AF1362">
        <f>Q1362/G1362</f>
        <v>4.9374506415172083E-2</v>
      </c>
      <c r="AG1362">
        <f>Q1362/K1362</f>
        <v>2.0804083108949887</v>
      </c>
      <c r="AH1362">
        <f>Q1362/L1362</f>
        <v>2.7338635571469312</v>
      </c>
      <c r="AI1362" s="1">
        <f>R1362</f>
        <v>33.1</v>
      </c>
      <c r="AJ1362" s="1">
        <f>P1362</f>
        <v>4200675</v>
      </c>
    </row>
    <row r="1363" spans="1:36" x14ac:dyDescent="0.25">
      <c r="A1363" t="s">
        <v>118</v>
      </c>
      <c r="B1363">
        <v>2021</v>
      </c>
      <c r="C1363" s="1">
        <v>60333</v>
      </c>
      <c r="D1363" s="1">
        <v>-37309</v>
      </c>
      <c r="E1363" s="1">
        <v>964724</v>
      </c>
      <c r="G1363" s="1">
        <v>6122225</v>
      </c>
      <c r="H1363" s="1">
        <v>543523</v>
      </c>
      <c r="J1363" s="1">
        <v>132321</v>
      </c>
      <c r="K1363" s="1">
        <v>114280</v>
      </c>
      <c r="L1363" s="1">
        <v>80991</v>
      </c>
      <c r="M1363" s="1">
        <v>10833</v>
      </c>
      <c r="N1363" s="1">
        <v>5989904</v>
      </c>
      <c r="O1363" s="1">
        <v>5989904</v>
      </c>
      <c r="P1363" s="1">
        <v>4762085</v>
      </c>
      <c r="Q1363" s="1">
        <v>236960</v>
      </c>
      <c r="R1363" s="1">
        <v>78</v>
      </c>
      <c r="T1363">
        <f>E1363/G1363</f>
        <v>0.15757735137143766</v>
      </c>
      <c r="U1363">
        <f>D1363/C1363</f>
        <v>-0.61838463195929261</v>
      </c>
      <c r="V1363">
        <f>(E1363-F1363)/O1363</f>
        <v>0.16105834083484477</v>
      </c>
      <c r="W1363">
        <f>H1363/K1363</f>
        <v>4.7560640532026603</v>
      </c>
      <c r="X1363">
        <f>(H1363-I1363)/K1363</f>
        <v>4.7560640532026603</v>
      </c>
      <c r="Y1363">
        <f>(H1363-K1363)/G1363</f>
        <v>7.0112254939993221E-2</v>
      </c>
      <c r="Z1363">
        <f>J1363/N1363</f>
        <v>2.2090671236133334E-2</v>
      </c>
      <c r="AA1363">
        <f>J1363/G1363</f>
        <v>2.1613220683656679E-2</v>
      </c>
      <c r="AB1363">
        <f>C1363/G1363</f>
        <v>9.8547505196231767E-3</v>
      </c>
      <c r="AC1363">
        <f>C1363/(G1363-K1363)</f>
        <v>1.0042202450255453E-2</v>
      </c>
      <c r="AD1363">
        <f>Q1363/E1363</f>
        <v>0.24562465534183869</v>
      </c>
      <c r="AE1363">
        <f>Q1363/J1363</f>
        <v>1.7907966233628827</v>
      </c>
      <c r="AF1363">
        <f>Q1363/G1363</f>
        <v>3.8704882620289191E-2</v>
      </c>
      <c r="AG1363">
        <f>Q1363/K1363</f>
        <v>2.0735036751837592</v>
      </c>
      <c r="AH1363">
        <f>Q1363/L1363</f>
        <v>2.9257571828968651</v>
      </c>
      <c r="AI1363" s="1">
        <f>R1363</f>
        <v>78</v>
      </c>
      <c r="AJ1363" s="1">
        <f>P1363</f>
        <v>4762085</v>
      </c>
    </row>
    <row r="1364" spans="1:36" x14ac:dyDescent="0.25">
      <c r="A1364" t="s">
        <v>118</v>
      </c>
      <c r="B1364">
        <v>2022</v>
      </c>
      <c r="C1364" s="1">
        <v>314062</v>
      </c>
      <c r="D1364" s="1">
        <v>-33822</v>
      </c>
      <c r="E1364" s="1">
        <v>830141</v>
      </c>
      <c r="G1364" s="1">
        <v>6668038</v>
      </c>
      <c r="H1364" s="1">
        <v>779217</v>
      </c>
      <c r="J1364" s="1">
        <v>258312</v>
      </c>
      <c r="K1364" s="1">
        <v>250214</v>
      </c>
      <c r="L1364" s="1">
        <v>98436</v>
      </c>
      <c r="M1364" s="1">
        <v>833</v>
      </c>
      <c r="N1364" s="1">
        <v>6409726</v>
      </c>
      <c r="O1364" s="1">
        <v>6409726</v>
      </c>
      <c r="P1364" s="1">
        <v>5181907</v>
      </c>
      <c r="Q1364" s="1">
        <v>-251024</v>
      </c>
      <c r="R1364" s="1">
        <v>57.9</v>
      </c>
      <c r="T1364">
        <f>E1364/G1364</f>
        <v>0.12449554126716135</v>
      </c>
      <c r="U1364">
        <f>D1364/C1364</f>
        <v>-0.10769211174863562</v>
      </c>
      <c r="V1364">
        <f>(E1364-F1364)/O1364</f>
        <v>0.1295127123998748</v>
      </c>
      <c r="W1364">
        <f>H1364/K1364</f>
        <v>3.1142022428800948</v>
      </c>
      <c r="X1364">
        <f>(H1364-I1364)/K1364</f>
        <v>3.1142022428800948</v>
      </c>
      <c r="Y1364">
        <f>(H1364-K1364)/G1364</f>
        <v>7.933413096925962E-2</v>
      </c>
      <c r="Z1364">
        <f>J1364/N1364</f>
        <v>4.0300006583744767E-2</v>
      </c>
      <c r="AA1364">
        <f>J1364/G1364</f>
        <v>3.873883142237642E-2</v>
      </c>
      <c r="AB1364">
        <f>C1364/G1364</f>
        <v>4.7099611609891845E-2</v>
      </c>
      <c r="AC1364">
        <f>C1364/(G1364-K1364)</f>
        <v>4.8935901015671357E-2</v>
      </c>
      <c r="AD1364">
        <f>Q1364/E1364</f>
        <v>-0.30238718482763771</v>
      </c>
      <c r="AE1364">
        <f>Q1364/J1364</f>
        <v>-0.97178605717117283</v>
      </c>
      <c r="AF1364">
        <f>Q1364/G1364</f>
        <v>-3.7645856247369915E-2</v>
      </c>
      <c r="AG1364">
        <f>Q1364/K1364</f>
        <v>-1.0032372289320342</v>
      </c>
      <c r="AH1364">
        <f>Q1364/L1364</f>
        <v>-2.5501239383965215</v>
      </c>
      <c r="AI1364" s="1">
        <f>R1364</f>
        <v>57.9</v>
      </c>
      <c r="AJ1364" s="1">
        <f>P1364</f>
        <v>5181907</v>
      </c>
    </row>
    <row r="1365" spans="1:36" x14ac:dyDescent="0.25">
      <c r="A1365" t="s">
        <v>118</v>
      </c>
      <c r="B1365">
        <v>2023</v>
      </c>
      <c r="C1365" s="1">
        <v>839</v>
      </c>
      <c r="D1365" s="1">
        <v>-14966</v>
      </c>
      <c r="E1365" s="1">
        <v>507790</v>
      </c>
      <c r="G1365" s="1">
        <v>6710360</v>
      </c>
      <c r="H1365" s="1">
        <v>1126720</v>
      </c>
      <c r="I1365" s="1">
        <v>0</v>
      </c>
      <c r="J1365" s="1">
        <v>213862</v>
      </c>
      <c r="K1365" s="1">
        <v>165462</v>
      </c>
      <c r="L1365" s="1">
        <v>833</v>
      </c>
      <c r="M1365" s="1">
        <v>0</v>
      </c>
      <c r="N1365" s="1">
        <v>6496498</v>
      </c>
      <c r="O1365" s="1">
        <v>6496498</v>
      </c>
      <c r="P1365" s="1">
        <v>5341208</v>
      </c>
      <c r="Q1365" s="1">
        <v>94605</v>
      </c>
      <c r="R1365" s="1">
        <v>59.4</v>
      </c>
      <c r="T1365">
        <f>E1365/G1365</f>
        <v>7.567254215869193E-2</v>
      </c>
      <c r="U1365">
        <f>D1365/C1365</f>
        <v>-17.837902264600714</v>
      </c>
      <c r="V1365">
        <f>(E1365-F1365)/O1365</f>
        <v>7.8163650631463286E-2</v>
      </c>
      <c r="W1365">
        <f>H1365/K1365</f>
        <v>6.8095393504248714</v>
      </c>
      <c r="X1365">
        <f>(H1365-I1365)/K1365</f>
        <v>6.8095393504248714</v>
      </c>
      <c r="Y1365">
        <f>(H1365-K1365)/G1365</f>
        <v>0.14324984054506762</v>
      </c>
      <c r="Z1365">
        <f>J1365/N1365</f>
        <v>3.2919582211831666E-2</v>
      </c>
      <c r="AA1365">
        <f>J1365/G1365</f>
        <v>3.1870421259068069E-2</v>
      </c>
      <c r="AB1365">
        <f>C1365/G1365</f>
        <v>1.2503054977676308E-4</v>
      </c>
      <c r="AC1365">
        <f>C1365/(G1365-K1365)</f>
        <v>1.2819145539013748E-4</v>
      </c>
      <c r="AD1365">
        <f>Q1365/E1365</f>
        <v>0.18630733177100769</v>
      </c>
      <c r="AE1365">
        <f>Q1365/J1365</f>
        <v>0.44236470247168735</v>
      </c>
      <c r="AF1365">
        <f>Q1365/G1365</f>
        <v>1.4098349417914985E-2</v>
      </c>
      <c r="AG1365">
        <f>Q1365/K1365</f>
        <v>0.57176270080139246</v>
      </c>
      <c r="AH1365">
        <f>Q1365/L1365</f>
        <v>113.57142857142857</v>
      </c>
      <c r="AI1365" s="1">
        <f>R1365</f>
        <v>59.4</v>
      </c>
      <c r="AJ1365" s="1">
        <f>P1365</f>
        <v>5341208</v>
      </c>
    </row>
    <row r="1366" spans="1:36" x14ac:dyDescent="0.25">
      <c r="A1366" t="s">
        <v>118</v>
      </c>
      <c r="B1366">
        <v>2024</v>
      </c>
      <c r="C1366" s="1">
        <v>0</v>
      </c>
      <c r="D1366" s="1">
        <v>-44384</v>
      </c>
      <c r="E1366" s="1">
        <v>946919</v>
      </c>
      <c r="G1366" s="1">
        <v>7162368</v>
      </c>
      <c r="H1366" s="1">
        <v>1202432</v>
      </c>
      <c r="I1366" s="1">
        <v>0</v>
      </c>
      <c r="J1366" s="1">
        <v>173343</v>
      </c>
      <c r="K1366" s="1">
        <v>82553</v>
      </c>
      <c r="L1366" s="1">
        <v>0</v>
      </c>
      <c r="M1366" s="1">
        <v>0</v>
      </c>
      <c r="N1366" s="1">
        <v>6989025</v>
      </c>
      <c r="O1366" s="1">
        <v>6989025</v>
      </c>
      <c r="P1366" s="1">
        <v>5833735</v>
      </c>
      <c r="Q1366" s="1">
        <v>-159350</v>
      </c>
      <c r="R1366" s="1">
        <v>70</v>
      </c>
      <c r="T1366">
        <f>E1366/G1366</f>
        <v>0.13220753248087783</v>
      </c>
      <c r="U1366" t="e">
        <f>D1366/C1366</f>
        <v>#DIV/0!</v>
      </c>
      <c r="V1366">
        <f>(E1366-F1366)/O1366</f>
        <v>0.13548656643809401</v>
      </c>
      <c r="W1366">
        <f>H1366/K1366</f>
        <v>14.56557605417126</v>
      </c>
      <c r="X1366">
        <f>(H1366-I1366)/K1366</f>
        <v>14.56557605417126</v>
      </c>
      <c r="Y1366">
        <f>(H1366-K1366)/G1366</f>
        <v>0.15635597053935235</v>
      </c>
      <c r="Z1366">
        <f>J1366/N1366</f>
        <v>2.4802171976777875E-2</v>
      </c>
      <c r="AA1366">
        <f>J1366/G1366</f>
        <v>2.4201911993351918E-2</v>
      </c>
      <c r="AB1366">
        <f>C1366/G1366</f>
        <v>0</v>
      </c>
      <c r="AC1366">
        <f>C1366/(G1366-K1366)</f>
        <v>0</v>
      </c>
      <c r="AD1366">
        <f>Q1366/E1366</f>
        <v>-0.16828260917776494</v>
      </c>
      <c r="AE1366">
        <f>Q1366/J1366</f>
        <v>-0.91927565578073533</v>
      </c>
      <c r="AF1366">
        <f>Q1366/G1366</f>
        <v>-2.2248228518836229E-2</v>
      </c>
      <c r="AG1366">
        <f>Q1366/K1366</f>
        <v>-1.9302750959989341</v>
      </c>
      <c r="AH1366" t="e">
        <f>Q1366/L1366</f>
        <v>#DIV/0!</v>
      </c>
      <c r="AI1366" s="1">
        <f>R1366</f>
        <v>70</v>
      </c>
      <c r="AJ1366" s="1">
        <f>P1366</f>
        <v>5833735</v>
      </c>
    </row>
    <row r="1367" spans="1:36" x14ac:dyDescent="0.25">
      <c r="A1367" t="s">
        <v>213</v>
      </c>
      <c r="B1367">
        <v>2018</v>
      </c>
      <c r="C1367" s="1">
        <v>11243915</v>
      </c>
      <c r="D1367" s="1">
        <v>3243842</v>
      </c>
      <c r="E1367" s="1">
        <v>3243842</v>
      </c>
      <c r="F1367" s="1">
        <v>0</v>
      </c>
      <c r="G1367" s="1">
        <v>49116729</v>
      </c>
      <c r="H1367" s="1">
        <v>0</v>
      </c>
      <c r="I1367" s="1">
        <v>0</v>
      </c>
      <c r="J1367" s="1">
        <v>35445041</v>
      </c>
      <c r="K1367" s="1">
        <v>0</v>
      </c>
      <c r="L1367" s="1">
        <v>0</v>
      </c>
      <c r="M1367" s="1">
        <v>0</v>
      </c>
      <c r="N1367" s="1">
        <v>13671688</v>
      </c>
      <c r="O1367" s="1">
        <v>13671688</v>
      </c>
      <c r="P1367" s="1">
        <v>7625794</v>
      </c>
      <c r="Q1367" s="1">
        <v>5170161</v>
      </c>
      <c r="R1367" s="1">
        <v>347.3</v>
      </c>
      <c r="T1367">
        <f>E1367/G1367</f>
        <v>6.6043526636311634E-2</v>
      </c>
      <c r="U1367">
        <f>D1367/C1367</f>
        <v>0.28849755623374956</v>
      </c>
      <c r="V1367">
        <f>(E1367-F1367)/O1367</f>
        <v>0.23726711727183944</v>
      </c>
      <c r="W1367" t="e">
        <f>H1367/K1367</f>
        <v>#DIV/0!</v>
      </c>
      <c r="X1367" t="e">
        <f>(H1367-I1367)/K1367</f>
        <v>#DIV/0!</v>
      </c>
      <c r="Y1367">
        <f>(H1367-K1367)/G1367</f>
        <v>0</v>
      </c>
      <c r="Z1367">
        <f>J1367/N1367</f>
        <v>2.5925870309503845</v>
      </c>
      <c r="AA1367">
        <f>J1367/G1367</f>
        <v>0.72164905362488618</v>
      </c>
      <c r="AB1367">
        <f>C1367/G1367</f>
        <v>0.22892230873110464</v>
      </c>
      <c r="AC1367">
        <f>C1367/(G1367-K1367)</f>
        <v>0.22892230873110464</v>
      </c>
      <c r="AD1367">
        <f>Q1367/E1367</f>
        <v>1.5938387258072373</v>
      </c>
      <c r="AE1367">
        <f>Q1367/J1367</f>
        <v>0.14586415628634763</v>
      </c>
      <c r="AF1367">
        <f>Q1367/G1367</f>
        <v>0.10526273034183527</v>
      </c>
      <c r="AG1367" t="e">
        <f>Q1367/K1367</f>
        <v>#DIV/0!</v>
      </c>
      <c r="AH1367" t="e">
        <f>Q1367/L1367</f>
        <v>#DIV/0!</v>
      </c>
      <c r="AI1367" s="1">
        <f>R1367</f>
        <v>347.3</v>
      </c>
      <c r="AJ1367" s="1">
        <f>P1367</f>
        <v>7625794</v>
      </c>
    </row>
    <row r="1368" spans="1:36" x14ac:dyDescent="0.25">
      <c r="A1368" t="s">
        <v>213</v>
      </c>
      <c r="B1368">
        <v>2019</v>
      </c>
      <c r="C1368" s="1">
        <v>11647756</v>
      </c>
      <c r="D1368" s="1">
        <v>1158030</v>
      </c>
      <c r="E1368" s="1">
        <v>1158030</v>
      </c>
      <c r="F1368" s="1">
        <v>0</v>
      </c>
      <c r="G1368" s="1">
        <v>55249152</v>
      </c>
      <c r="H1368" s="1">
        <v>0</v>
      </c>
      <c r="I1368" s="1">
        <v>0</v>
      </c>
      <c r="J1368" s="1">
        <v>40586250</v>
      </c>
      <c r="K1368" s="1">
        <v>0</v>
      </c>
      <c r="L1368" s="1">
        <v>0</v>
      </c>
      <c r="M1368" s="1">
        <v>0</v>
      </c>
      <c r="N1368" s="1">
        <v>14662902</v>
      </c>
      <c r="O1368" s="1">
        <v>14662902</v>
      </c>
      <c r="P1368" s="1">
        <v>7609868</v>
      </c>
      <c r="Q1368" s="1">
        <v>6671067</v>
      </c>
      <c r="R1368" s="1">
        <v>330</v>
      </c>
      <c r="T1368">
        <f>E1368/G1368</f>
        <v>2.0960140709489986E-2</v>
      </c>
      <c r="U1368">
        <f>D1368/C1368</f>
        <v>9.9420866989315362E-2</v>
      </c>
      <c r="V1368">
        <f>(E1368-F1368)/O1368</f>
        <v>7.8976862833837397E-2</v>
      </c>
      <c r="W1368" t="e">
        <f>H1368/K1368</f>
        <v>#DIV/0!</v>
      </c>
      <c r="X1368" t="e">
        <f>(H1368-I1368)/K1368</f>
        <v>#DIV/0!</v>
      </c>
      <c r="Y1368">
        <f>(H1368-K1368)/G1368</f>
        <v>0</v>
      </c>
      <c r="Z1368">
        <f>J1368/N1368</f>
        <v>2.7679548018530027</v>
      </c>
      <c r="AA1368">
        <f>J1368/G1368</f>
        <v>0.73460403518953554</v>
      </c>
      <c r="AB1368">
        <f>C1368/G1368</f>
        <v>0.21082234891134619</v>
      </c>
      <c r="AC1368">
        <f>C1368/(G1368-K1368)</f>
        <v>0.21082234891134619</v>
      </c>
      <c r="AD1368">
        <f>Q1368/E1368</f>
        <v>5.7607030905935082</v>
      </c>
      <c r="AE1368">
        <f>Q1368/J1368</f>
        <v>0.16436766146170192</v>
      </c>
      <c r="AF1368">
        <f>Q1368/G1368</f>
        <v>0.12074514736443376</v>
      </c>
      <c r="AG1368" t="e">
        <f>Q1368/K1368</f>
        <v>#DIV/0!</v>
      </c>
      <c r="AH1368" t="e">
        <f>Q1368/L1368</f>
        <v>#DIV/0!</v>
      </c>
      <c r="AI1368" s="1">
        <f>R1368</f>
        <v>330</v>
      </c>
      <c r="AJ1368" s="1">
        <f>P1368</f>
        <v>7609868</v>
      </c>
    </row>
    <row r="1369" spans="1:36" x14ac:dyDescent="0.25">
      <c r="A1369" t="s">
        <v>213</v>
      </c>
      <c r="B1369">
        <v>2020</v>
      </c>
      <c r="C1369" s="1">
        <v>13108605</v>
      </c>
      <c r="D1369" s="1">
        <v>920596</v>
      </c>
      <c r="E1369" s="1">
        <v>920596</v>
      </c>
      <c r="F1369" s="1">
        <v>0</v>
      </c>
      <c r="G1369" s="1">
        <v>62600406</v>
      </c>
      <c r="H1369" s="1">
        <v>0</v>
      </c>
      <c r="I1369" s="1">
        <v>0</v>
      </c>
      <c r="J1369" s="1">
        <v>47491919</v>
      </c>
      <c r="K1369" s="1">
        <v>0</v>
      </c>
      <c r="L1369" s="1">
        <v>0</v>
      </c>
      <c r="M1369" s="1">
        <v>0</v>
      </c>
      <c r="N1369" s="1">
        <v>15108487</v>
      </c>
      <c r="O1369" s="1">
        <v>15108487</v>
      </c>
      <c r="P1369" s="1">
        <v>7355609</v>
      </c>
      <c r="Q1369" s="1">
        <v>8263728</v>
      </c>
      <c r="R1369" s="1">
        <v>305</v>
      </c>
      <c r="T1369">
        <f>E1369/G1369</f>
        <v>1.4705911012781611E-2</v>
      </c>
      <c r="U1369">
        <f>D1369/C1369</f>
        <v>7.0228372889411195E-2</v>
      </c>
      <c r="V1369">
        <f>(E1369-F1369)/O1369</f>
        <v>6.0932375293436064E-2</v>
      </c>
      <c r="W1369" t="e">
        <f>H1369/K1369</f>
        <v>#DIV/0!</v>
      </c>
      <c r="X1369" t="e">
        <f>(H1369-I1369)/K1369</f>
        <v>#DIV/0!</v>
      </c>
      <c r="Y1369">
        <f>(H1369-K1369)/G1369</f>
        <v>0</v>
      </c>
      <c r="Z1369">
        <f>J1369/N1369</f>
        <v>3.1433934450219931</v>
      </c>
      <c r="AA1369">
        <f>J1369/G1369</f>
        <v>0.75865193270471765</v>
      </c>
      <c r="AB1369">
        <f>C1369/G1369</f>
        <v>0.20940127768500416</v>
      </c>
      <c r="AC1369">
        <f>C1369/(G1369-K1369)</f>
        <v>0.20940127768500416</v>
      </c>
      <c r="AD1369">
        <f>Q1369/E1369</f>
        <v>8.9764978340118784</v>
      </c>
      <c r="AE1369">
        <f>Q1369/J1369</f>
        <v>0.17400282351193264</v>
      </c>
      <c r="AF1369">
        <f>Q1369/G1369</f>
        <v>0.13200757835340557</v>
      </c>
      <c r="AG1369" t="e">
        <f>Q1369/K1369</f>
        <v>#DIV/0!</v>
      </c>
      <c r="AH1369" t="e">
        <f>Q1369/L1369</f>
        <v>#DIV/0!</v>
      </c>
      <c r="AI1369" s="1">
        <f>R1369</f>
        <v>305</v>
      </c>
      <c r="AJ1369" s="1">
        <f>P1369</f>
        <v>7355609</v>
      </c>
    </row>
    <row r="1370" spans="1:36" x14ac:dyDescent="0.25">
      <c r="A1370" t="s">
        <v>213</v>
      </c>
      <c r="B1370">
        <v>2021</v>
      </c>
      <c r="C1370" s="1">
        <v>15406161</v>
      </c>
      <c r="D1370" s="1">
        <v>2053585</v>
      </c>
      <c r="E1370" s="1">
        <v>2053585</v>
      </c>
      <c r="F1370" s="1">
        <v>0</v>
      </c>
      <c r="G1370" s="1">
        <v>70761630</v>
      </c>
      <c r="H1370" s="1">
        <v>0</v>
      </c>
      <c r="I1370" s="1">
        <v>0</v>
      </c>
      <c r="J1370" s="1">
        <v>55306543</v>
      </c>
      <c r="K1370" s="1">
        <v>0</v>
      </c>
      <c r="L1370" s="1">
        <v>0</v>
      </c>
      <c r="M1370" s="1">
        <v>0</v>
      </c>
      <c r="N1370" s="1">
        <v>15455087</v>
      </c>
      <c r="O1370" s="1">
        <v>15455087</v>
      </c>
      <c r="P1370" s="1">
        <v>8587910</v>
      </c>
      <c r="Q1370" s="1">
        <v>9255791</v>
      </c>
      <c r="R1370" s="1">
        <v>294</v>
      </c>
      <c r="T1370">
        <f>E1370/G1370</f>
        <v>2.9021165849345189E-2</v>
      </c>
      <c r="U1370">
        <f>D1370/C1370</f>
        <v>0.13329634812981639</v>
      </c>
      <c r="V1370">
        <f>(E1370-F1370)/O1370</f>
        <v>0.13287437333740018</v>
      </c>
      <c r="W1370" t="e">
        <f>H1370/K1370</f>
        <v>#DIV/0!</v>
      </c>
      <c r="X1370" t="e">
        <f>(H1370-I1370)/K1370</f>
        <v>#DIV/0!</v>
      </c>
      <c r="Y1370">
        <f>(H1370-K1370)/G1370</f>
        <v>0</v>
      </c>
      <c r="Z1370">
        <f>J1370/N1370</f>
        <v>3.5785332686901081</v>
      </c>
      <c r="AA1370">
        <f>J1370/G1370</f>
        <v>0.78158944331836333</v>
      </c>
      <c r="AB1370">
        <f>C1370/G1370</f>
        <v>0.21771913676946109</v>
      </c>
      <c r="AC1370">
        <f>C1370/(G1370-K1370)</f>
        <v>0.21771913676946109</v>
      </c>
      <c r="AD1370">
        <f>Q1370/E1370</f>
        <v>4.5071380050010106</v>
      </c>
      <c r="AE1370">
        <f>Q1370/J1370</f>
        <v>0.16735435805488694</v>
      </c>
      <c r="AF1370">
        <f>Q1370/G1370</f>
        <v>0.13080239954902112</v>
      </c>
      <c r="AG1370" t="e">
        <f>Q1370/K1370</f>
        <v>#DIV/0!</v>
      </c>
      <c r="AH1370" t="e">
        <f>Q1370/L1370</f>
        <v>#DIV/0!</v>
      </c>
      <c r="AI1370" s="1">
        <f>R1370</f>
        <v>294</v>
      </c>
      <c r="AJ1370" s="1">
        <f>P1370</f>
        <v>8587910</v>
      </c>
    </row>
    <row r="1371" spans="1:36" x14ac:dyDescent="0.25">
      <c r="A1371" t="s">
        <v>213</v>
      </c>
      <c r="B1371">
        <v>2022</v>
      </c>
      <c r="C1371" s="1">
        <v>16675053</v>
      </c>
      <c r="D1371" s="1">
        <v>2747104</v>
      </c>
      <c r="E1371" s="1">
        <v>2747104</v>
      </c>
      <c r="F1371" s="1">
        <v>0</v>
      </c>
      <c r="G1371" s="1">
        <v>75969007</v>
      </c>
      <c r="H1371" s="1">
        <v>0</v>
      </c>
      <c r="I1371" s="1">
        <v>0</v>
      </c>
      <c r="J1371" s="1">
        <v>61755218</v>
      </c>
      <c r="K1371" s="1">
        <v>0</v>
      </c>
      <c r="L1371" s="1">
        <v>0</v>
      </c>
      <c r="M1371" s="1">
        <v>0</v>
      </c>
      <c r="N1371" s="1">
        <v>14213789</v>
      </c>
      <c r="O1371" s="1">
        <v>14213789</v>
      </c>
      <c r="P1371" s="1">
        <v>10042833</v>
      </c>
      <c r="Q1371" s="1">
        <v>8278700</v>
      </c>
      <c r="R1371" s="1">
        <v>27.9</v>
      </c>
      <c r="T1371">
        <f>E1371/G1371</f>
        <v>3.6160851753663174E-2</v>
      </c>
      <c r="U1371">
        <f>D1371/C1371</f>
        <v>0.1647433444439427</v>
      </c>
      <c r="V1371">
        <f>(E1371-F1371)/O1371</f>
        <v>0.19327035176897589</v>
      </c>
      <c r="W1371" t="e">
        <f>H1371/K1371</f>
        <v>#DIV/0!</v>
      </c>
      <c r="X1371" t="e">
        <f>(H1371-I1371)/K1371</f>
        <v>#DIV/0!</v>
      </c>
      <c r="Y1371">
        <f>(H1371-K1371)/G1371</f>
        <v>0</v>
      </c>
      <c r="Z1371">
        <f>J1371/N1371</f>
        <v>4.3447400267444518</v>
      </c>
      <c r="AA1371">
        <f>J1371/G1371</f>
        <v>0.81290016071948923</v>
      </c>
      <c r="AB1371">
        <f>C1371/G1371</f>
        <v>0.2194981040097049</v>
      </c>
      <c r="AC1371">
        <f>C1371/(G1371-K1371)</f>
        <v>0.2194981040097049</v>
      </c>
      <c r="AD1371">
        <f>Q1371/E1371</f>
        <v>3.0136099688981561</v>
      </c>
      <c r="AE1371">
        <f>Q1371/J1371</f>
        <v>0.13405668813281496</v>
      </c>
      <c r="AF1371">
        <f>Q1371/G1371</f>
        <v>0.10897470332868771</v>
      </c>
      <c r="AG1371" t="e">
        <f>Q1371/K1371</f>
        <v>#DIV/0!</v>
      </c>
      <c r="AH1371" t="e">
        <f>Q1371/L1371</f>
        <v>#DIV/0!</v>
      </c>
      <c r="AI1371" s="1">
        <f>R1371</f>
        <v>27.9</v>
      </c>
      <c r="AJ1371" s="1">
        <f>P1371</f>
        <v>10042833</v>
      </c>
    </row>
    <row r="1372" spans="1:36" x14ac:dyDescent="0.25">
      <c r="A1372" t="s">
        <v>213</v>
      </c>
      <c r="B1372">
        <v>2023</v>
      </c>
      <c r="C1372" s="1">
        <v>18866985</v>
      </c>
      <c r="D1372" s="1">
        <v>3758365</v>
      </c>
      <c r="E1372" s="1">
        <v>3758365</v>
      </c>
      <c r="F1372" s="1">
        <v>0</v>
      </c>
      <c r="G1372" s="1">
        <v>95669661</v>
      </c>
      <c r="H1372" s="1">
        <v>0</v>
      </c>
      <c r="I1372" s="1">
        <v>0</v>
      </c>
      <c r="J1372" s="1">
        <v>71508590</v>
      </c>
      <c r="K1372" s="1">
        <v>0</v>
      </c>
      <c r="L1372" s="1">
        <v>0</v>
      </c>
      <c r="M1372" s="1">
        <v>0</v>
      </c>
      <c r="N1372" s="1">
        <v>24161071</v>
      </c>
      <c r="O1372" s="1">
        <v>24161071</v>
      </c>
      <c r="P1372" s="1">
        <v>13805444</v>
      </c>
      <c r="Q1372" s="1">
        <v>10412412</v>
      </c>
      <c r="R1372" s="1">
        <v>40.200000000000003</v>
      </c>
      <c r="T1372">
        <f>E1372/G1372</f>
        <v>3.9284815695124077E-2</v>
      </c>
      <c r="U1372">
        <f>D1372/C1372</f>
        <v>0.19920326432654714</v>
      </c>
      <c r="V1372">
        <f>(E1372-F1372)/O1372</f>
        <v>0.15555456958013161</v>
      </c>
      <c r="W1372" t="e">
        <f>H1372/K1372</f>
        <v>#DIV/0!</v>
      </c>
      <c r="X1372" t="e">
        <f>(H1372-I1372)/K1372</f>
        <v>#DIV/0!</v>
      </c>
      <c r="Y1372">
        <f>(H1372-K1372)/G1372</f>
        <v>0</v>
      </c>
      <c r="Z1372">
        <f>J1372/N1372</f>
        <v>2.9596614322270729</v>
      </c>
      <c r="AA1372">
        <f>J1372/G1372</f>
        <v>0.74745315549931757</v>
      </c>
      <c r="AB1372">
        <f>C1372/G1372</f>
        <v>0.19720969848529096</v>
      </c>
      <c r="AC1372">
        <f>C1372/(G1372-K1372)</f>
        <v>0.19720969848529096</v>
      </c>
      <c r="AD1372">
        <f>Q1372/E1372</f>
        <v>2.7704632200438222</v>
      </c>
      <c r="AE1372">
        <f>Q1372/J1372</f>
        <v>0.14561064621746841</v>
      </c>
      <c r="AF1372">
        <f>Q1372/G1372</f>
        <v>0.10883713698954155</v>
      </c>
      <c r="AG1372" t="e">
        <f>Q1372/K1372</f>
        <v>#DIV/0!</v>
      </c>
      <c r="AH1372" t="e">
        <f>Q1372/L1372</f>
        <v>#DIV/0!</v>
      </c>
      <c r="AI1372" s="1">
        <f>R1372</f>
        <v>40.200000000000003</v>
      </c>
      <c r="AJ1372" s="1">
        <f>P1372</f>
        <v>13805444</v>
      </c>
    </row>
    <row r="1373" spans="1:36" x14ac:dyDescent="0.25">
      <c r="A1373" t="s">
        <v>213</v>
      </c>
      <c r="B1373">
        <v>2024</v>
      </c>
      <c r="C1373" s="1">
        <v>21646969</v>
      </c>
      <c r="D1373" s="1">
        <v>3741218</v>
      </c>
      <c r="E1373" s="1">
        <v>3741218</v>
      </c>
      <c r="F1373" s="1">
        <v>0</v>
      </c>
      <c r="G1373" s="1">
        <v>109459341</v>
      </c>
      <c r="H1373" s="1">
        <v>0</v>
      </c>
      <c r="I1373" s="1">
        <v>0</v>
      </c>
      <c r="J1373" s="1">
        <v>85791350</v>
      </c>
      <c r="K1373" s="1">
        <v>0</v>
      </c>
      <c r="L1373" s="1">
        <v>0</v>
      </c>
      <c r="M1373" s="1">
        <v>0</v>
      </c>
      <c r="N1373" s="1">
        <v>23667991</v>
      </c>
      <c r="O1373" s="1">
        <v>23667991</v>
      </c>
      <c r="P1373" s="1">
        <v>12398147</v>
      </c>
      <c r="Q1373" s="1">
        <v>13661592</v>
      </c>
      <c r="R1373" s="1">
        <v>62</v>
      </c>
      <c r="T1373">
        <f>E1373/G1373</f>
        <v>3.4179065631319672E-2</v>
      </c>
      <c r="U1373">
        <f>D1373/C1373</f>
        <v>0.17282872258005266</v>
      </c>
      <c r="V1373">
        <f>(E1373-F1373)/O1373</f>
        <v>0.15807078851770731</v>
      </c>
      <c r="W1373" t="e">
        <f>H1373/K1373</f>
        <v>#DIV/0!</v>
      </c>
      <c r="X1373" t="e">
        <f>(H1373-I1373)/K1373</f>
        <v>#DIV/0!</v>
      </c>
      <c r="Y1373">
        <f>(H1373-K1373)/G1373</f>
        <v>0</v>
      </c>
      <c r="Z1373">
        <f>J1373/N1373</f>
        <v>3.6247837849862288</v>
      </c>
      <c r="AA1373">
        <f>J1373/G1373</f>
        <v>0.78377367537778253</v>
      </c>
      <c r="AB1373">
        <f>C1373/G1373</f>
        <v>0.19776264686263734</v>
      </c>
      <c r="AC1373">
        <f>C1373/(G1373-K1373)</f>
        <v>0.19776264686263734</v>
      </c>
      <c r="AD1373">
        <f>Q1373/E1373</f>
        <v>3.6516428606940305</v>
      </c>
      <c r="AE1373">
        <f>Q1373/J1373</f>
        <v>0.15924206811059624</v>
      </c>
      <c r="AF1373">
        <f>Q1373/G1373</f>
        <v>0.12480974099780118</v>
      </c>
      <c r="AG1373" t="e">
        <f>Q1373/K1373</f>
        <v>#DIV/0!</v>
      </c>
      <c r="AH1373" t="e">
        <f>Q1373/L1373</f>
        <v>#DIV/0!</v>
      </c>
      <c r="AI1373" s="1">
        <f>R1373</f>
        <v>62</v>
      </c>
      <c r="AJ1373" s="1">
        <f>P1373</f>
        <v>12398147</v>
      </c>
    </row>
    <row r="1374" spans="1:36" x14ac:dyDescent="0.25">
      <c r="A1374" t="s">
        <v>214</v>
      </c>
      <c r="B1374">
        <v>2018</v>
      </c>
      <c r="C1374" s="1">
        <v>874392</v>
      </c>
      <c r="D1374" s="1">
        <v>65567</v>
      </c>
      <c r="E1374" s="1">
        <v>48684</v>
      </c>
      <c r="F1374" s="1">
        <v>0</v>
      </c>
      <c r="G1374" s="1">
        <v>687549</v>
      </c>
      <c r="H1374" s="1">
        <v>450879</v>
      </c>
      <c r="I1374" s="1">
        <v>202291</v>
      </c>
      <c r="J1374" s="1">
        <v>146946</v>
      </c>
      <c r="K1374" s="1">
        <v>92154</v>
      </c>
      <c r="L1374" s="1">
        <v>82645</v>
      </c>
      <c r="M1374" s="1">
        <v>36312</v>
      </c>
      <c r="N1374" s="1">
        <v>540603</v>
      </c>
      <c r="O1374" s="1">
        <v>540603</v>
      </c>
      <c r="P1374" s="1">
        <v>525604</v>
      </c>
      <c r="Q1374" s="1">
        <v>-34378</v>
      </c>
      <c r="R1374" s="1">
        <v>400</v>
      </c>
      <c r="T1374">
        <f>E1374/G1374</f>
        <v>7.080804422666602E-2</v>
      </c>
      <c r="U1374">
        <f>D1374/C1374</f>
        <v>7.4985818717463112E-2</v>
      </c>
      <c r="V1374">
        <f>(E1374-F1374)/O1374</f>
        <v>9.005499414542649E-2</v>
      </c>
      <c r="W1374">
        <f>H1374/K1374</f>
        <v>4.8926687935412465</v>
      </c>
      <c r="X1374">
        <f>(H1374-I1374)/K1374</f>
        <v>2.6975280508713677</v>
      </c>
      <c r="Y1374">
        <f>(H1374-K1374)/G1374</f>
        <v>0.52174463201895427</v>
      </c>
      <c r="Z1374">
        <f>J1374/N1374</f>
        <v>0.27181869135021447</v>
      </c>
      <c r="AA1374">
        <f>J1374/G1374</f>
        <v>0.21372440364250403</v>
      </c>
      <c r="AB1374">
        <f>C1374/G1374</f>
        <v>1.271752267838365</v>
      </c>
      <c r="AC1374">
        <f>C1374/(G1374-K1374)</f>
        <v>1.4685914392966015</v>
      </c>
      <c r="AD1374">
        <f>Q1374/E1374</f>
        <v>-0.7061457563059732</v>
      </c>
      <c r="AE1374">
        <f>Q1374/J1374</f>
        <v>-0.23394988635280989</v>
      </c>
      <c r="AF1374">
        <f>Q1374/G1374</f>
        <v>-5.0000799942985882E-2</v>
      </c>
      <c r="AG1374">
        <f>Q1374/K1374</f>
        <v>-0.37304946068537448</v>
      </c>
      <c r="AH1374">
        <f>Q1374/L1374</f>
        <v>-0.41597192812632344</v>
      </c>
      <c r="AI1374" s="1">
        <f>R1374</f>
        <v>400</v>
      </c>
      <c r="AJ1374" s="1">
        <f>P1374</f>
        <v>525604</v>
      </c>
    </row>
    <row r="1375" spans="1:36" x14ac:dyDescent="0.25">
      <c r="A1375" t="s">
        <v>214</v>
      </c>
      <c r="B1375">
        <v>2019</v>
      </c>
      <c r="C1375" s="1">
        <v>955829</v>
      </c>
      <c r="D1375" s="1">
        <v>104067</v>
      </c>
      <c r="E1375" s="1">
        <v>75010</v>
      </c>
      <c r="F1375" s="1">
        <v>0</v>
      </c>
      <c r="G1375" s="1">
        <v>744252</v>
      </c>
      <c r="H1375" s="1">
        <v>460518</v>
      </c>
      <c r="I1375" s="1">
        <v>237088</v>
      </c>
      <c r="J1375" s="1">
        <v>151752</v>
      </c>
      <c r="K1375" s="1">
        <v>92251</v>
      </c>
      <c r="L1375" s="1">
        <v>57436</v>
      </c>
      <c r="M1375" s="1">
        <v>39965</v>
      </c>
      <c r="N1375" s="1">
        <v>592500</v>
      </c>
      <c r="O1375" s="1">
        <v>592500</v>
      </c>
      <c r="P1375" s="1">
        <v>577500</v>
      </c>
      <c r="Q1375" s="1">
        <v>103999</v>
      </c>
      <c r="R1375" s="1">
        <v>400</v>
      </c>
      <c r="T1375">
        <f>E1375/G1375</f>
        <v>0.10078575536243101</v>
      </c>
      <c r="U1375">
        <f>D1375/C1375</f>
        <v>0.10887616927295572</v>
      </c>
      <c r="V1375">
        <f>(E1375-F1375)/O1375</f>
        <v>0.12659915611814346</v>
      </c>
      <c r="W1375">
        <f>H1375/K1375</f>
        <v>4.9920109267108215</v>
      </c>
      <c r="X1375">
        <f>(H1375-I1375)/K1375</f>
        <v>2.4219791655375009</v>
      </c>
      <c r="Y1375">
        <f>(H1375-K1375)/G1375</f>
        <v>0.49481492827698143</v>
      </c>
      <c r="Z1375">
        <f>J1375/N1375</f>
        <v>0.25612151898734176</v>
      </c>
      <c r="AA1375">
        <f>J1375/G1375</f>
        <v>0.20389867947953114</v>
      </c>
      <c r="AB1375">
        <f>C1375/G1375</f>
        <v>1.2842813993109861</v>
      </c>
      <c r="AC1375">
        <f>C1375/(G1375-K1375)</f>
        <v>1.4659931503172541</v>
      </c>
      <c r="AD1375">
        <f>Q1375/E1375</f>
        <v>1.3864684708705506</v>
      </c>
      <c r="AE1375">
        <f>Q1375/J1375</f>
        <v>0.68532210448626707</v>
      </c>
      <c r="AF1375">
        <f>Q1375/G1375</f>
        <v>0.13973627212288312</v>
      </c>
      <c r="AG1375">
        <f>Q1375/K1375</f>
        <v>1.127348213027501</v>
      </c>
      <c r="AH1375">
        <f>Q1375/L1375</f>
        <v>1.8106936416184971</v>
      </c>
      <c r="AI1375" s="1">
        <f>R1375</f>
        <v>400</v>
      </c>
      <c r="AJ1375" s="1">
        <f>P1375</f>
        <v>577500</v>
      </c>
    </row>
    <row r="1376" spans="1:36" x14ac:dyDescent="0.25">
      <c r="A1376" t="s">
        <v>214</v>
      </c>
      <c r="B1376">
        <v>2020</v>
      </c>
      <c r="C1376" s="1">
        <v>1026165</v>
      </c>
      <c r="D1376" s="1">
        <v>151473</v>
      </c>
      <c r="E1376" s="1">
        <v>108118</v>
      </c>
      <c r="F1376" s="1">
        <v>0</v>
      </c>
      <c r="G1376" s="1">
        <v>810279</v>
      </c>
      <c r="H1376" s="1">
        <v>500486</v>
      </c>
      <c r="I1376" s="1">
        <v>201479</v>
      </c>
      <c r="J1376" s="1">
        <v>151372</v>
      </c>
      <c r="K1376" s="1">
        <v>119283</v>
      </c>
      <c r="L1376" s="1">
        <v>36333</v>
      </c>
      <c r="M1376" s="1">
        <v>7043</v>
      </c>
      <c r="N1376" s="1">
        <v>658907</v>
      </c>
      <c r="O1376" s="1">
        <v>658907</v>
      </c>
      <c r="P1376" s="1">
        <v>643907</v>
      </c>
      <c r="Q1376" s="1">
        <v>147101</v>
      </c>
      <c r="R1376" s="1">
        <v>700</v>
      </c>
      <c r="T1376">
        <f>E1376/G1376</f>
        <v>0.13343305207218747</v>
      </c>
      <c r="U1376">
        <f>D1376/C1376</f>
        <v>0.14761076435076231</v>
      </c>
      <c r="V1376">
        <f>(E1376-F1376)/O1376</f>
        <v>0.16408688934857271</v>
      </c>
      <c r="W1376">
        <f>H1376/K1376</f>
        <v>4.195786490950093</v>
      </c>
      <c r="X1376">
        <f>(H1376-I1376)/K1376</f>
        <v>2.506702547722643</v>
      </c>
      <c r="Y1376">
        <f>(H1376-K1376)/G1376</f>
        <v>0.47045894068586253</v>
      </c>
      <c r="Z1376">
        <f>J1376/N1376</f>
        <v>0.22973196520905076</v>
      </c>
      <c r="AA1376">
        <f>J1376/G1376</f>
        <v>0.18681466507215416</v>
      </c>
      <c r="AB1376">
        <f>C1376/G1376</f>
        <v>1.2664341541617146</v>
      </c>
      <c r="AC1376">
        <f>C1376/(G1376-K1376)</f>
        <v>1.4850520118785058</v>
      </c>
      <c r="AD1376">
        <f>Q1376/E1376</f>
        <v>1.3605597587820715</v>
      </c>
      <c r="AE1376">
        <f>Q1376/J1376</f>
        <v>0.97178474222445366</v>
      </c>
      <c r="AF1376">
        <f>Q1376/G1376</f>
        <v>0.18154364114089097</v>
      </c>
      <c r="AG1376">
        <f>Q1376/K1376</f>
        <v>1.233210096996219</v>
      </c>
      <c r="AH1376">
        <f>Q1376/L1376</f>
        <v>4.0486885200781657</v>
      </c>
      <c r="AI1376" s="1">
        <f>R1376</f>
        <v>700</v>
      </c>
      <c r="AJ1376" s="1">
        <f>P1376</f>
        <v>643907</v>
      </c>
    </row>
    <row r="1377" spans="1:36" x14ac:dyDescent="0.25">
      <c r="A1377" t="s">
        <v>214</v>
      </c>
      <c r="B1377">
        <v>2021</v>
      </c>
      <c r="C1377" s="1">
        <v>1596759</v>
      </c>
      <c r="D1377" s="1">
        <v>203092</v>
      </c>
      <c r="E1377" s="1">
        <v>171705</v>
      </c>
      <c r="F1377" s="1">
        <v>0</v>
      </c>
      <c r="G1377" s="1">
        <v>1152117</v>
      </c>
      <c r="H1377" s="1">
        <v>804079</v>
      </c>
      <c r="I1377" s="1">
        <v>345449</v>
      </c>
      <c r="J1377" s="1">
        <v>367230</v>
      </c>
      <c r="K1377" s="1">
        <v>342872</v>
      </c>
      <c r="L1377" s="1">
        <v>80779</v>
      </c>
      <c r="M1377" s="1">
        <v>2691</v>
      </c>
      <c r="N1377" s="1">
        <v>784887</v>
      </c>
      <c r="O1377" s="1">
        <v>784887</v>
      </c>
      <c r="P1377" s="1">
        <v>769888</v>
      </c>
      <c r="Q1377" s="1">
        <v>72749</v>
      </c>
      <c r="R1377" s="1">
        <v>852</v>
      </c>
      <c r="T1377">
        <f>E1377/G1377</f>
        <v>0.1490343428662193</v>
      </c>
      <c r="U1377">
        <f>D1377/C1377</f>
        <v>0.12719013952637812</v>
      </c>
      <c r="V1377">
        <f>(E1377-F1377)/O1377</f>
        <v>0.21876397494161581</v>
      </c>
      <c r="W1377">
        <f>H1377/K1377</f>
        <v>2.3451287944189083</v>
      </c>
      <c r="X1377">
        <f>(H1377-I1377)/K1377</f>
        <v>1.337612870108962</v>
      </c>
      <c r="Y1377">
        <f>(H1377-K1377)/G1377</f>
        <v>0.40031264185842236</v>
      </c>
      <c r="Z1377">
        <f>J1377/N1377</f>
        <v>0.46787626753914896</v>
      </c>
      <c r="AA1377">
        <f>J1377/G1377</f>
        <v>0.31874366926275716</v>
      </c>
      <c r="AB1377">
        <f>C1377/G1377</f>
        <v>1.3859347618340845</v>
      </c>
      <c r="AC1377">
        <f>C1377/(G1377-K1377)</f>
        <v>1.9731465748938826</v>
      </c>
      <c r="AD1377">
        <f>Q1377/E1377</f>
        <v>0.42368597303514749</v>
      </c>
      <c r="AE1377">
        <f>Q1377/J1377</f>
        <v>0.19810200691664626</v>
      </c>
      <c r="AF1377">
        <f>Q1377/G1377</f>
        <v>6.3143760572927921E-2</v>
      </c>
      <c r="AG1377">
        <f>Q1377/K1377</f>
        <v>0.21217538906647379</v>
      </c>
      <c r="AH1377">
        <f>Q1377/L1377</f>
        <v>0.900592975897201</v>
      </c>
      <c r="AI1377" s="1">
        <f>R1377</f>
        <v>852</v>
      </c>
      <c r="AJ1377" s="1">
        <f>P1377</f>
        <v>769888</v>
      </c>
    </row>
    <row r="1378" spans="1:36" x14ac:dyDescent="0.25">
      <c r="A1378" t="s">
        <v>214</v>
      </c>
      <c r="B1378">
        <v>2022</v>
      </c>
      <c r="C1378" s="1">
        <v>1677744</v>
      </c>
      <c r="D1378" s="1">
        <v>222033</v>
      </c>
      <c r="E1378" s="1">
        <v>161741</v>
      </c>
      <c r="F1378" s="1">
        <v>0</v>
      </c>
      <c r="G1378" s="1">
        <v>1345273</v>
      </c>
      <c r="H1378" s="1">
        <v>973774</v>
      </c>
      <c r="I1378" s="1">
        <v>688682</v>
      </c>
      <c r="J1378" s="1">
        <v>436665</v>
      </c>
      <c r="K1378" s="1">
        <v>405938</v>
      </c>
      <c r="L1378" s="1">
        <v>54665</v>
      </c>
      <c r="M1378" s="1">
        <v>0</v>
      </c>
      <c r="N1378" s="1">
        <v>908608</v>
      </c>
      <c r="O1378" s="1">
        <v>908608</v>
      </c>
      <c r="P1378" s="1">
        <v>893608</v>
      </c>
      <c r="Q1378" s="1">
        <v>8347</v>
      </c>
      <c r="R1378" s="1">
        <v>614</v>
      </c>
      <c r="T1378">
        <f>E1378/G1378</f>
        <v>0.12022912821412457</v>
      </c>
      <c r="U1378">
        <f>D1378/C1378</f>
        <v>0.13234021400165938</v>
      </c>
      <c r="V1378">
        <f>(E1378-F1378)/O1378</f>
        <v>0.17800965873071775</v>
      </c>
      <c r="W1378">
        <f>H1378/K1378</f>
        <v>2.3988244510245407</v>
      </c>
      <c r="X1378">
        <f>(H1378-I1378)/K1378</f>
        <v>0.70230429277377338</v>
      </c>
      <c r="Y1378">
        <f>(H1378-K1378)/G1378</f>
        <v>0.42209722487554568</v>
      </c>
      <c r="Z1378">
        <f>J1378/N1378</f>
        <v>0.48058678770162711</v>
      </c>
      <c r="AA1378">
        <f>J1378/G1378</f>
        <v>0.3245921088136014</v>
      </c>
      <c r="AB1378">
        <f>C1378/G1378</f>
        <v>1.2471401715488233</v>
      </c>
      <c r="AC1378">
        <f>C1378/(G1378-K1378)</f>
        <v>1.7860976116082121</v>
      </c>
      <c r="AD1378">
        <f>Q1378/E1378</f>
        <v>5.1607199164095681E-2</v>
      </c>
      <c r="AE1378">
        <f>Q1378/J1378</f>
        <v>1.911534013488601E-2</v>
      </c>
      <c r="AF1378">
        <f>Q1378/G1378</f>
        <v>6.2046885650719223E-3</v>
      </c>
      <c r="AG1378">
        <f>Q1378/K1378</f>
        <v>2.0562253349033596E-2</v>
      </c>
      <c r="AH1378">
        <f>Q1378/L1378</f>
        <v>0.15269367968535627</v>
      </c>
      <c r="AI1378" s="1">
        <f>R1378</f>
        <v>614</v>
      </c>
      <c r="AJ1378" s="1">
        <f>P1378</f>
        <v>893608</v>
      </c>
    </row>
    <row r="1379" spans="1:36" x14ac:dyDescent="0.25">
      <c r="A1379" t="s">
        <v>214</v>
      </c>
      <c r="B1379">
        <v>2023</v>
      </c>
      <c r="C1379" s="1">
        <v>1612878</v>
      </c>
      <c r="D1379" s="1">
        <v>356938</v>
      </c>
      <c r="E1379" s="1">
        <v>246884</v>
      </c>
      <c r="F1379" s="1">
        <v>0</v>
      </c>
      <c r="G1379" s="1">
        <v>1314491</v>
      </c>
      <c r="H1379" s="1">
        <v>920462</v>
      </c>
      <c r="I1379" s="1">
        <v>505793</v>
      </c>
      <c r="J1379" s="1">
        <v>203925</v>
      </c>
      <c r="K1379" s="1">
        <v>166367</v>
      </c>
      <c r="L1379" s="1">
        <v>0</v>
      </c>
      <c r="M1379" s="1">
        <v>0</v>
      </c>
      <c r="N1379" s="1">
        <v>1110566</v>
      </c>
      <c r="O1379" s="1">
        <v>1110566</v>
      </c>
      <c r="P1379" s="1">
        <v>1095566</v>
      </c>
      <c r="Q1379" s="1">
        <v>345437</v>
      </c>
      <c r="R1379" s="1">
        <v>650</v>
      </c>
      <c r="T1379">
        <f>E1379/G1379</f>
        <v>0.18781718551135002</v>
      </c>
      <c r="U1379">
        <f>D1379/C1379</f>
        <v>0.22130502121053172</v>
      </c>
      <c r="V1379">
        <f>(E1379-F1379)/O1379</f>
        <v>0.22230466266750468</v>
      </c>
      <c r="W1379">
        <f>H1379/K1379</f>
        <v>5.5327198302547984</v>
      </c>
      <c r="X1379">
        <f>(H1379-I1379)/K1379</f>
        <v>2.4924955069214447</v>
      </c>
      <c r="Y1379">
        <f>(H1379-K1379)/G1379</f>
        <v>0.57367832872191593</v>
      </c>
      <c r="Z1379">
        <f>J1379/N1379</f>
        <v>0.18362258524031891</v>
      </c>
      <c r="AA1379">
        <f>J1379/G1379</f>
        <v>0.15513609450349983</v>
      </c>
      <c r="AB1379">
        <f>C1379/G1379</f>
        <v>1.2269981308354336</v>
      </c>
      <c r="AC1379">
        <f>C1379/(G1379-K1379)</f>
        <v>1.4047942556727322</v>
      </c>
      <c r="AD1379">
        <f>Q1379/E1379</f>
        <v>1.3991874726592246</v>
      </c>
      <c r="AE1379">
        <f>Q1379/J1379</f>
        <v>1.6939414000245188</v>
      </c>
      <c r="AF1379">
        <f>Q1379/G1379</f>
        <v>0.26279145311759455</v>
      </c>
      <c r="AG1379">
        <f>Q1379/K1379</f>
        <v>2.0763552868056765</v>
      </c>
      <c r="AH1379" t="e">
        <f>Q1379/L1379</f>
        <v>#DIV/0!</v>
      </c>
      <c r="AI1379" s="1">
        <f>R1379</f>
        <v>650</v>
      </c>
      <c r="AJ1379" s="1">
        <f>P1379</f>
        <v>1095566</v>
      </c>
    </row>
    <row r="1380" spans="1:36" x14ac:dyDescent="0.25">
      <c r="A1380" t="s">
        <v>214</v>
      </c>
      <c r="B1380">
        <v>2024</v>
      </c>
      <c r="C1380" s="1">
        <v>1650274</v>
      </c>
      <c r="D1380" s="1">
        <v>342899</v>
      </c>
      <c r="E1380" s="1">
        <v>239322</v>
      </c>
      <c r="F1380" s="1">
        <v>0</v>
      </c>
      <c r="G1380" s="1">
        <v>1476035</v>
      </c>
      <c r="H1380" s="1">
        <v>1095202</v>
      </c>
      <c r="I1380" s="1">
        <v>412897</v>
      </c>
      <c r="J1380" s="1">
        <v>208903</v>
      </c>
      <c r="K1380" s="1">
        <v>167622</v>
      </c>
      <c r="L1380" s="1">
        <v>0</v>
      </c>
      <c r="M1380" s="1">
        <v>0</v>
      </c>
      <c r="N1380" s="1">
        <v>1267132</v>
      </c>
      <c r="O1380" s="1">
        <v>1267132</v>
      </c>
      <c r="P1380" s="1">
        <v>1252132</v>
      </c>
      <c r="Q1380" s="1">
        <v>252818</v>
      </c>
      <c r="R1380" s="1">
        <v>729.75</v>
      </c>
      <c r="T1380">
        <f>E1380/G1380</f>
        <v>0.16213843167675562</v>
      </c>
      <c r="U1380">
        <f>D1380/C1380</f>
        <v>0.20778307117484732</v>
      </c>
      <c r="V1380">
        <f>(E1380-F1380)/O1380</f>
        <v>0.18886903653289475</v>
      </c>
      <c r="W1380">
        <f>H1380/K1380</f>
        <v>6.5337604849005499</v>
      </c>
      <c r="X1380">
        <f>(H1380-I1380)/K1380</f>
        <v>4.0704979060027924</v>
      </c>
      <c r="Y1380">
        <f>(H1380-K1380)/G1380</f>
        <v>0.62842683269705668</v>
      </c>
      <c r="Z1380">
        <f>J1380/N1380</f>
        <v>0.1648628556456628</v>
      </c>
      <c r="AA1380">
        <f>J1380/G1380</f>
        <v>0.1415298417720447</v>
      </c>
      <c r="AB1380">
        <f>C1380/G1380</f>
        <v>1.1180453038037717</v>
      </c>
      <c r="AC1380">
        <f>C1380/(G1380-K1380)</f>
        <v>1.2612791221120547</v>
      </c>
      <c r="AD1380">
        <f>Q1380/E1380</f>
        <v>1.056392642548533</v>
      </c>
      <c r="AE1380">
        <f>Q1380/J1380</f>
        <v>1.2102171821371641</v>
      </c>
      <c r="AF1380">
        <f>Q1380/G1380</f>
        <v>0.17128184629768264</v>
      </c>
      <c r="AG1380">
        <f>Q1380/K1380</f>
        <v>1.5082626385557982</v>
      </c>
      <c r="AH1380" t="e">
        <f>Q1380/L1380</f>
        <v>#DIV/0!</v>
      </c>
      <c r="AI1380" s="1">
        <f>R1380</f>
        <v>729.75</v>
      </c>
      <c r="AJ1380" s="1">
        <f>P1380</f>
        <v>1252132</v>
      </c>
    </row>
    <row r="1381" spans="1:36" x14ac:dyDescent="0.25">
      <c r="A1381" t="s">
        <v>212</v>
      </c>
      <c r="B1381">
        <v>2018</v>
      </c>
      <c r="C1381" s="1">
        <v>2226762</v>
      </c>
      <c r="D1381" s="1">
        <v>334271</v>
      </c>
      <c r="E1381" s="1">
        <v>267821</v>
      </c>
      <c r="F1381" s="1">
        <v>0</v>
      </c>
      <c r="G1381" s="1">
        <v>2360058</v>
      </c>
      <c r="H1381" s="1">
        <v>411370</v>
      </c>
      <c r="I1381" s="1">
        <v>235493.853</v>
      </c>
      <c r="J1381" s="1">
        <v>1546259</v>
      </c>
      <c r="K1381" s="1">
        <v>794506</v>
      </c>
      <c r="L1381" s="1">
        <v>154537</v>
      </c>
      <c r="M1381" s="1">
        <v>100422</v>
      </c>
      <c r="N1381" s="1">
        <v>813799</v>
      </c>
      <c r="O1381" s="1">
        <v>813799</v>
      </c>
      <c r="P1381" s="1">
        <v>122914</v>
      </c>
      <c r="Q1381" s="1">
        <v>173244</v>
      </c>
      <c r="R1381" s="1">
        <v>42.5</v>
      </c>
      <c r="T1381">
        <f>E1381/G1381</f>
        <v>0.11348068564416637</v>
      </c>
      <c r="U1381">
        <f>D1381/C1381</f>
        <v>0.15011527949551862</v>
      </c>
      <c r="V1381">
        <f>(E1381-F1381)/O1381</f>
        <v>0.32909969169291187</v>
      </c>
      <c r="W1381">
        <f>H1381/K1381</f>
        <v>0.51776827361907907</v>
      </c>
      <c r="X1381">
        <f>(H1381-I1381)/K1381</f>
        <v>0.22136541070803745</v>
      </c>
      <c r="Y1381">
        <f>(H1381-K1381)/G1381</f>
        <v>-0.16234177295642735</v>
      </c>
      <c r="Z1381">
        <f>J1381/N1381</f>
        <v>1.9000502581104179</v>
      </c>
      <c r="AA1381">
        <f>J1381/G1381</f>
        <v>0.65517838968364339</v>
      </c>
      <c r="AB1381">
        <f>C1381/G1381</f>
        <v>0.94352003213480351</v>
      </c>
      <c r="AC1381">
        <f>C1381/(G1381-K1381)</f>
        <v>1.4223494332989259</v>
      </c>
      <c r="AD1381">
        <f>Q1381/E1381</f>
        <v>0.64686488363496519</v>
      </c>
      <c r="AE1381">
        <f>Q1381/J1381</f>
        <v>0.11204073832391598</v>
      </c>
      <c r="AF1381">
        <f>Q1381/G1381</f>
        <v>7.3406670514029743E-2</v>
      </c>
      <c r="AG1381">
        <f>Q1381/K1381</f>
        <v>0.21805247537463532</v>
      </c>
      <c r="AH1381">
        <f>Q1381/L1381</f>
        <v>1.1210519163695425</v>
      </c>
      <c r="AI1381" s="1">
        <f>R1381</f>
        <v>42.5</v>
      </c>
      <c r="AJ1381" s="1">
        <f>P1381</f>
        <v>122914</v>
      </c>
    </row>
    <row r="1382" spans="1:36" x14ac:dyDescent="0.25">
      <c r="A1382" t="s">
        <v>212</v>
      </c>
      <c r="B1382">
        <v>2019</v>
      </c>
      <c r="C1382" s="1">
        <v>1894743</v>
      </c>
      <c r="D1382" s="1">
        <v>-4642</v>
      </c>
      <c r="E1382" s="1">
        <v>-118782</v>
      </c>
      <c r="F1382" s="1">
        <v>0</v>
      </c>
      <c r="G1382" s="1">
        <v>2434629</v>
      </c>
      <c r="H1382" s="1">
        <v>512976</v>
      </c>
      <c r="I1382" s="1">
        <v>231246</v>
      </c>
      <c r="J1382" s="1">
        <v>1750132</v>
      </c>
      <c r="K1382" s="1">
        <v>945320</v>
      </c>
      <c r="L1382" s="1">
        <v>190002</v>
      </c>
      <c r="M1382" s="1">
        <v>110259</v>
      </c>
      <c r="N1382" s="1">
        <v>684497</v>
      </c>
      <c r="O1382" s="1">
        <v>684497</v>
      </c>
      <c r="P1382" s="1">
        <v>-6387</v>
      </c>
      <c r="Q1382" s="1">
        <v>-131239</v>
      </c>
      <c r="R1382" s="1">
        <v>30</v>
      </c>
      <c r="T1382">
        <f>E1382/G1382</f>
        <v>-4.8788542320000294E-2</v>
      </c>
      <c r="U1382">
        <f>D1382/C1382</f>
        <v>-2.4499364821508776E-3</v>
      </c>
      <c r="V1382">
        <f>(E1382-F1382)/O1382</f>
        <v>-0.17353180510652347</v>
      </c>
      <c r="W1382">
        <f>H1382/K1382</f>
        <v>0.54264799221427662</v>
      </c>
      <c r="X1382">
        <f>(H1382-I1382)/K1382</f>
        <v>0.29802606524774677</v>
      </c>
      <c r="Y1382">
        <f>(H1382-K1382)/G1382</f>
        <v>-0.1775810606051271</v>
      </c>
      <c r="Z1382">
        <f>J1382/N1382</f>
        <v>2.556814712117073</v>
      </c>
      <c r="AA1382">
        <f>J1382/G1382</f>
        <v>0.71884956599136873</v>
      </c>
      <c r="AB1382">
        <f>C1382/G1382</f>
        <v>0.77824711691185799</v>
      </c>
      <c r="AC1382">
        <f>C1382/(G1382-K1382)</f>
        <v>1.2722296044675752</v>
      </c>
      <c r="AD1382">
        <f>Q1382/E1382</f>
        <v>1.1048727921738983</v>
      </c>
      <c r="AE1382">
        <f>Q1382/J1382</f>
        <v>-7.4988058043621852E-2</v>
      </c>
      <c r="AF1382">
        <f>Q1382/G1382</f>
        <v>-5.3905132979193131E-2</v>
      </c>
      <c r="AG1382">
        <f>Q1382/K1382</f>
        <v>-0.13883023737993483</v>
      </c>
      <c r="AH1382">
        <f>Q1382/L1382</f>
        <v>-0.69072430816517716</v>
      </c>
      <c r="AI1382" s="1">
        <f>R1382</f>
        <v>30</v>
      </c>
      <c r="AJ1382" s="1">
        <f>P1382</f>
        <v>-6387</v>
      </c>
    </row>
    <row r="1383" spans="1:36" x14ac:dyDescent="0.25">
      <c r="A1383" t="s">
        <v>212</v>
      </c>
      <c r="B1383">
        <v>2020</v>
      </c>
      <c r="C1383" s="1">
        <v>1629811</v>
      </c>
      <c r="D1383" s="1">
        <v>-151475</v>
      </c>
      <c r="E1383" s="1">
        <v>-346186</v>
      </c>
      <c r="F1383" s="1">
        <v>0</v>
      </c>
      <c r="G1383" s="1">
        <v>2419026</v>
      </c>
      <c r="H1383" s="1">
        <v>370821</v>
      </c>
      <c r="I1383" s="1">
        <v>172287</v>
      </c>
      <c r="J1383" s="1">
        <v>2111236</v>
      </c>
      <c r="K1383" s="1">
        <v>1141240</v>
      </c>
      <c r="L1383" s="1">
        <v>128892</v>
      </c>
      <c r="M1383" s="1">
        <v>44981</v>
      </c>
      <c r="N1383" s="1">
        <v>307790</v>
      </c>
      <c r="O1383" s="1">
        <v>307790</v>
      </c>
      <c r="P1383" s="1">
        <v>-32210</v>
      </c>
      <c r="Q1383" s="1">
        <v>-26614</v>
      </c>
      <c r="R1383" s="1">
        <v>25</v>
      </c>
      <c r="T1383">
        <f>E1383/G1383</f>
        <v>-0.1431096647989728</v>
      </c>
      <c r="U1383">
        <f>D1383/C1383</f>
        <v>-9.2940224357302773E-2</v>
      </c>
      <c r="V1383">
        <f>(E1383-F1383)/O1383</f>
        <v>-1.1247473927028169</v>
      </c>
      <c r="W1383">
        <f>H1383/K1383</f>
        <v>0.32492814832988681</v>
      </c>
      <c r="X1383">
        <f>(H1383-I1383)/K1383</f>
        <v>0.17396340822263504</v>
      </c>
      <c r="Y1383">
        <f>(H1383-K1383)/G1383</f>
        <v>-0.31848314156193441</v>
      </c>
      <c r="Z1383">
        <f>J1383/N1383</f>
        <v>6.8593391598167583</v>
      </c>
      <c r="AA1383">
        <f>J1383/G1383</f>
        <v>0.87276283925844533</v>
      </c>
      <c r="AB1383">
        <f>C1383/G1383</f>
        <v>0.67374678899689378</v>
      </c>
      <c r="AC1383">
        <f>C1383/(G1383-K1383)</f>
        <v>1.2754960533297437</v>
      </c>
      <c r="AD1383">
        <f>Q1383/E1383</f>
        <v>7.6877747800315435E-2</v>
      </c>
      <c r="AE1383">
        <f>Q1383/J1383</f>
        <v>-1.2605885841279705E-2</v>
      </c>
      <c r="AF1383">
        <f>Q1383/G1383</f>
        <v>-1.1001948718203111E-2</v>
      </c>
      <c r="AG1383">
        <f>Q1383/K1383</f>
        <v>-2.3320248151133854E-2</v>
      </c>
      <c r="AH1383">
        <f>Q1383/L1383</f>
        <v>-0.20648294696334915</v>
      </c>
      <c r="AI1383" s="1">
        <f>R1383</f>
        <v>25</v>
      </c>
      <c r="AJ1383" s="1">
        <f>P1383</f>
        <v>-32210</v>
      </c>
    </row>
    <row r="1384" spans="1:36" x14ac:dyDescent="0.25">
      <c r="A1384" t="s">
        <v>212</v>
      </c>
      <c r="B1384">
        <v>2021</v>
      </c>
      <c r="C1384" s="1">
        <v>1875150</v>
      </c>
      <c r="D1384" s="1">
        <v>208011</v>
      </c>
      <c r="E1384" s="1">
        <v>109457</v>
      </c>
      <c r="F1384" s="1">
        <v>0</v>
      </c>
      <c r="G1384" s="1">
        <v>2577921</v>
      </c>
      <c r="H1384" s="1">
        <v>374335</v>
      </c>
      <c r="I1384" s="1">
        <v>220483</v>
      </c>
      <c r="J1384" s="1">
        <v>2091701</v>
      </c>
      <c r="K1384" s="1">
        <v>1101599</v>
      </c>
      <c r="L1384" s="1">
        <v>194771</v>
      </c>
      <c r="M1384" s="1">
        <v>70804</v>
      </c>
      <c r="N1384" s="1">
        <v>486220</v>
      </c>
      <c r="O1384" s="1">
        <v>486220</v>
      </c>
      <c r="P1384" s="1">
        <v>146220</v>
      </c>
      <c r="Q1384" s="1">
        <v>107386</v>
      </c>
      <c r="R1384" s="1">
        <v>32</v>
      </c>
      <c r="T1384">
        <f>E1384/G1384</f>
        <v>4.2459408182019542E-2</v>
      </c>
      <c r="U1384">
        <f>D1384/C1384</f>
        <v>0.11093032557395409</v>
      </c>
      <c r="V1384">
        <f>(E1384-F1384)/O1384</f>
        <v>0.22511825922421949</v>
      </c>
      <c r="W1384">
        <f>H1384/K1384</f>
        <v>0.33981058443226619</v>
      </c>
      <c r="X1384">
        <f>(H1384-I1384)/K1384</f>
        <v>0.13966243614963339</v>
      </c>
      <c r="Y1384">
        <f>(H1384-K1384)/G1384</f>
        <v>-0.28211260158864448</v>
      </c>
      <c r="Z1384">
        <f>J1384/N1384</f>
        <v>4.3019641314631238</v>
      </c>
      <c r="AA1384">
        <f>J1384/G1384</f>
        <v>0.81139065161422708</v>
      </c>
      <c r="AB1384">
        <f>C1384/G1384</f>
        <v>0.72738846535638602</v>
      </c>
      <c r="AC1384">
        <f>C1384/(G1384-K1384)</f>
        <v>1.2701497369814987</v>
      </c>
      <c r="AD1384">
        <f>Q1384/E1384</f>
        <v>0.98107932795527009</v>
      </c>
      <c r="AE1384">
        <f>Q1384/J1384</f>
        <v>5.1339077621514739E-2</v>
      </c>
      <c r="AF1384">
        <f>Q1384/G1384</f>
        <v>4.1656047644594227E-2</v>
      </c>
      <c r="AG1384">
        <f>Q1384/K1384</f>
        <v>9.7481933080912381E-2</v>
      </c>
      <c r="AH1384">
        <f>Q1384/L1384</f>
        <v>0.55134491274368358</v>
      </c>
      <c r="AI1384" s="1">
        <f>R1384</f>
        <v>32</v>
      </c>
      <c r="AJ1384" s="1">
        <f>P1384</f>
        <v>146220</v>
      </c>
    </row>
    <row r="1385" spans="1:36" x14ac:dyDescent="0.25">
      <c r="A1385" t="s">
        <v>212</v>
      </c>
      <c r="B1385">
        <v>2022</v>
      </c>
      <c r="C1385" s="1">
        <v>2081171</v>
      </c>
      <c r="D1385" s="1">
        <v>240258</v>
      </c>
      <c r="E1385" s="1">
        <v>241281</v>
      </c>
      <c r="F1385" s="1">
        <v>0</v>
      </c>
      <c r="G1385" s="1">
        <v>2433585</v>
      </c>
      <c r="H1385" s="1">
        <v>313641</v>
      </c>
      <c r="I1385" s="1">
        <v>181381</v>
      </c>
      <c r="J1385" s="1">
        <v>1756375</v>
      </c>
      <c r="K1385" s="1">
        <v>793573</v>
      </c>
      <c r="L1385" s="1">
        <v>78854</v>
      </c>
      <c r="M1385" s="1">
        <v>28465</v>
      </c>
      <c r="N1385" s="1">
        <v>677210</v>
      </c>
      <c r="O1385" s="1">
        <v>677210</v>
      </c>
      <c r="P1385" s="1">
        <v>337210</v>
      </c>
      <c r="Q1385" s="1">
        <v>131397</v>
      </c>
      <c r="R1385" s="1">
        <v>60.2</v>
      </c>
      <c r="T1385">
        <f>E1385/G1385</f>
        <v>9.9146321168153154E-2</v>
      </c>
      <c r="U1385">
        <f>D1385/C1385</f>
        <v>0.11544366128492084</v>
      </c>
      <c r="V1385">
        <f>(E1385-F1385)/O1385</f>
        <v>0.35628682388033256</v>
      </c>
      <c r="W1385">
        <f>H1385/K1385</f>
        <v>0.39522640009173698</v>
      </c>
      <c r="X1385">
        <f>(H1385-I1385)/K1385</f>
        <v>0.16666393639904584</v>
      </c>
      <c r="Y1385">
        <f>(H1385-K1385)/G1385</f>
        <v>-0.19721193219057481</v>
      </c>
      <c r="Z1385">
        <f>J1385/N1385</f>
        <v>2.5935455767044195</v>
      </c>
      <c r="AA1385">
        <f>J1385/G1385</f>
        <v>0.72172330122021622</v>
      </c>
      <c r="AB1385">
        <f>C1385/G1385</f>
        <v>0.85518730597040993</v>
      </c>
      <c r="AC1385">
        <f>C1385/(G1385-K1385)</f>
        <v>1.2689974219700833</v>
      </c>
      <c r="AD1385">
        <f>Q1385/E1385</f>
        <v>0.54458079998010622</v>
      </c>
      <c r="AE1385">
        <f>Q1385/J1385</f>
        <v>7.4811472493060999E-2</v>
      </c>
      <c r="AF1385">
        <f>Q1385/G1385</f>
        <v>5.3993182896837383E-2</v>
      </c>
      <c r="AG1385">
        <f>Q1385/K1385</f>
        <v>0.16557644980360975</v>
      </c>
      <c r="AH1385">
        <f>Q1385/L1385</f>
        <v>1.6663327161589774</v>
      </c>
      <c r="AI1385" s="1">
        <f>R1385</f>
        <v>60.2</v>
      </c>
      <c r="AJ1385" s="1">
        <f>P1385</f>
        <v>337210</v>
      </c>
    </row>
    <row r="1386" spans="1:36" x14ac:dyDescent="0.25">
      <c r="A1386" t="s">
        <v>212</v>
      </c>
      <c r="B1386">
        <v>2023</v>
      </c>
      <c r="C1386" s="1">
        <v>4195223</v>
      </c>
      <c r="D1386" s="1">
        <v>1199281</v>
      </c>
      <c r="E1386" s="1">
        <v>1034637</v>
      </c>
      <c r="F1386" s="1">
        <v>0</v>
      </c>
      <c r="G1386" s="1">
        <v>4489192</v>
      </c>
      <c r="H1386" s="1">
        <v>1342230</v>
      </c>
      <c r="I1386" s="1">
        <v>535105</v>
      </c>
      <c r="J1386" s="1">
        <v>2118503</v>
      </c>
      <c r="K1386" s="1">
        <v>736459</v>
      </c>
      <c r="L1386" s="1">
        <v>223322</v>
      </c>
      <c r="M1386" s="1">
        <v>10404</v>
      </c>
      <c r="N1386" s="1">
        <v>2370689</v>
      </c>
      <c r="O1386" s="1">
        <v>2370689</v>
      </c>
      <c r="P1386" s="1">
        <v>1290565</v>
      </c>
      <c r="Q1386" s="1">
        <v>725563</v>
      </c>
      <c r="R1386" s="1">
        <v>77.5</v>
      </c>
      <c r="T1386">
        <f>E1386/G1386</f>
        <v>0.23047287797002222</v>
      </c>
      <c r="U1386">
        <f>D1386/C1386</f>
        <v>0.28586823632498198</v>
      </c>
      <c r="V1386">
        <f>(E1386-F1386)/O1386</f>
        <v>0.43642881879487355</v>
      </c>
      <c r="W1386">
        <f>H1386/K1386</f>
        <v>1.8225454505953489</v>
      </c>
      <c r="X1386">
        <f>(H1386-I1386)/K1386</f>
        <v>1.0959537462370614</v>
      </c>
      <c r="Y1386">
        <f>(H1386-K1386)/G1386</f>
        <v>0.13493987336696669</v>
      </c>
      <c r="Z1386">
        <f>J1386/N1386</f>
        <v>0.89362333060135679</v>
      </c>
      <c r="AA1386">
        <f>J1386/G1386</f>
        <v>0.47191187189142275</v>
      </c>
      <c r="AB1386">
        <f>C1386/G1386</f>
        <v>0.93451627820774874</v>
      </c>
      <c r="AC1386">
        <f>C1386/(G1386-K1386)</f>
        <v>1.1179113995053738</v>
      </c>
      <c r="AD1386">
        <f>Q1386/E1386</f>
        <v>0.70127300686134364</v>
      </c>
      <c r="AE1386">
        <f>Q1386/J1386</f>
        <v>0.34248854025696446</v>
      </c>
      <c r="AF1386">
        <f>Q1386/G1386</f>
        <v>0.16162440813402501</v>
      </c>
      <c r="AG1386">
        <f>Q1386/K1386</f>
        <v>0.98520487902245746</v>
      </c>
      <c r="AH1386">
        <f>Q1386/L1386</f>
        <v>3.2489544245528879</v>
      </c>
      <c r="AI1386" s="1">
        <f>R1386</f>
        <v>77.5</v>
      </c>
      <c r="AJ1386" s="1">
        <f>P1386</f>
        <v>1290565</v>
      </c>
    </row>
    <row r="1387" spans="1:36" x14ac:dyDescent="0.25">
      <c r="A1387" t="s">
        <v>212</v>
      </c>
      <c r="B1387">
        <v>2024</v>
      </c>
      <c r="C1387" s="1">
        <v>3160463</v>
      </c>
      <c r="D1387" s="1">
        <v>861889</v>
      </c>
      <c r="E1387" s="1">
        <v>795366</v>
      </c>
      <c r="F1387" s="1">
        <v>0</v>
      </c>
      <c r="G1387" s="1">
        <v>5181837</v>
      </c>
      <c r="H1387" s="1">
        <v>1861520</v>
      </c>
      <c r="I1387" s="1">
        <v>487117</v>
      </c>
      <c r="J1387" s="1">
        <v>2052209</v>
      </c>
      <c r="K1387" s="1">
        <v>461430</v>
      </c>
      <c r="L1387" s="1">
        <v>10404</v>
      </c>
      <c r="M1387" s="1">
        <v>0</v>
      </c>
      <c r="N1387" s="1">
        <v>3129628</v>
      </c>
      <c r="O1387" s="1">
        <v>3129628</v>
      </c>
      <c r="P1387" s="1">
        <v>2049504</v>
      </c>
      <c r="Q1387" s="1">
        <v>367914</v>
      </c>
      <c r="R1387" s="1">
        <v>73.2</v>
      </c>
      <c r="T1387">
        <f>E1387/G1387</f>
        <v>0.15349112679538163</v>
      </c>
      <c r="U1387">
        <f>D1387/C1387</f>
        <v>0.27270972639135471</v>
      </c>
      <c r="V1387">
        <f>(E1387-F1387)/O1387</f>
        <v>0.25414074771825917</v>
      </c>
      <c r="W1387">
        <f>H1387/K1387</f>
        <v>4.0342413800576473</v>
      </c>
      <c r="X1387">
        <f>(H1387-I1387)/K1387</f>
        <v>2.9785731313525345</v>
      </c>
      <c r="Y1387">
        <f>(H1387-K1387)/G1387</f>
        <v>0.27019182579459755</v>
      </c>
      <c r="Z1387">
        <f>J1387/N1387</f>
        <v>0.65573576156655045</v>
      </c>
      <c r="AA1387">
        <f>J1387/G1387</f>
        <v>0.39603889508681961</v>
      </c>
      <c r="AB1387">
        <f>C1387/G1387</f>
        <v>0.60991169733822193</v>
      </c>
      <c r="AC1387">
        <f>C1387/(G1387-K1387)</f>
        <v>0.66953188570392341</v>
      </c>
      <c r="AD1387">
        <f>Q1387/E1387</f>
        <v>0.46257194800884122</v>
      </c>
      <c r="AE1387">
        <f>Q1387/J1387</f>
        <v>0.17927706193667409</v>
      </c>
      <c r="AF1387">
        <f>Q1387/G1387</f>
        <v>7.1000689523811736E-2</v>
      </c>
      <c r="AG1387">
        <f>Q1387/K1387</f>
        <v>0.7973343735777908</v>
      </c>
      <c r="AH1387">
        <f>Q1387/L1387</f>
        <v>35.362745098039213</v>
      </c>
      <c r="AI1387" s="1">
        <f>R1387</f>
        <v>73.2</v>
      </c>
      <c r="AJ1387" s="1">
        <f>P1387</f>
        <v>2049504</v>
      </c>
    </row>
    <row r="1388" spans="1:36" x14ac:dyDescent="0.25">
      <c r="A1388" t="s">
        <v>215</v>
      </c>
      <c r="B1388">
        <v>2018</v>
      </c>
      <c r="C1388" s="1">
        <v>14716147</v>
      </c>
      <c r="D1388" s="1">
        <v>866458</v>
      </c>
      <c r="E1388" s="1">
        <v>668900</v>
      </c>
      <c r="F1388" s="1">
        <v>0</v>
      </c>
      <c r="G1388" s="1">
        <v>16890500</v>
      </c>
      <c r="H1388" s="1">
        <v>9392929</v>
      </c>
      <c r="I1388" s="1">
        <v>6485929</v>
      </c>
      <c r="J1388" s="1">
        <v>4190373</v>
      </c>
      <c r="K1388" s="1">
        <v>3937583</v>
      </c>
      <c r="L1388" s="1">
        <v>2718432</v>
      </c>
      <c r="M1388" s="1">
        <v>0</v>
      </c>
      <c r="N1388" s="1">
        <v>12700127</v>
      </c>
      <c r="O1388" s="1">
        <v>12700127</v>
      </c>
      <c r="P1388" s="1">
        <v>7807783</v>
      </c>
      <c r="Q1388" s="1">
        <v>1086974</v>
      </c>
      <c r="R1388" s="1">
        <v>76</v>
      </c>
      <c r="T1388">
        <f>E1388/G1388</f>
        <v>3.9602143216601049E-2</v>
      </c>
      <c r="U1388">
        <f>D1388/C1388</f>
        <v>5.887804735845599E-2</v>
      </c>
      <c r="V1388">
        <f>(E1388-F1388)/O1388</f>
        <v>5.2668764650936166E-2</v>
      </c>
      <c r="W1388">
        <f>H1388/K1388</f>
        <v>2.3854554938905417</v>
      </c>
      <c r="X1388">
        <f>(H1388-I1388)/K1388</f>
        <v>0.73827015201965263</v>
      </c>
      <c r="Y1388">
        <f>(H1388-K1388)/G1388</f>
        <v>0.32298309700719341</v>
      </c>
      <c r="Z1388">
        <f>J1388/N1388</f>
        <v>0.32994733044795538</v>
      </c>
      <c r="AA1388">
        <f>J1388/G1388</f>
        <v>0.24809052425919895</v>
      </c>
      <c r="AB1388">
        <f>C1388/G1388</f>
        <v>0.87126769485805633</v>
      </c>
      <c r="AC1388">
        <f>C1388/(G1388-K1388)</f>
        <v>1.1361260942226372</v>
      </c>
      <c r="AD1388">
        <f>Q1388/E1388</f>
        <v>1.6250171924054417</v>
      </c>
      <c r="AE1388">
        <f>Q1388/J1388</f>
        <v>0.25939791040081633</v>
      </c>
      <c r="AF1388">
        <f>Q1388/G1388</f>
        <v>6.4354163583079244E-2</v>
      </c>
      <c r="AG1388">
        <f>Q1388/K1388</f>
        <v>0.27605106990760575</v>
      </c>
      <c r="AH1388">
        <f>Q1388/L1388</f>
        <v>0.3998532977834281</v>
      </c>
      <c r="AI1388" s="1">
        <f>R1388</f>
        <v>76</v>
      </c>
      <c r="AJ1388" s="1">
        <f>P1388</f>
        <v>7807783</v>
      </c>
    </row>
    <row r="1389" spans="1:36" x14ac:dyDescent="0.25">
      <c r="A1389" t="s">
        <v>215</v>
      </c>
      <c r="B1389">
        <v>2019</v>
      </c>
      <c r="C1389" s="1">
        <v>12769409</v>
      </c>
      <c r="D1389" s="1">
        <v>423468</v>
      </c>
      <c r="E1389" s="1">
        <v>435923</v>
      </c>
      <c r="F1389" s="1">
        <v>0</v>
      </c>
      <c r="G1389" s="1">
        <v>18012797</v>
      </c>
      <c r="H1389" s="1">
        <v>10028771</v>
      </c>
      <c r="I1389" s="1">
        <v>6187755</v>
      </c>
      <c r="J1389" s="1">
        <v>5133690</v>
      </c>
      <c r="K1389" s="1">
        <v>4773425</v>
      </c>
      <c r="L1389" s="1">
        <v>3611428</v>
      </c>
      <c r="M1389" s="1">
        <v>0</v>
      </c>
      <c r="N1389" s="1">
        <v>12879107</v>
      </c>
      <c r="O1389" s="1">
        <v>12879107</v>
      </c>
      <c r="P1389" s="1">
        <v>7986763</v>
      </c>
      <c r="Q1389" s="1">
        <v>-738322</v>
      </c>
      <c r="R1389" s="1">
        <v>66.8</v>
      </c>
      <c r="T1389">
        <f>E1389/G1389</f>
        <v>2.420073906345583E-2</v>
      </c>
      <c r="U1389">
        <f>D1389/C1389</f>
        <v>3.3162693747220411E-2</v>
      </c>
      <c r="V1389">
        <f>(E1389-F1389)/O1389</f>
        <v>3.3847300127252615E-2</v>
      </c>
      <c r="W1389">
        <f>H1389/K1389</f>
        <v>2.1009591645411838</v>
      </c>
      <c r="X1389">
        <f>(H1389-I1389)/K1389</f>
        <v>0.80466667015821969</v>
      </c>
      <c r="Y1389">
        <f>(H1389-K1389)/G1389</f>
        <v>0.29175624418573082</v>
      </c>
      <c r="Z1389">
        <f>J1389/N1389</f>
        <v>0.39860605242273395</v>
      </c>
      <c r="AA1389">
        <f>J1389/G1389</f>
        <v>0.28500237914189563</v>
      </c>
      <c r="AB1389">
        <f>C1389/G1389</f>
        <v>0.70890761717905326</v>
      </c>
      <c r="AC1389">
        <f>C1389/(G1389-K1389)</f>
        <v>0.96450262142343313</v>
      </c>
      <c r="AD1389">
        <f>Q1389/E1389</f>
        <v>-1.6936981989938591</v>
      </c>
      <c r="AE1389">
        <f>Q1389/J1389</f>
        <v>-0.14381896842232392</v>
      </c>
      <c r="AF1389">
        <f>Q1389/G1389</f>
        <v>-4.0988748166095469E-2</v>
      </c>
      <c r="AG1389">
        <f>Q1389/K1389</f>
        <v>-0.15467342631339132</v>
      </c>
      <c r="AH1389">
        <f>Q1389/L1389</f>
        <v>-0.20444045956336385</v>
      </c>
      <c r="AI1389" s="1">
        <f>R1389</f>
        <v>66.8</v>
      </c>
      <c r="AJ1389" s="1">
        <f>P1389</f>
        <v>7986763</v>
      </c>
    </row>
    <row r="1390" spans="1:36" x14ac:dyDescent="0.25">
      <c r="A1390" t="s">
        <v>215</v>
      </c>
      <c r="B1390">
        <v>2020</v>
      </c>
      <c r="C1390" s="1">
        <v>9845621</v>
      </c>
      <c r="D1390" s="1">
        <v>-547882</v>
      </c>
      <c r="E1390" s="1">
        <v>-409675</v>
      </c>
      <c r="F1390" s="1">
        <v>0</v>
      </c>
      <c r="G1390" s="1">
        <v>20139773</v>
      </c>
      <c r="H1390" s="1">
        <v>10957323</v>
      </c>
      <c r="I1390" s="1">
        <v>7105025</v>
      </c>
      <c r="J1390" s="1">
        <v>7418329</v>
      </c>
      <c r="K1390" s="1">
        <v>6746403</v>
      </c>
      <c r="L1390" s="1">
        <v>5662003</v>
      </c>
      <c r="M1390" s="1">
        <v>0</v>
      </c>
      <c r="N1390" s="1">
        <v>12721444</v>
      </c>
      <c r="O1390" s="1">
        <v>12721444</v>
      </c>
      <c r="P1390" s="1">
        <v>7126266</v>
      </c>
      <c r="Q1390" s="1">
        <v>-1771713</v>
      </c>
      <c r="R1390" s="1">
        <v>45.4</v>
      </c>
      <c r="T1390">
        <f>E1390/G1390</f>
        <v>-2.0341589748802034E-2</v>
      </c>
      <c r="U1390">
        <f>D1390/C1390</f>
        <v>-5.5647277099128638E-2</v>
      </c>
      <c r="V1390">
        <f>(E1390-F1390)/O1390</f>
        <v>-3.220349828211326E-2</v>
      </c>
      <c r="W1390">
        <f>H1390/K1390</f>
        <v>1.6241726146510962</v>
      </c>
      <c r="X1390">
        <f>(H1390-I1390)/K1390</f>
        <v>0.57101510241828124</v>
      </c>
      <c r="Y1390">
        <f>(H1390-K1390)/G1390</f>
        <v>0.2090847796546664</v>
      </c>
      <c r="Z1390">
        <f>J1390/N1390</f>
        <v>0.58313576666296685</v>
      </c>
      <c r="AA1390">
        <f>J1390/G1390</f>
        <v>0.36834223503909402</v>
      </c>
      <c r="AB1390">
        <f>C1390/G1390</f>
        <v>0.48886454678511027</v>
      </c>
      <c r="AC1390">
        <f>C1390/(G1390-K1390)</f>
        <v>0.73511155146165608</v>
      </c>
      <c r="AD1390">
        <f>Q1390/E1390</f>
        <v>4.3246793189723558</v>
      </c>
      <c r="AE1390">
        <f>Q1390/J1390</f>
        <v>-0.23882912176043958</v>
      </c>
      <c r="AF1390">
        <f>Q1390/G1390</f>
        <v>-8.797085250166424E-2</v>
      </c>
      <c r="AG1390">
        <f>Q1390/K1390</f>
        <v>-0.26261594511919906</v>
      </c>
      <c r="AH1390">
        <f>Q1390/L1390</f>
        <v>-0.31291276249765321</v>
      </c>
      <c r="AI1390" s="1">
        <f>R1390</f>
        <v>45.4</v>
      </c>
      <c r="AJ1390" s="1">
        <f>P1390</f>
        <v>7126266</v>
      </c>
    </row>
    <row r="1391" spans="1:36" x14ac:dyDescent="0.25">
      <c r="A1391" t="s">
        <v>215</v>
      </c>
      <c r="B1391">
        <v>2021</v>
      </c>
      <c r="C1391" s="1">
        <v>13537657</v>
      </c>
      <c r="D1391" s="1">
        <v>646392</v>
      </c>
      <c r="E1391" s="1">
        <v>503675</v>
      </c>
      <c r="F1391" s="1">
        <v>0</v>
      </c>
      <c r="G1391" s="1">
        <v>18754052</v>
      </c>
      <c r="H1391" s="1">
        <v>9619928</v>
      </c>
      <c r="I1391" s="1">
        <v>3383961</v>
      </c>
      <c r="J1391" s="1">
        <v>5454066</v>
      </c>
      <c r="K1391" s="1">
        <v>4671977</v>
      </c>
      <c r="L1391" s="1">
        <v>2106979</v>
      </c>
      <c r="M1391" s="1">
        <v>3150</v>
      </c>
      <c r="N1391" s="1">
        <v>13299986</v>
      </c>
      <c r="O1391" s="1">
        <v>13299986</v>
      </c>
      <c r="P1391" s="1">
        <v>7583119</v>
      </c>
      <c r="Q1391" s="1">
        <v>7460262</v>
      </c>
      <c r="R1391" s="1">
        <v>57.7</v>
      </c>
      <c r="T1391">
        <f>E1391/G1391</f>
        <v>2.6856862719587211E-2</v>
      </c>
      <c r="U1391">
        <f>D1391/C1391</f>
        <v>4.7747701097760123E-2</v>
      </c>
      <c r="V1391">
        <f>(E1391-F1391)/O1391</f>
        <v>3.7870340615396139E-2</v>
      </c>
      <c r="W1391">
        <f>H1391/K1391</f>
        <v>2.0590700681959695</v>
      </c>
      <c r="X1391">
        <f>(H1391-I1391)/K1391</f>
        <v>1.3347597815657055</v>
      </c>
      <c r="Y1391">
        <f>(H1391-K1391)/G1391</f>
        <v>0.26383370377772225</v>
      </c>
      <c r="Z1391">
        <f>J1391/N1391</f>
        <v>0.41008058203971043</v>
      </c>
      <c r="AA1391">
        <f>J1391/G1391</f>
        <v>0.29082067171403814</v>
      </c>
      <c r="AB1391">
        <f>C1391/G1391</f>
        <v>0.72185237622248244</v>
      </c>
      <c r="AC1391">
        <f>C1391/(G1391-K1391)</f>
        <v>0.96133964632342894</v>
      </c>
      <c r="AD1391">
        <f>Q1391/E1391</f>
        <v>14.811658311411128</v>
      </c>
      <c r="AE1391">
        <f>Q1391/J1391</f>
        <v>1.3678349326905834</v>
      </c>
      <c r="AF1391">
        <f>Q1391/G1391</f>
        <v>0.39779467391900158</v>
      </c>
      <c r="AG1391">
        <f>Q1391/K1391</f>
        <v>1.5968105151202585</v>
      </c>
      <c r="AH1391">
        <f>Q1391/L1391</f>
        <v>3.5407386594740622</v>
      </c>
      <c r="AI1391" s="1">
        <f>R1391</f>
        <v>57.7</v>
      </c>
      <c r="AJ1391" s="1">
        <f>P1391</f>
        <v>7583119</v>
      </c>
    </row>
    <row r="1392" spans="1:36" x14ac:dyDescent="0.25">
      <c r="A1392" t="s">
        <v>215</v>
      </c>
      <c r="B1392">
        <v>2022</v>
      </c>
      <c r="C1392" s="1">
        <v>12884249</v>
      </c>
      <c r="D1392" s="1">
        <v>449235</v>
      </c>
      <c r="E1392" s="1">
        <v>315018</v>
      </c>
      <c r="F1392" s="1">
        <v>0</v>
      </c>
      <c r="G1392" s="1">
        <v>20398819</v>
      </c>
      <c r="H1392" s="1">
        <v>11030280</v>
      </c>
      <c r="I1392" s="1">
        <v>6228438</v>
      </c>
      <c r="J1392" s="1">
        <v>6519537</v>
      </c>
      <c r="K1392" s="1">
        <v>5710279</v>
      </c>
      <c r="L1392" s="1">
        <v>1856611</v>
      </c>
      <c r="M1392" s="1">
        <v>0</v>
      </c>
      <c r="N1392" s="1">
        <v>13879282</v>
      </c>
      <c r="O1392" s="1">
        <v>13879282</v>
      </c>
      <c r="P1392" s="1">
        <v>7720749</v>
      </c>
      <c r="Q1392" s="1">
        <v>-2134985</v>
      </c>
      <c r="R1392" s="1">
        <v>55.1</v>
      </c>
      <c r="T1392">
        <f>E1392/G1392</f>
        <v>1.5442952849378192E-2</v>
      </c>
      <c r="U1392">
        <f>D1392/C1392</f>
        <v>3.4866991471524653E-2</v>
      </c>
      <c r="V1392">
        <f>(E1392-F1392)/O1392</f>
        <v>2.2696995420944686E-2</v>
      </c>
      <c r="W1392">
        <f>H1392/K1392</f>
        <v>1.9316534270917411</v>
      </c>
      <c r="X1392">
        <f>(H1392-I1392)/K1392</f>
        <v>0.84091197645509086</v>
      </c>
      <c r="Y1392">
        <f>(H1392-K1392)/G1392</f>
        <v>0.26079946098840329</v>
      </c>
      <c r="Z1392">
        <f>J1392/N1392</f>
        <v>0.46973157545181371</v>
      </c>
      <c r="AA1392">
        <f>J1392/G1392</f>
        <v>0.31960364960344029</v>
      </c>
      <c r="AB1392">
        <f>C1392/G1392</f>
        <v>0.63161739902687508</v>
      </c>
      <c r="AC1392">
        <f>C1392/(G1392-K1392)</f>
        <v>0.87716335319916072</v>
      </c>
      <c r="AD1392">
        <f>Q1392/E1392</f>
        <v>-6.7773428819940449</v>
      </c>
      <c r="AE1392">
        <f>Q1392/J1392</f>
        <v>-0.32747494185553361</v>
      </c>
      <c r="AF1392">
        <f>Q1392/G1392</f>
        <v>-0.10466218657070295</v>
      </c>
      <c r="AG1392">
        <f>Q1392/K1392</f>
        <v>-0.37388453348776829</v>
      </c>
      <c r="AH1392">
        <f>Q1392/L1392</f>
        <v>-1.1499366318523374</v>
      </c>
      <c r="AI1392" s="1">
        <f>R1392</f>
        <v>55.1</v>
      </c>
      <c r="AJ1392" s="1">
        <f>P1392</f>
        <v>7720749</v>
      </c>
    </row>
    <row r="1393" spans="1:36" x14ac:dyDescent="0.25">
      <c r="A1393" t="s">
        <v>215</v>
      </c>
      <c r="B1393">
        <v>2023</v>
      </c>
      <c r="C1393" s="1">
        <v>10736341</v>
      </c>
      <c r="D1393" s="1">
        <v>-312436</v>
      </c>
      <c r="E1393" s="1">
        <v>-131091</v>
      </c>
      <c r="F1393" s="1">
        <v>0</v>
      </c>
      <c r="G1393" s="1">
        <v>19157939</v>
      </c>
      <c r="H1393" s="1">
        <v>9150304</v>
      </c>
      <c r="I1393" s="1">
        <v>5537596</v>
      </c>
      <c r="J1393" s="1">
        <v>5529568</v>
      </c>
      <c r="K1393" s="1">
        <v>4319483</v>
      </c>
      <c r="L1393" s="1">
        <v>2926236</v>
      </c>
      <c r="M1393" s="1">
        <v>0</v>
      </c>
      <c r="N1393" s="1">
        <v>13628371</v>
      </c>
      <c r="O1393" s="1">
        <v>13628371</v>
      </c>
      <c r="P1393" s="1">
        <v>7462463</v>
      </c>
      <c r="Q1393" s="1">
        <v>-1477382</v>
      </c>
      <c r="R1393" s="1">
        <v>59.9</v>
      </c>
      <c r="T1393">
        <f>E1393/G1393</f>
        <v>-6.8426462783914279E-3</v>
      </c>
      <c r="U1393">
        <f>D1393/C1393</f>
        <v>-2.910078955204571E-2</v>
      </c>
      <c r="V1393">
        <f>(E1393-F1393)/O1393</f>
        <v>-9.6189779394764054E-3</v>
      </c>
      <c r="W1393">
        <f>H1393/K1393</f>
        <v>2.1183794449474624</v>
      </c>
      <c r="X1393">
        <f>(H1393-I1393)/K1393</f>
        <v>0.8363750939637915</v>
      </c>
      <c r="Y1393">
        <f>(H1393-K1393)/G1393</f>
        <v>0.25215765641596416</v>
      </c>
      <c r="Z1393">
        <f>J1393/N1393</f>
        <v>0.40573946805527966</v>
      </c>
      <c r="AA1393">
        <f>J1393/G1393</f>
        <v>0.28863062983967119</v>
      </c>
      <c r="AB1393">
        <f>C1393/G1393</f>
        <v>0.560412109047847</v>
      </c>
      <c r="AC1393">
        <f>C1393/(G1393-K1393)</f>
        <v>0.72354839344470878</v>
      </c>
      <c r="AD1393">
        <f>Q1393/E1393</f>
        <v>11.269896484121716</v>
      </c>
      <c r="AE1393">
        <f>Q1393/J1393</f>
        <v>-0.26717855716757621</v>
      </c>
      <c r="AF1393">
        <f>Q1393/G1393</f>
        <v>-7.7115915234932109E-2</v>
      </c>
      <c r="AG1393">
        <f>Q1393/K1393</f>
        <v>-0.34202750653261049</v>
      </c>
      <c r="AH1393">
        <f>Q1393/L1393</f>
        <v>-0.50487452139882083</v>
      </c>
      <c r="AI1393" s="1">
        <f>R1393</f>
        <v>59.9</v>
      </c>
      <c r="AJ1393" s="1">
        <f>P1393</f>
        <v>7462463</v>
      </c>
    </row>
    <row r="1394" spans="1:36" x14ac:dyDescent="0.25">
      <c r="A1394" t="s">
        <v>215</v>
      </c>
      <c r="B1394">
        <v>2024</v>
      </c>
      <c r="C1394" s="1">
        <v>11577471</v>
      </c>
      <c r="D1394" s="1">
        <v>-244212</v>
      </c>
      <c r="E1394" s="1">
        <v>-272947</v>
      </c>
      <c r="F1394" s="1">
        <v>0</v>
      </c>
      <c r="G1394" s="1">
        <v>20523557</v>
      </c>
      <c r="H1394" s="1">
        <v>9453053</v>
      </c>
      <c r="I1394" s="1">
        <v>4121507</v>
      </c>
      <c r="J1394" s="1">
        <v>7098309</v>
      </c>
      <c r="K1394" s="1">
        <v>5654039</v>
      </c>
      <c r="L1394" s="1">
        <v>3996915</v>
      </c>
      <c r="M1394" s="1">
        <v>0</v>
      </c>
      <c r="N1394" s="1">
        <v>13425248</v>
      </c>
      <c r="O1394" s="1">
        <v>13425248</v>
      </c>
      <c r="P1394" s="1">
        <v>7037536</v>
      </c>
      <c r="Q1394" s="1">
        <v>1805874</v>
      </c>
      <c r="R1394" s="1">
        <v>58</v>
      </c>
      <c r="T1394">
        <f>E1394/G1394</f>
        <v>-1.3299205396023701E-2</v>
      </c>
      <c r="U1394">
        <f>D1394/C1394</f>
        <v>-2.1093725909570406E-2</v>
      </c>
      <c r="V1394">
        <f>(E1394-F1394)/O1394</f>
        <v>-2.0330872100090814E-2</v>
      </c>
      <c r="W1394">
        <f>H1394/K1394</f>
        <v>1.6719115308543149</v>
      </c>
      <c r="X1394">
        <f>(H1394-I1394)/K1394</f>
        <v>0.94296236725639848</v>
      </c>
      <c r="Y1394">
        <f>(H1394-K1394)/G1394</f>
        <v>0.18510504782382509</v>
      </c>
      <c r="Z1394">
        <f>J1394/N1394</f>
        <v>0.52872833336114167</v>
      </c>
      <c r="AA1394">
        <f>J1394/G1394</f>
        <v>0.3458615385237559</v>
      </c>
      <c r="AB1394">
        <f>C1394/G1394</f>
        <v>0.56410645581562691</v>
      </c>
      <c r="AC1394">
        <f>C1394/(G1394-K1394)</f>
        <v>0.77860432328741258</v>
      </c>
      <c r="AD1394">
        <f>Q1394/E1394</f>
        <v>-6.6162075421235622</v>
      </c>
      <c r="AE1394">
        <f>Q1394/J1394</f>
        <v>0.25440904305518397</v>
      </c>
      <c r="AF1394">
        <f>Q1394/G1394</f>
        <v>8.7990303045422394E-2</v>
      </c>
      <c r="AG1394">
        <f>Q1394/K1394</f>
        <v>0.31939539150685026</v>
      </c>
      <c r="AH1394">
        <f>Q1394/L1394</f>
        <v>0.45181696383335646</v>
      </c>
      <c r="AI1394" s="1">
        <f>R1394</f>
        <v>58</v>
      </c>
      <c r="AJ1394" s="1">
        <f>P1394</f>
        <v>7037536</v>
      </c>
    </row>
    <row r="1395" spans="1:36" x14ac:dyDescent="0.25">
      <c r="A1395" t="s">
        <v>218</v>
      </c>
      <c r="B1395">
        <v>2018</v>
      </c>
      <c r="C1395" s="1">
        <v>974838</v>
      </c>
      <c r="D1395" s="1">
        <v>908559</v>
      </c>
      <c r="E1395" s="1">
        <v>509220</v>
      </c>
      <c r="F1395" s="1">
        <v>0</v>
      </c>
      <c r="G1395" s="1">
        <v>5303325</v>
      </c>
      <c r="H1395" s="1">
        <v>587862</v>
      </c>
      <c r="I1395" s="1">
        <v>17632.7</v>
      </c>
      <c r="J1395" s="1">
        <v>1865019.162215</v>
      </c>
      <c r="K1395" s="1">
        <v>1227378.2150000001</v>
      </c>
      <c r="L1395" s="1">
        <v>902823.25432599999</v>
      </c>
      <c r="M1395" s="1">
        <v>1728356.3259999999</v>
      </c>
      <c r="N1395" s="1">
        <v>3438305.837785</v>
      </c>
      <c r="O1395" s="1">
        <v>3438305.837785</v>
      </c>
      <c r="P1395" s="1">
        <v>810201.68500000006</v>
      </c>
      <c r="Q1395" s="1">
        <v>866.12699999999995</v>
      </c>
      <c r="R1395" s="1">
        <v>4.7</v>
      </c>
      <c r="T1395">
        <f>E1395/G1395</f>
        <v>9.6019006943756979E-2</v>
      </c>
      <c r="U1395">
        <f>D1395/C1395</f>
        <v>0.93201024170169811</v>
      </c>
      <c r="V1395">
        <f>(E1395-F1395)/O1395</f>
        <v>0.14810200837981474</v>
      </c>
      <c r="W1395">
        <f>H1395/K1395</f>
        <v>0.47895749885050709</v>
      </c>
      <c r="X1395">
        <f>(H1395-I1395)/K1395</f>
        <v>0.4645913484785128</v>
      </c>
      <c r="Y1395">
        <f>(H1395-K1395)/G1395</f>
        <v>-0.12058778502166095</v>
      </c>
      <c r="Z1395">
        <f>J1395/N1395</f>
        <v>0.54242387100051259</v>
      </c>
      <c r="AA1395">
        <f>J1395/G1395</f>
        <v>0.35166978493963691</v>
      </c>
      <c r="AB1395">
        <f>C1395/G1395</f>
        <v>0.18381637934691916</v>
      </c>
      <c r="AC1395">
        <f>C1395/(G1395-K1395)</f>
        <v>0.23916848070429358</v>
      </c>
      <c r="AD1395">
        <f>Q1395/E1395</f>
        <v>1.7008895958524801E-3</v>
      </c>
      <c r="AE1395">
        <f>Q1395/J1395</f>
        <v>4.6440648844129815E-4</v>
      </c>
      <c r="AF1395">
        <f>Q1395/G1395</f>
        <v>1.6331772991472329E-4</v>
      </c>
      <c r="AG1395">
        <f>Q1395/K1395</f>
        <v>7.056724564725959E-4</v>
      </c>
      <c r="AH1395">
        <f>Q1395/L1395</f>
        <v>9.5935388887009171E-4</v>
      </c>
      <c r="AI1395" s="1">
        <f>R1395</f>
        <v>4.7</v>
      </c>
      <c r="AJ1395" s="1">
        <f>P1395</f>
        <v>810201.68500000006</v>
      </c>
    </row>
    <row r="1396" spans="1:36" x14ac:dyDescent="0.25">
      <c r="A1396" t="s">
        <v>218</v>
      </c>
      <c r="B1396">
        <v>2019</v>
      </c>
      <c r="C1396" s="1">
        <v>1281956</v>
      </c>
      <c r="D1396" s="1">
        <v>917576</v>
      </c>
      <c r="E1396" s="1">
        <v>527318</v>
      </c>
      <c r="F1396" s="1">
        <v>0</v>
      </c>
      <c r="G1396" s="1">
        <v>5789278</v>
      </c>
      <c r="H1396" s="1">
        <v>767337</v>
      </c>
      <c r="I1396" s="1">
        <v>19223.618999999999</v>
      </c>
      <c r="J1396" s="1">
        <v>2344914.2016539997</v>
      </c>
      <c r="K1396" s="1">
        <v>691685.65399999998</v>
      </c>
      <c r="L1396" s="1">
        <v>545629.92596699996</v>
      </c>
      <c r="M1396" s="1">
        <v>2110490.9670000002</v>
      </c>
      <c r="N1396" s="1">
        <v>3444363.7983460003</v>
      </c>
      <c r="O1396" s="1">
        <v>3444363.7983460003</v>
      </c>
      <c r="P1396" s="1">
        <v>1192078.2590000001</v>
      </c>
      <c r="Q1396" s="1">
        <v>729.59</v>
      </c>
      <c r="R1396" s="1">
        <v>4.4000000000000004</v>
      </c>
      <c r="T1396">
        <f>E1396/G1396</f>
        <v>9.108527868241946E-2</v>
      </c>
      <c r="U1396">
        <f>D1396/C1396</f>
        <v>0.71576247546717675</v>
      </c>
      <c r="V1396">
        <f>(E1396-F1396)/O1396</f>
        <v>0.1530959070738174</v>
      </c>
      <c r="W1396">
        <f>H1396/K1396</f>
        <v>1.1093724375552829</v>
      </c>
      <c r="X1396">
        <f>(H1396-I1396)/K1396</f>
        <v>1.0815800164043883</v>
      </c>
      <c r="Y1396">
        <f>(H1396-K1396)/G1396</f>
        <v>1.306749235396884E-2</v>
      </c>
      <c r="Z1396">
        <f>J1396/N1396</f>
        <v>0.68079748218815872</v>
      </c>
      <c r="AA1396">
        <f>J1396/G1396</f>
        <v>0.40504432532934154</v>
      </c>
      <c r="AB1396">
        <f>C1396/G1396</f>
        <v>0.22143624818155216</v>
      </c>
      <c r="AC1396">
        <f>C1396/(G1396-K1396)</f>
        <v>0.2514826437633701</v>
      </c>
      <c r="AD1396">
        <f>Q1396/E1396</f>
        <v>1.3835863748250582E-3</v>
      </c>
      <c r="AE1396">
        <f>Q1396/J1396</f>
        <v>3.1113718339262868E-4</v>
      </c>
      <c r="AF1396">
        <f>Q1396/G1396</f>
        <v>1.260243505321389E-4</v>
      </c>
      <c r="AG1396">
        <f>Q1396/K1396</f>
        <v>1.0547999597516592E-3</v>
      </c>
      <c r="AH1396">
        <f>Q1396/L1396</f>
        <v>1.3371517310143397E-3</v>
      </c>
      <c r="AI1396" s="1">
        <f>R1396</f>
        <v>4.4000000000000004</v>
      </c>
      <c r="AJ1396" s="1">
        <f>P1396</f>
        <v>1192078.2590000001</v>
      </c>
    </row>
    <row r="1397" spans="1:36" x14ac:dyDescent="0.25">
      <c r="A1397" t="s">
        <v>218</v>
      </c>
      <c r="B1397">
        <v>2020</v>
      </c>
      <c r="C1397" s="1">
        <v>1440380</v>
      </c>
      <c r="D1397" s="1">
        <v>899346</v>
      </c>
      <c r="E1397" s="1">
        <v>361662</v>
      </c>
      <c r="F1397" s="1">
        <v>0</v>
      </c>
      <c r="G1397" s="1">
        <v>7382488</v>
      </c>
      <c r="H1397" s="1">
        <v>1312820</v>
      </c>
      <c r="I1397" s="1">
        <v>31865.564999999999</v>
      </c>
      <c r="J1397" s="1">
        <v>2755947.1910979999</v>
      </c>
      <c r="K1397" s="1">
        <v>1627371.098</v>
      </c>
      <c r="L1397" s="1">
        <v>1049943.8436720001</v>
      </c>
      <c r="M1397" s="1">
        <v>2350231.6719999998</v>
      </c>
      <c r="N1397" s="1">
        <v>4626540.8089020001</v>
      </c>
      <c r="O1397" s="1">
        <v>4626540.8089020001</v>
      </c>
      <c r="P1397" s="1">
        <v>1338790.365</v>
      </c>
      <c r="Q1397" s="1">
        <v>899.154</v>
      </c>
      <c r="R1397" s="1">
        <v>4.0999999999999996</v>
      </c>
      <c r="T1397">
        <f>E1397/G1397</f>
        <v>4.8989175464965201E-2</v>
      </c>
      <c r="U1397">
        <f>D1397/C1397</f>
        <v>0.62438106610755495</v>
      </c>
      <c r="V1397">
        <f>(E1397-F1397)/O1397</f>
        <v>7.8171146638136305E-2</v>
      </c>
      <c r="W1397">
        <f>H1397/K1397</f>
        <v>0.80671212707010975</v>
      </c>
      <c r="X1397">
        <f>(H1397-I1397)/K1397</f>
        <v>0.78713111998502516</v>
      </c>
      <c r="Y1397">
        <f>(H1397-K1397)/G1397</f>
        <v>-4.260773576604527E-2</v>
      </c>
      <c r="Z1397">
        <f>J1397/N1397</f>
        <v>0.59568202355315625</v>
      </c>
      <c r="AA1397">
        <f>J1397/G1397</f>
        <v>0.3733087261500459</v>
      </c>
      <c r="AB1397">
        <f>C1397/G1397</f>
        <v>0.19510766559999826</v>
      </c>
      <c r="AC1397">
        <f>C1397/(G1397-K1397)</f>
        <v>0.25027814804238707</v>
      </c>
      <c r="AD1397">
        <f>Q1397/E1397</f>
        <v>2.4861721718068253E-3</v>
      </c>
      <c r="AE1397">
        <f>Q1397/J1397</f>
        <v>3.2625951720133181E-4</v>
      </c>
      <c r="AF1397">
        <f>Q1397/G1397</f>
        <v>1.2179552476075816E-4</v>
      </c>
      <c r="AG1397">
        <f>Q1397/K1397</f>
        <v>5.5251933692630935E-4</v>
      </c>
      <c r="AH1397">
        <f>Q1397/L1397</f>
        <v>8.563829441157174E-4</v>
      </c>
      <c r="AI1397" s="1">
        <f>R1397</f>
        <v>4.0999999999999996</v>
      </c>
      <c r="AJ1397" s="1">
        <f>P1397</f>
        <v>1338790.365</v>
      </c>
    </row>
    <row r="1398" spans="1:36" x14ac:dyDescent="0.25">
      <c r="A1398" t="s">
        <v>218</v>
      </c>
      <c r="B1398">
        <v>2021</v>
      </c>
      <c r="C1398" s="1">
        <v>1797070</v>
      </c>
      <c r="D1398" s="1">
        <v>1125011</v>
      </c>
      <c r="E1398" s="1">
        <v>594951</v>
      </c>
      <c r="F1398" s="1">
        <v>0</v>
      </c>
      <c r="G1398" s="1">
        <v>8291754.0000000009</v>
      </c>
      <c r="H1398" s="1">
        <v>1410193</v>
      </c>
      <c r="I1398" s="1">
        <v>47577.052000000003</v>
      </c>
      <c r="J1398" s="1">
        <v>3220418.7108299998</v>
      </c>
      <c r="K1398" s="1">
        <v>1427837.83</v>
      </c>
      <c r="L1398" s="1">
        <v>1061343.6129939999</v>
      </c>
      <c r="M1398" s="1">
        <v>2788251.9939999999</v>
      </c>
      <c r="N1398" s="1">
        <v>5071335.2891700007</v>
      </c>
      <c r="O1398" s="1">
        <v>5071335.2891700007</v>
      </c>
      <c r="P1398" s="1">
        <v>1830090.9140000001</v>
      </c>
      <c r="Q1398" s="1">
        <v>1161.248</v>
      </c>
      <c r="R1398" s="1">
        <v>5.5</v>
      </c>
      <c r="T1398">
        <f>E1398/G1398</f>
        <v>7.1752128681096899E-2</v>
      </c>
      <c r="U1398">
        <f>D1398/C1398</f>
        <v>0.6260251409238371</v>
      </c>
      <c r="V1398">
        <f>(E1398-F1398)/O1398</f>
        <v>0.11731643957175085</v>
      </c>
      <c r="W1398">
        <f>H1398/K1398</f>
        <v>0.9876422730724258</v>
      </c>
      <c r="X1398">
        <f>(H1398-I1398)/K1398</f>
        <v>0.95432122568149069</v>
      </c>
      <c r="Y1398">
        <f>(H1398-K1398)/G1398</f>
        <v>-2.1279972850135292E-3</v>
      </c>
      <c r="Z1398">
        <f>J1398/N1398</f>
        <v>0.63502382059165119</v>
      </c>
      <c r="AA1398">
        <f>J1398/G1398</f>
        <v>0.38838811556999875</v>
      </c>
      <c r="AB1398">
        <f>C1398/G1398</f>
        <v>0.2167297775597298</v>
      </c>
      <c r="AC1398">
        <f>C1398/(G1398-K1398)</f>
        <v>0.26181409497021868</v>
      </c>
      <c r="AD1398">
        <f>Q1398/E1398</f>
        <v>1.951838050528531E-3</v>
      </c>
      <c r="AE1398">
        <f>Q1398/J1398</f>
        <v>3.605891358458513E-4</v>
      </c>
      <c r="AF1398">
        <f>Q1398/G1398</f>
        <v>1.4004853496618445E-4</v>
      </c>
      <c r="AG1398">
        <f>Q1398/K1398</f>
        <v>8.1329124050453269E-4</v>
      </c>
      <c r="AH1398">
        <f>Q1398/L1398</f>
        <v>1.0941301062001728E-3</v>
      </c>
      <c r="AI1398" s="1">
        <f>R1398</f>
        <v>5.5</v>
      </c>
      <c r="AJ1398" s="1">
        <f>P1398</f>
        <v>1830090.9140000001</v>
      </c>
    </row>
    <row r="1399" spans="1:36" x14ac:dyDescent="0.25">
      <c r="A1399" t="s">
        <v>218</v>
      </c>
      <c r="B1399">
        <v>2022</v>
      </c>
      <c r="C1399" s="1">
        <v>2567672</v>
      </c>
      <c r="D1399" s="1">
        <v>1654858</v>
      </c>
      <c r="E1399" s="1">
        <v>865877</v>
      </c>
      <c r="F1399" s="1">
        <v>0</v>
      </c>
      <c r="G1399" s="1">
        <v>11505892</v>
      </c>
      <c r="H1399" s="1">
        <v>2784024</v>
      </c>
      <c r="I1399" s="1">
        <v>123802.57399999999</v>
      </c>
      <c r="J1399" s="1">
        <v>4050145.5339879999</v>
      </c>
      <c r="K1399" s="1">
        <v>1732351.9879999999</v>
      </c>
      <c r="L1399" s="1">
        <v>1251112.132487</v>
      </c>
      <c r="M1399" s="1">
        <v>3109948.4870000002</v>
      </c>
      <c r="N1399" s="1">
        <v>7455746.4660120001</v>
      </c>
      <c r="O1399" s="1">
        <v>7455746.4660120001</v>
      </c>
      <c r="P1399" s="1">
        <v>2406968.7889999999</v>
      </c>
      <c r="Q1399" s="1">
        <v>1664.3610000000001</v>
      </c>
      <c r="R1399" s="1">
        <v>7.1</v>
      </c>
      <c r="T1399">
        <f>E1399/G1399</f>
        <v>7.5255095389388321E-2</v>
      </c>
      <c r="U1399">
        <f>D1399/C1399</f>
        <v>0.64449742802040133</v>
      </c>
      <c r="V1399">
        <f>(E1399-F1399)/O1399</f>
        <v>0.11613552096322133</v>
      </c>
      <c r="W1399">
        <f>H1399/K1399</f>
        <v>1.6070775565733355</v>
      </c>
      <c r="X1399">
        <f>(H1399-I1399)/K1399</f>
        <v>1.5356125339580815</v>
      </c>
      <c r="Y1399">
        <f>(H1399-K1399)/G1399</f>
        <v>9.1402910091629583E-2</v>
      </c>
      <c r="Z1399">
        <f>J1399/N1399</f>
        <v>0.54322468614660124</v>
      </c>
      <c r="AA1399">
        <f>J1399/G1399</f>
        <v>0.35200621855202535</v>
      </c>
      <c r="AB1399">
        <f>C1399/G1399</f>
        <v>0.22316148978279998</v>
      </c>
      <c r="AC1399">
        <f>C1399/(G1399-K1399)</f>
        <v>0.26271668165755702</v>
      </c>
      <c r="AD1399">
        <f>Q1399/E1399</f>
        <v>1.9221679291631492E-3</v>
      </c>
      <c r="AE1399">
        <f>Q1399/J1399</f>
        <v>4.1093856653619487E-4</v>
      </c>
      <c r="AF1399">
        <f>Q1399/G1399</f>
        <v>1.4465293086359581E-4</v>
      </c>
      <c r="AG1399">
        <f>Q1399/K1399</f>
        <v>9.6075220944070647E-4</v>
      </c>
      <c r="AH1399">
        <f>Q1399/L1399</f>
        <v>1.3303052194782341E-3</v>
      </c>
      <c r="AI1399" s="1">
        <f>R1399</f>
        <v>7.1</v>
      </c>
      <c r="AJ1399" s="1">
        <f>P1399</f>
        <v>2406968.7889999999</v>
      </c>
    </row>
    <row r="1400" spans="1:36" x14ac:dyDescent="0.25">
      <c r="A1400" t="s">
        <v>218</v>
      </c>
      <c r="B1400">
        <v>2023</v>
      </c>
      <c r="C1400" s="1">
        <v>3836435</v>
      </c>
      <c r="D1400" s="1">
        <v>2248750</v>
      </c>
      <c r="E1400" s="1">
        <v>1023010</v>
      </c>
      <c r="F1400" s="1">
        <v>0</v>
      </c>
      <c r="G1400" s="1">
        <v>13023778</v>
      </c>
      <c r="H1400" s="1">
        <v>3407723</v>
      </c>
      <c r="I1400" s="1">
        <v>134700.60699999999</v>
      </c>
      <c r="J1400" s="1">
        <v>3918452.375678</v>
      </c>
      <c r="K1400" s="1">
        <v>2218258.6779999998</v>
      </c>
      <c r="L1400" s="1">
        <v>1332960.428788</v>
      </c>
      <c r="M1400" s="1">
        <v>2645632.7880000002</v>
      </c>
      <c r="N1400" s="1">
        <v>9105325.6243220009</v>
      </c>
      <c r="O1400" s="1">
        <v>9105325.6243220009</v>
      </c>
      <c r="P1400" s="1">
        <v>3143660.37</v>
      </c>
      <c r="Q1400" s="1">
        <v>2618.9929999999999</v>
      </c>
      <c r="R1400" s="1">
        <v>5.9</v>
      </c>
      <c r="T1400">
        <f>E1400/G1400</f>
        <v>7.8549404020860927E-2</v>
      </c>
      <c r="U1400">
        <f>D1400/C1400</f>
        <v>0.58615615799563914</v>
      </c>
      <c r="V1400">
        <f>(E1400-F1400)/O1400</f>
        <v>0.1123529286275443</v>
      </c>
      <c r="W1400">
        <f>H1400/K1400</f>
        <v>1.5362153358383031</v>
      </c>
      <c r="X1400">
        <f>(H1400-I1400)/K1400</f>
        <v>1.475491756421746</v>
      </c>
      <c r="Y1400">
        <f>(H1400-K1400)/G1400</f>
        <v>9.1330205567078937E-2</v>
      </c>
      <c r="Z1400">
        <f>J1400/N1400</f>
        <v>0.430347308525803</v>
      </c>
      <c r="AA1400">
        <f>J1400/G1400</f>
        <v>0.30086910078458035</v>
      </c>
      <c r="AB1400">
        <f>C1400/G1400</f>
        <v>0.29457159051697596</v>
      </c>
      <c r="AC1400">
        <f>C1400/(G1400-K1400)</f>
        <v>0.35504401830914606</v>
      </c>
      <c r="AD1400">
        <f>Q1400/E1400</f>
        <v>2.5600854341599789E-3</v>
      </c>
      <c r="AE1400">
        <f>Q1400/J1400</f>
        <v>6.6837433478997993E-4</v>
      </c>
      <c r="AF1400">
        <f>Q1400/G1400</f>
        <v>2.0109318509575332E-4</v>
      </c>
      <c r="AG1400">
        <f>Q1400/K1400</f>
        <v>1.180652656056013E-3</v>
      </c>
      <c r="AH1400">
        <f>Q1400/L1400</f>
        <v>1.9647942605327982E-3</v>
      </c>
      <c r="AI1400" s="1">
        <f>R1400</f>
        <v>5.9</v>
      </c>
      <c r="AJ1400" s="1">
        <f>P1400</f>
        <v>3143660.37</v>
      </c>
    </row>
    <row r="1401" spans="1:36" x14ac:dyDescent="0.25">
      <c r="A1401" t="s">
        <v>218</v>
      </c>
      <c r="B1401">
        <v>2024</v>
      </c>
      <c r="C1401" s="1">
        <v>5692546</v>
      </c>
      <c r="D1401" s="1">
        <v>2714335</v>
      </c>
      <c r="E1401" s="1">
        <v>1353186</v>
      </c>
      <c r="F1401" s="1">
        <v>0</v>
      </c>
      <c r="G1401" s="1">
        <v>13019465</v>
      </c>
      <c r="H1401" s="1">
        <v>3620655</v>
      </c>
      <c r="I1401" s="1">
        <v>150045.90100000001</v>
      </c>
      <c r="J1401" s="1">
        <v>3240165.9303879999</v>
      </c>
      <c r="K1401" s="1">
        <v>2252711.3879999998</v>
      </c>
      <c r="L1401" s="1">
        <v>1004249.907012</v>
      </c>
      <c r="M1401" s="1">
        <v>2052876.0120000001</v>
      </c>
      <c r="N1401" s="1">
        <v>9779299.0696120001</v>
      </c>
      <c r="O1401" s="1">
        <v>9779299.0696120001</v>
      </c>
      <c r="P1401" s="1">
        <v>4082365.801</v>
      </c>
      <c r="Q1401" s="1">
        <v>2913.009</v>
      </c>
      <c r="R1401" s="1">
        <v>7.2</v>
      </c>
      <c r="T1401">
        <f>E1401/G1401</f>
        <v>0.10393560718508786</v>
      </c>
      <c r="U1401">
        <f>D1401/C1401</f>
        <v>0.47682267301836473</v>
      </c>
      <c r="V1401">
        <f>(E1401-F1401)/O1401</f>
        <v>0.13837249381245159</v>
      </c>
      <c r="W1401">
        <f>H1401/K1401</f>
        <v>1.6072431733984738</v>
      </c>
      <c r="X1401">
        <f>(H1401-I1401)/K1401</f>
        <v>1.5406363715687845</v>
      </c>
      <c r="Y1401">
        <f>(H1401-K1401)/G1401</f>
        <v>0.10506911090432673</v>
      </c>
      <c r="Z1401">
        <f>J1401/N1401</f>
        <v>0.33132905613413821</v>
      </c>
      <c r="AA1401">
        <f>J1401/G1401</f>
        <v>0.24887089679860117</v>
      </c>
      <c r="AB1401">
        <f>C1401/G1401</f>
        <v>0.43723348079202945</v>
      </c>
      <c r="AC1401">
        <f>C1401/(G1401-K1401)</f>
        <v>0.52871517312845517</v>
      </c>
      <c r="AD1401">
        <f>Q1401/E1401</f>
        <v>2.1527040628561041E-3</v>
      </c>
      <c r="AE1401">
        <f>Q1401/J1401</f>
        <v>8.9903080971262983E-4</v>
      </c>
      <c r="AF1401">
        <f>Q1401/G1401</f>
        <v>2.2374260386275472E-4</v>
      </c>
      <c r="AG1401">
        <f>Q1401/K1401</f>
        <v>1.2931123869295237E-3</v>
      </c>
      <c r="AH1401">
        <f>Q1401/L1401</f>
        <v>2.9006813738895292E-3</v>
      </c>
      <c r="AI1401" s="1">
        <f>R1401</f>
        <v>7.2</v>
      </c>
      <c r="AJ1401" s="1">
        <f>P1401</f>
        <v>4082365.801</v>
      </c>
    </row>
    <row r="1402" spans="1:36" x14ac:dyDescent="0.25">
      <c r="A1402" t="s">
        <v>216</v>
      </c>
      <c r="B1402">
        <v>2018</v>
      </c>
      <c r="C1402" s="1">
        <v>60969000</v>
      </c>
      <c r="D1402" s="1">
        <v>13723000</v>
      </c>
      <c r="E1402" s="1">
        <v>6810000</v>
      </c>
      <c r="F1402" s="1">
        <v>0</v>
      </c>
      <c r="G1402" s="1">
        <v>206172862</v>
      </c>
      <c r="H1402" s="1">
        <v>0</v>
      </c>
      <c r="I1402" s="1">
        <v>0</v>
      </c>
      <c r="J1402" s="1">
        <v>137710409</v>
      </c>
      <c r="K1402" s="1">
        <v>0</v>
      </c>
      <c r="L1402" s="1">
        <v>22601388</v>
      </c>
      <c r="M1402" s="1">
        <v>22601388</v>
      </c>
      <c r="N1402" s="1">
        <v>68462453</v>
      </c>
      <c r="O1402" s="1">
        <v>68462453</v>
      </c>
      <c r="P1402" s="1">
        <v>11132000</v>
      </c>
      <c r="Q1402" s="1">
        <v>5867000</v>
      </c>
      <c r="R1402" s="1">
        <v>17.2</v>
      </c>
      <c r="T1402">
        <f>E1402/G1402</f>
        <v>3.3030535318464949E-2</v>
      </c>
      <c r="U1402">
        <f>D1402/C1402</f>
        <v>0.22508159884531484</v>
      </c>
      <c r="V1402">
        <f>(E1402-F1402)/O1402</f>
        <v>9.9470581341863401E-2</v>
      </c>
      <c r="W1402" t="e">
        <f>H1402/K1402</f>
        <v>#DIV/0!</v>
      </c>
      <c r="X1402" t="e">
        <f>(H1402-I1402)/K1402</f>
        <v>#DIV/0!</v>
      </c>
      <c r="Y1402">
        <f>(H1402-K1402)/G1402</f>
        <v>0</v>
      </c>
      <c r="Z1402">
        <f>J1402/N1402</f>
        <v>2.0114734860581169</v>
      </c>
      <c r="AA1402">
        <f>J1402/G1402</f>
        <v>0.66793664143828979</v>
      </c>
      <c r="AB1402">
        <f>C1402/G1402</f>
        <v>0.29571787192826571</v>
      </c>
      <c r="AC1402">
        <f>C1402/(G1402-K1402)</f>
        <v>0.29571787192826571</v>
      </c>
      <c r="AD1402">
        <f>Q1402/E1402</f>
        <v>0.86152716593245227</v>
      </c>
      <c r="AE1402">
        <f>Q1402/J1402</f>
        <v>4.2603896412797673E-2</v>
      </c>
      <c r="AF1402">
        <f>Q1402/G1402</f>
        <v>2.8456703482148876E-2</v>
      </c>
      <c r="AG1402" t="e">
        <f>Q1402/K1402</f>
        <v>#DIV/0!</v>
      </c>
      <c r="AH1402">
        <f>Q1402/L1402</f>
        <v>0.25958582720671847</v>
      </c>
      <c r="AI1402" s="1">
        <f>R1402</f>
        <v>17.2</v>
      </c>
      <c r="AJ1402" s="1">
        <f>P1402</f>
        <v>11132000</v>
      </c>
    </row>
    <row r="1403" spans="1:36" x14ac:dyDescent="0.25">
      <c r="A1403" t="s">
        <v>216</v>
      </c>
      <c r="B1403">
        <v>2019</v>
      </c>
      <c r="C1403" s="1">
        <v>66691000</v>
      </c>
      <c r="D1403" s="1">
        <v>14989000</v>
      </c>
      <c r="E1403" s="1">
        <v>6742000</v>
      </c>
      <c r="F1403" s="1">
        <v>0</v>
      </c>
      <c r="G1403" s="1">
        <v>224987665</v>
      </c>
      <c r="H1403" s="1">
        <v>0</v>
      </c>
      <c r="I1403" s="1">
        <v>0</v>
      </c>
      <c r="J1403" s="1">
        <v>153494257</v>
      </c>
      <c r="K1403" s="1">
        <v>0</v>
      </c>
      <c r="L1403" s="1">
        <v>22626965</v>
      </c>
      <c r="M1403" s="1">
        <v>22626965</v>
      </c>
      <c r="N1403" s="1">
        <v>71493408</v>
      </c>
      <c r="O1403" s="1">
        <v>71493408</v>
      </c>
      <c r="P1403" s="1">
        <v>13991000</v>
      </c>
      <c r="Q1403" s="1">
        <v>3846000</v>
      </c>
      <c r="R1403" s="1">
        <v>14.3</v>
      </c>
      <c r="T1403">
        <f>E1403/G1403</f>
        <v>2.9966087251938899E-2</v>
      </c>
      <c r="U1403">
        <f>D1403/C1403</f>
        <v>0.22475296516771379</v>
      </c>
      <c r="V1403">
        <f>(E1403-F1403)/O1403</f>
        <v>9.43024005793653E-2</v>
      </c>
      <c r="W1403" t="e">
        <f>H1403/K1403</f>
        <v>#DIV/0!</v>
      </c>
      <c r="X1403" t="e">
        <f>(H1403-I1403)/K1403</f>
        <v>#DIV/0!</v>
      </c>
      <c r="Y1403">
        <f>(H1403-K1403)/G1403</f>
        <v>0</v>
      </c>
      <c r="Z1403">
        <f>J1403/N1403</f>
        <v>2.1469707668712616</v>
      </c>
      <c r="AA1403">
        <f>J1403/G1403</f>
        <v>0.68223409936718082</v>
      </c>
      <c r="AB1403">
        <f>C1403/G1403</f>
        <v>0.2964206948856507</v>
      </c>
      <c r="AC1403">
        <f>C1403/(G1403-K1403)</f>
        <v>0.2964206948856507</v>
      </c>
      <c r="AD1403">
        <f>Q1403/E1403</f>
        <v>0.5704538712548205</v>
      </c>
      <c r="AE1403">
        <f>Q1403/J1403</f>
        <v>2.5056312041694173E-2</v>
      </c>
      <c r="AF1403">
        <f>Q1403/G1403</f>
        <v>1.7094270479228273E-2</v>
      </c>
      <c r="AG1403" t="e">
        <f>Q1403/K1403</f>
        <v>#DIV/0!</v>
      </c>
      <c r="AH1403">
        <f>Q1403/L1403</f>
        <v>0.16997418787716337</v>
      </c>
      <c r="AI1403" s="1">
        <f>R1403</f>
        <v>14.3</v>
      </c>
      <c r="AJ1403" s="1">
        <f>P1403</f>
        <v>13991000</v>
      </c>
    </row>
    <row r="1404" spans="1:36" x14ac:dyDescent="0.25">
      <c r="A1404" t="s">
        <v>216</v>
      </c>
      <c r="B1404">
        <v>2020</v>
      </c>
      <c r="C1404" s="1">
        <v>68569000</v>
      </c>
      <c r="D1404" s="1">
        <v>15068000</v>
      </c>
      <c r="E1404" s="1">
        <v>6417000</v>
      </c>
      <c r="F1404" s="1">
        <v>0</v>
      </c>
      <c r="G1404" s="1">
        <v>242467131</v>
      </c>
      <c r="H1404" s="1">
        <v>0</v>
      </c>
      <c r="I1404" s="1">
        <v>0</v>
      </c>
      <c r="J1404" s="1">
        <v>162407523</v>
      </c>
      <c r="K1404" s="1">
        <v>0</v>
      </c>
      <c r="L1404" s="1">
        <v>26113624</v>
      </c>
      <c r="M1404" s="1">
        <v>26113624</v>
      </c>
      <c r="N1404" s="1">
        <v>80059608</v>
      </c>
      <c r="O1404" s="1">
        <v>80059608</v>
      </c>
      <c r="P1404" s="1">
        <v>16755000</v>
      </c>
      <c r="Q1404" s="1">
        <v>5214000</v>
      </c>
      <c r="R1404" s="1">
        <v>12</v>
      </c>
      <c r="T1404">
        <f>E1404/G1404</f>
        <v>2.6465442856252543E-2</v>
      </c>
      <c r="U1404">
        <f>D1404/C1404</f>
        <v>0.21974944945966837</v>
      </c>
      <c r="V1404">
        <f>(E1404-F1404)/O1404</f>
        <v>8.0152778164989266E-2</v>
      </c>
      <c r="W1404" t="e">
        <f>H1404/K1404</f>
        <v>#DIV/0!</v>
      </c>
      <c r="X1404" t="e">
        <f>(H1404-I1404)/K1404</f>
        <v>#DIV/0!</v>
      </c>
      <c r="Y1404">
        <f>(H1404-K1404)/G1404</f>
        <v>0</v>
      </c>
      <c r="Z1404">
        <f>J1404/N1404</f>
        <v>2.0285825406489626</v>
      </c>
      <c r="AA1404">
        <f>J1404/G1404</f>
        <v>0.66981253223967907</v>
      </c>
      <c r="AB1404">
        <f>C1404/G1404</f>
        <v>0.28279709384609331</v>
      </c>
      <c r="AC1404">
        <f>C1404/(G1404-K1404)</f>
        <v>0.28279709384609331</v>
      </c>
      <c r="AD1404">
        <f>Q1404/E1404</f>
        <v>0.81252921926133703</v>
      </c>
      <c r="AE1404">
        <f>Q1404/J1404</f>
        <v>3.2104424128185247E-2</v>
      </c>
      <c r="AF1404">
        <f>Q1404/G1404</f>
        <v>2.150394562139641E-2</v>
      </c>
      <c r="AG1404" t="e">
        <f>Q1404/K1404</f>
        <v>#DIV/0!</v>
      </c>
      <c r="AH1404">
        <f>Q1404/L1404</f>
        <v>0.1996658908774975</v>
      </c>
      <c r="AI1404" s="1">
        <f>R1404</f>
        <v>12</v>
      </c>
      <c r="AJ1404" s="1">
        <f>P1404</f>
        <v>16755000</v>
      </c>
    </row>
    <row r="1405" spans="1:36" x14ac:dyDescent="0.25">
      <c r="A1405" t="s">
        <v>216</v>
      </c>
      <c r="B1405">
        <v>2021</v>
      </c>
      <c r="C1405" s="1">
        <v>81035000</v>
      </c>
      <c r="D1405" s="1">
        <v>22472000</v>
      </c>
      <c r="E1405" s="1">
        <v>14823000</v>
      </c>
      <c r="F1405" s="1">
        <v>0</v>
      </c>
      <c r="G1405" s="1">
        <v>240131570</v>
      </c>
      <c r="H1405" s="1">
        <v>0</v>
      </c>
      <c r="I1405" s="1">
        <v>0</v>
      </c>
      <c r="J1405" s="1">
        <v>145941630</v>
      </c>
      <c r="K1405" s="1">
        <v>0</v>
      </c>
      <c r="L1405" s="1">
        <v>19386131</v>
      </c>
      <c r="M1405" s="1">
        <v>19386131</v>
      </c>
      <c r="N1405" s="1">
        <v>94189940</v>
      </c>
      <c r="O1405" s="1">
        <v>94189940</v>
      </c>
      <c r="P1405" s="1">
        <v>21151000</v>
      </c>
      <c r="Q1405" s="1">
        <v>19227000</v>
      </c>
      <c r="R1405" s="1">
        <v>47.1</v>
      </c>
      <c r="T1405">
        <f>E1405/G1405</f>
        <v>6.172865983427335E-2</v>
      </c>
      <c r="U1405">
        <f>D1405/C1405</f>
        <v>0.27731227247485657</v>
      </c>
      <c r="V1405">
        <f>(E1405-F1405)/O1405</f>
        <v>0.15737349445174292</v>
      </c>
      <c r="W1405" t="e">
        <f>H1405/K1405</f>
        <v>#DIV/0!</v>
      </c>
      <c r="X1405" t="e">
        <f>(H1405-I1405)/K1405</f>
        <v>#DIV/0!</v>
      </c>
      <c r="Y1405">
        <f>(H1405-K1405)/G1405</f>
        <v>0</v>
      </c>
      <c r="Z1405">
        <f>J1405/N1405</f>
        <v>1.549439674767815</v>
      </c>
      <c r="AA1405">
        <f>J1405/G1405</f>
        <v>0.60775694757669718</v>
      </c>
      <c r="AB1405">
        <f>C1405/G1405</f>
        <v>0.33746083449169134</v>
      </c>
      <c r="AC1405">
        <f>C1405/(G1405-K1405)</f>
        <v>0.33746083449169134</v>
      </c>
      <c r="AD1405">
        <f>Q1405/E1405</f>
        <v>1.2971058490184173</v>
      </c>
      <c r="AE1405">
        <f>Q1405/J1405</f>
        <v>0.13174445153175279</v>
      </c>
      <c r="AF1405">
        <f>Q1405/G1405</f>
        <v>8.0068605723104216E-2</v>
      </c>
      <c r="AG1405" t="e">
        <f>Q1405/K1405</f>
        <v>#DIV/0!</v>
      </c>
      <c r="AH1405">
        <f>Q1405/L1405</f>
        <v>0.99179150290483442</v>
      </c>
      <c r="AI1405" s="1">
        <f>R1405</f>
        <v>47.1</v>
      </c>
      <c r="AJ1405" s="1">
        <f>P1405</f>
        <v>21151000</v>
      </c>
    </row>
    <row r="1406" spans="1:36" x14ac:dyDescent="0.25">
      <c r="A1406" t="s">
        <v>216</v>
      </c>
      <c r="B1406">
        <v>2022</v>
      </c>
      <c r="C1406" s="1">
        <v>94295000</v>
      </c>
      <c r="D1406" s="1">
        <v>30139000</v>
      </c>
      <c r="E1406" s="1">
        <v>20522000</v>
      </c>
      <c r="F1406" s="1">
        <v>0</v>
      </c>
      <c r="G1406" s="1">
        <v>285210484</v>
      </c>
      <c r="H1406" s="1">
        <v>0</v>
      </c>
      <c r="I1406" s="1">
        <v>0</v>
      </c>
      <c r="J1406" s="1">
        <v>176757435</v>
      </c>
      <c r="K1406" s="1">
        <v>0</v>
      </c>
      <c r="L1406" s="1">
        <v>26528792</v>
      </c>
      <c r="M1406" s="1">
        <v>26528792</v>
      </c>
      <c r="N1406" s="1">
        <v>108453049</v>
      </c>
      <c r="O1406" s="1">
        <v>108453049</v>
      </c>
      <c r="P1406" s="1">
        <v>28346000</v>
      </c>
      <c r="Q1406" s="1">
        <v>22083000</v>
      </c>
      <c r="R1406" s="1">
        <v>40.200000000000003</v>
      </c>
      <c r="T1406">
        <f>E1406/G1406</f>
        <v>7.1953876702512798E-2</v>
      </c>
      <c r="U1406">
        <f>D1406/C1406</f>
        <v>0.3196245824274882</v>
      </c>
      <c r="V1406">
        <f>(E1406-F1406)/O1406</f>
        <v>0.18922474000707901</v>
      </c>
      <c r="W1406" t="e">
        <f>H1406/K1406</f>
        <v>#DIV/0!</v>
      </c>
      <c r="X1406" t="e">
        <f>(H1406-I1406)/K1406</f>
        <v>#DIV/0!</v>
      </c>
      <c r="Y1406">
        <f>(H1406-K1406)/G1406</f>
        <v>0</v>
      </c>
      <c r="Z1406">
        <f>J1406/N1406</f>
        <v>1.6298060463011972</v>
      </c>
      <c r="AA1406">
        <f>J1406/G1406</f>
        <v>0.61974382049714549</v>
      </c>
      <c r="AB1406">
        <f>C1406/G1406</f>
        <v>0.33061547625296972</v>
      </c>
      <c r="AC1406">
        <f>C1406/(G1406-K1406)</f>
        <v>0.33061547625296972</v>
      </c>
      <c r="AD1406">
        <f>Q1406/E1406</f>
        <v>1.0760647110418089</v>
      </c>
      <c r="AE1406">
        <f>Q1406/J1406</f>
        <v>0.1249339242787722</v>
      </c>
      <c r="AF1406">
        <f>Q1406/G1406</f>
        <v>7.742702754222737E-2</v>
      </c>
      <c r="AG1406" t="e">
        <f>Q1406/K1406</f>
        <v>#DIV/0!</v>
      </c>
      <c r="AH1406">
        <f>Q1406/L1406</f>
        <v>0.83241634221414984</v>
      </c>
      <c r="AI1406" s="1">
        <f>R1406</f>
        <v>40.200000000000003</v>
      </c>
      <c r="AJ1406" s="1">
        <f>P1406</f>
        <v>28346000</v>
      </c>
    </row>
    <row r="1407" spans="1:36" x14ac:dyDescent="0.25">
      <c r="A1407" t="s">
        <v>216</v>
      </c>
      <c r="B1407">
        <v>2023</v>
      </c>
      <c r="C1407" s="1">
        <v>116855000</v>
      </c>
      <c r="D1407" s="1">
        <v>30678000</v>
      </c>
      <c r="E1407" s="1">
        <v>17809000</v>
      </c>
      <c r="F1407" s="1">
        <v>0</v>
      </c>
      <c r="G1407" s="1">
        <v>309646170</v>
      </c>
      <c r="H1407" s="1">
        <v>0</v>
      </c>
      <c r="I1407" s="1">
        <v>0</v>
      </c>
      <c r="J1407" s="1">
        <v>190264021</v>
      </c>
      <c r="K1407" s="1">
        <v>0</v>
      </c>
      <c r="L1407" s="1">
        <v>24216840</v>
      </c>
      <c r="M1407" s="1">
        <v>24216840</v>
      </c>
      <c r="N1407" s="1">
        <v>119382149</v>
      </c>
      <c r="O1407" s="1">
        <v>119382149</v>
      </c>
      <c r="P1407" s="1">
        <v>33720000</v>
      </c>
      <c r="Q1407" s="1">
        <v>-11141000</v>
      </c>
      <c r="R1407" s="1">
        <v>36.6</v>
      </c>
      <c r="T1407">
        <f>E1407/G1407</f>
        <v>5.751403287177749E-2</v>
      </c>
      <c r="U1407">
        <f>D1407/C1407</f>
        <v>0.2625304865003637</v>
      </c>
      <c r="V1407">
        <f>(E1407-F1407)/O1407</f>
        <v>0.14917640659995154</v>
      </c>
      <c r="W1407" t="e">
        <f>H1407/K1407</f>
        <v>#DIV/0!</v>
      </c>
      <c r="X1407" t="e">
        <f>(H1407-I1407)/K1407</f>
        <v>#DIV/0!</v>
      </c>
      <c r="Y1407">
        <f>(H1407-K1407)/G1407</f>
        <v>0</v>
      </c>
      <c r="Z1407">
        <f>J1407/N1407</f>
        <v>1.5937392867672369</v>
      </c>
      <c r="AA1407">
        <f>J1407/G1407</f>
        <v>0.61445623887419631</v>
      </c>
      <c r="AB1407">
        <f>C1407/G1407</f>
        <v>0.37738235225063499</v>
      </c>
      <c r="AC1407">
        <f>C1407/(G1407-K1407)</f>
        <v>0.37738235225063499</v>
      </c>
      <c r="AD1407">
        <f>Q1407/E1407</f>
        <v>-0.6255825706103656</v>
      </c>
      <c r="AE1407">
        <f>Q1407/J1407</f>
        <v>-5.8555474342676696E-2</v>
      </c>
      <c r="AF1407">
        <f>Q1407/G1407</f>
        <v>-3.5979776530095625E-2</v>
      </c>
      <c r="AG1407" t="e">
        <f>Q1407/K1407</f>
        <v>#DIV/0!</v>
      </c>
      <c r="AH1407">
        <f>Q1407/L1407</f>
        <v>-0.46005176563085853</v>
      </c>
      <c r="AI1407" s="1">
        <f>R1407</f>
        <v>36.6</v>
      </c>
      <c r="AJ1407" s="1">
        <f>P1407</f>
        <v>33720000</v>
      </c>
    </row>
    <row r="1408" spans="1:36" x14ac:dyDescent="0.25">
      <c r="A1408" t="s">
        <v>216</v>
      </c>
      <c r="B1408">
        <v>2024</v>
      </c>
      <c r="C1408" s="1">
        <v>122330000</v>
      </c>
      <c r="D1408" s="1">
        <v>32507000</v>
      </c>
      <c r="E1408" s="1">
        <v>17444000</v>
      </c>
      <c r="F1408" s="1">
        <v>0</v>
      </c>
      <c r="G1408" s="1">
        <v>346593212</v>
      </c>
      <c r="H1408" s="1">
        <v>0</v>
      </c>
      <c r="I1408" s="1">
        <v>0</v>
      </c>
      <c r="J1408" s="1">
        <v>207358527</v>
      </c>
      <c r="K1408" s="1">
        <v>0</v>
      </c>
      <c r="L1408" s="1">
        <v>30815073</v>
      </c>
      <c r="M1408" s="1">
        <v>30815073</v>
      </c>
      <c r="N1408" s="1">
        <v>139234685</v>
      </c>
      <c r="O1408" s="1">
        <v>139234685</v>
      </c>
      <c r="P1408" s="1">
        <v>41915000</v>
      </c>
      <c r="Q1408" s="1">
        <v>8316000</v>
      </c>
      <c r="R1408" s="1">
        <v>50.5</v>
      </c>
      <c r="T1408">
        <f>E1408/G1408</f>
        <v>5.0329895093271473E-2</v>
      </c>
      <c r="U1408">
        <f>D1408/C1408</f>
        <v>0.26573203629526693</v>
      </c>
      <c r="V1408">
        <f>(E1408-F1408)/O1408</f>
        <v>0.12528487423948997</v>
      </c>
      <c r="W1408" t="e">
        <f>H1408/K1408</f>
        <v>#DIV/0!</v>
      </c>
      <c r="X1408" t="e">
        <f>(H1408-I1408)/K1408</f>
        <v>#DIV/0!</v>
      </c>
      <c r="Y1408">
        <f>(H1408-K1408)/G1408</f>
        <v>0</v>
      </c>
      <c r="Z1408">
        <f>J1408/N1408</f>
        <v>1.4892735025040635</v>
      </c>
      <c r="AA1408">
        <f>J1408/G1408</f>
        <v>0.59827636497393377</v>
      </c>
      <c r="AB1408">
        <f>C1408/G1408</f>
        <v>0.35294978598715315</v>
      </c>
      <c r="AC1408">
        <f>C1408/(G1408-K1408)</f>
        <v>0.35294978598715315</v>
      </c>
      <c r="AD1408">
        <f>Q1408/E1408</f>
        <v>0.4767255216693419</v>
      </c>
      <c r="AE1408">
        <f>Q1408/J1408</f>
        <v>4.0104451552165972E-2</v>
      </c>
      <c r="AF1408">
        <f>Q1408/G1408</f>
        <v>2.3993545493903094E-2</v>
      </c>
      <c r="AG1408" t="e">
        <f>Q1408/K1408</f>
        <v>#DIV/0!</v>
      </c>
      <c r="AH1408">
        <f>Q1408/L1408</f>
        <v>0.26986793119068708</v>
      </c>
      <c r="AI1408" s="1">
        <f>R1408</f>
        <v>50.5</v>
      </c>
      <c r="AJ1408" s="1">
        <f>P1408</f>
        <v>41915000</v>
      </c>
    </row>
    <row r="1409" spans="1:36" x14ac:dyDescent="0.25">
      <c r="A1409" t="s">
        <v>217</v>
      </c>
      <c r="B1409">
        <v>2018</v>
      </c>
      <c r="C1409" s="1">
        <v>1117602</v>
      </c>
      <c r="D1409" s="1">
        <v>849085</v>
      </c>
      <c r="E1409" s="1">
        <v>763383</v>
      </c>
      <c r="F1409" s="1">
        <v>0</v>
      </c>
      <c r="G1409" s="1">
        <v>2805637</v>
      </c>
      <c r="H1409" s="1">
        <v>401848</v>
      </c>
      <c r="I1409" s="1">
        <v>0</v>
      </c>
      <c r="J1409" s="1">
        <v>361165</v>
      </c>
      <c r="K1409" s="1">
        <v>221891</v>
      </c>
      <c r="L1409" s="1">
        <v>157403</v>
      </c>
      <c r="M1409" s="1">
        <v>0</v>
      </c>
      <c r="N1409" s="1">
        <v>2444472</v>
      </c>
      <c r="O1409" s="1">
        <v>2444472</v>
      </c>
      <c r="P1409" s="1">
        <v>1070765</v>
      </c>
      <c r="Q1409" s="1">
        <v>860871</v>
      </c>
      <c r="R1409" s="1">
        <v>7.3</v>
      </c>
      <c r="T1409">
        <f>E1409/G1409</f>
        <v>0.27208901222788268</v>
      </c>
      <c r="U1409">
        <f>D1409/C1409</f>
        <v>0.75973826102673403</v>
      </c>
      <c r="V1409">
        <f>(E1409-F1409)/O1409</f>
        <v>0.31228952509989888</v>
      </c>
      <c r="W1409">
        <f>H1409/K1409</f>
        <v>1.8110153183319737</v>
      </c>
      <c r="X1409">
        <f>(H1409-I1409)/K1409</f>
        <v>1.8110153183319737</v>
      </c>
      <c r="Y1409">
        <f>(H1409-K1409)/G1409</f>
        <v>6.4141227108139798E-2</v>
      </c>
      <c r="Z1409">
        <f>J1409/N1409</f>
        <v>0.14774765266282452</v>
      </c>
      <c r="AA1409">
        <f>J1409/G1409</f>
        <v>0.12872834226238106</v>
      </c>
      <c r="AB1409">
        <f>C1409/G1409</f>
        <v>0.39834162437977544</v>
      </c>
      <c r="AC1409">
        <f>C1409/(G1409-K1409)</f>
        <v>0.43255103249313204</v>
      </c>
      <c r="AD1409">
        <f>Q1409/E1409</f>
        <v>1.1277052279131183</v>
      </c>
      <c r="AE1409">
        <f>Q1409/J1409</f>
        <v>2.3835947558595101</v>
      </c>
      <c r="AF1409">
        <f>Q1409/G1409</f>
        <v>0.30683620154709962</v>
      </c>
      <c r="AG1409">
        <f>Q1409/K1409</f>
        <v>3.879702196123322</v>
      </c>
      <c r="AH1409">
        <f>Q1409/L1409</f>
        <v>5.469215961576336</v>
      </c>
      <c r="AI1409" s="1">
        <f>R1409</f>
        <v>7.3</v>
      </c>
      <c r="AJ1409" s="1">
        <f>P1409</f>
        <v>1070765</v>
      </c>
    </row>
    <row r="1410" spans="1:36" x14ac:dyDescent="0.25">
      <c r="A1410" t="s">
        <v>217</v>
      </c>
      <c r="B1410">
        <v>2019</v>
      </c>
      <c r="C1410" s="1">
        <v>1286725</v>
      </c>
      <c r="D1410" s="1">
        <v>1085341</v>
      </c>
      <c r="E1410" s="1">
        <v>889999</v>
      </c>
      <c r="F1410" s="1">
        <v>0</v>
      </c>
      <c r="G1410" s="1">
        <v>3072204</v>
      </c>
      <c r="H1410" s="1">
        <v>769888</v>
      </c>
      <c r="I1410" s="1">
        <v>0</v>
      </c>
      <c r="J1410" s="1">
        <v>285267</v>
      </c>
      <c r="K1410" s="1">
        <v>147781</v>
      </c>
      <c r="L1410" s="1">
        <v>0</v>
      </c>
      <c r="M1410" s="1">
        <v>0</v>
      </c>
      <c r="N1410" s="1">
        <v>2786937</v>
      </c>
      <c r="O1410" s="1">
        <v>2786937</v>
      </c>
      <c r="P1410" s="1">
        <v>1386694</v>
      </c>
      <c r="Q1410" s="1">
        <v>874066</v>
      </c>
      <c r="R1410" s="1">
        <v>5.9</v>
      </c>
      <c r="T1410">
        <f>E1410/G1410</f>
        <v>0.28969397865506324</v>
      </c>
      <c r="U1410">
        <f>D1410/C1410</f>
        <v>0.84349103343760323</v>
      </c>
      <c r="V1410">
        <f>(E1410-F1410)/O1410</f>
        <v>0.31934665189776446</v>
      </c>
      <c r="W1410">
        <f>H1410/K1410</f>
        <v>5.209654827075199</v>
      </c>
      <c r="X1410">
        <f>(H1410-I1410)/K1410</f>
        <v>5.209654827075199</v>
      </c>
      <c r="Y1410">
        <f>(H1410-K1410)/G1410</f>
        <v>0.20249534210618825</v>
      </c>
      <c r="Z1410">
        <f>J1410/N1410</f>
        <v>0.10235861090509042</v>
      </c>
      <c r="AA1410">
        <f>J1410/G1410</f>
        <v>9.2854185464246508E-2</v>
      </c>
      <c r="AB1410">
        <f>C1410/G1410</f>
        <v>0.41882798147518852</v>
      </c>
      <c r="AC1410">
        <f>C1410/(G1410-K1410)</f>
        <v>0.43999277806254428</v>
      </c>
      <c r="AD1410">
        <f>Q1410/E1410</f>
        <v>0.98209773269408163</v>
      </c>
      <c r="AE1410">
        <f>Q1410/J1410</f>
        <v>3.0640277354197996</v>
      </c>
      <c r="AF1410">
        <f>Q1410/G1410</f>
        <v>0.28450779961226536</v>
      </c>
      <c r="AG1410">
        <f>Q1410/K1410</f>
        <v>5.9146033657912724</v>
      </c>
      <c r="AH1410" t="e">
        <f>Q1410/L1410</f>
        <v>#DIV/0!</v>
      </c>
      <c r="AI1410" s="1">
        <f>R1410</f>
        <v>5.9</v>
      </c>
      <c r="AJ1410" s="1">
        <f>P1410</f>
        <v>1386694</v>
      </c>
    </row>
    <row r="1411" spans="1:36" x14ac:dyDescent="0.25">
      <c r="A1411" t="s">
        <v>217</v>
      </c>
      <c r="B1411">
        <v>2020</v>
      </c>
      <c r="C1411" s="1">
        <v>1058308</v>
      </c>
      <c r="D1411" s="1">
        <v>861456</v>
      </c>
      <c r="E1411" s="1">
        <v>707577</v>
      </c>
      <c r="F1411" s="1">
        <v>0</v>
      </c>
      <c r="G1411" s="1">
        <v>3552826</v>
      </c>
      <c r="H1411" s="1">
        <v>1282648</v>
      </c>
      <c r="I1411" s="1">
        <v>0</v>
      </c>
      <c r="J1411" s="1">
        <v>300968</v>
      </c>
      <c r="K1411" s="1">
        <v>105349</v>
      </c>
      <c r="L1411" s="1">
        <v>42732</v>
      </c>
      <c r="M1411" s="1">
        <v>41865</v>
      </c>
      <c r="N1411" s="1">
        <v>3251858</v>
      </c>
      <c r="O1411" s="1">
        <v>3251858</v>
      </c>
      <c r="P1411" s="1">
        <v>1809412</v>
      </c>
      <c r="Q1411" s="1">
        <v>555393</v>
      </c>
      <c r="R1411" s="1">
        <v>5.4</v>
      </c>
      <c r="T1411">
        <f>E1411/G1411</f>
        <v>0.19915892306575103</v>
      </c>
      <c r="U1411">
        <f>D1411/C1411</f>
        <v>0.81399365780094268</v>
      </c>
      <c r="V1411">
        <f>(E1411-F1411)/O1411</f>
        <v>0.21759160455345836</v>
      </c>
      <c r="W1411">
        <f>H1411/K1411</f>
        <v>12.175227102298075</v>
      </c>
      <c r="X1411">
        <f>(H1411-I1411)/K1411</f>
        <v>12.175227102298075</v>
      </c>
      <c r="Y1411">
        <f>(H1411-K1411)/G1411</f>
        <v>0.33136973215125087</v>
      </c>
      <c r="Z1411">
        <f>J1411/N1411</f>
        <v>9.2552626836719193E-2</v>
      </c>
      <c r="AA1411">
        <f>J1411/G1411</f>
        <v>8.4712282560418101E-2</v>
      </c>
      <c r="AB1411">
        <f>C1411/G1411</f>
        <v>0.29787780206517289</v>
      </c>
      <c r="AC1411">
        <f>C1411/(G1411-K1411)</f>
        <v>0.3069804381581081</v>
      </c>
      <c r="AD1411">
        <f>Q1411/E1411</f>
        <v>0.78492234767382207</v>
      </c>
      <c r="AE1411">
        <f>Q1411/J1411</f>
        <v>1.8453556524281651</v>
      </c>
      <c r="AF1411">
        <f>Q1411/G1411</f>
        <v>0.15632428945295943</v>
      </c>
      <c r="AG1411">
        <f>Q1411/K1411</f>
        <v>5.2719342376292131</v>
      </c>
      <c r="AH1411">
        <f>Q1411/L1411</f>
        <v>12.997121595057568</v>
      </c>
      <c r="AI1411" s="1">
        <f>R1411</f>
        <v>5.4</v>
      </c>
      <c r="AJ1411" s="1">
        <f>P1411</f>
        <v>1809412</v>
      </c>
    </row>
    <row r="1412" spans="1:36" x14ac:dyDescent="0.25">
      <c r="A1412" t="s">
        <v>217</v>
      </c>
      <c r="B1412">
        <v>2021</v>
      </c>
      <c r="C1412" s="1">
        <v>1076977</v>
      </c>
      <c r="D1412" s="1">
        <v>842816</v>
      </c>
      <c r="E1412" s="1">
        <v>621996</v>
      </c>
      <c r="F1412" s="1">
        <v>0</v>
      </c>
      <c r="G1412" s="1">
        <v>3062856</v>
      </c>
      <c r="H1412" s="1">
        <v>874349</v>
      </c>
      <c r="I1412" s="1">
        <v>0</v>
      </c>
      <c r="J1412" s="1">
        <v>350399</v>
      </c>
      <c r="K1412" s="1">
        <v>131344</v>
      </c>
      <c r="L1412" s="1">
        <v>51278</v>
      </c>
      <c r="M1412" s="1">
        <v>46368</v>
      </c>
      <c r="N1412" s="1">
        <v>2712457</v>
      </c>
      <c r="O1412" s="1">
        <v>2712457</v>
      </c>
      <c r="P1412" s="1">
        <v>1313302</v>
      </c>
      <c r="Q1412" s="1">
        <v>811391</v>
      </c>
      <c r="R1412" s="1">
        <v>7.4</v>
      </c>
      <c r="T1412">
        <f>E1412/G1412</f>
        <v>0.20307712801385375</v>
      </c>
      <c r="U1412">
        <f>D1412/C1412</f>
        <v>0.78257567246097182</v>
      </c>
      <c r="V1412">
        <f>(E1412-F1412)/O1412</f>
        <v>0.22931091626521638</v>
      </c>
      <c r="W1412">
        <f>H1412/K1412</f>
        <v>6.6569390303325617</v>
      </c>
      <c r="X1412">
        <f>(H1412-I1412)/K1412</f>
        <v>6.6569390303325617</v>
      </c>
      <c r="Y1412">
        <f>(H1412-K1412)/G1412</f>
        <v>0.24258567820361127</v>
      </c>
      <c r="Z1412">
        <f>J1412/N1412</f>
        <v>0.12918140269136064</v>
      </c>
      <c r="AA1412">
        <f>J1412/G1412</f>
        <v>0.11440270126966465</v>
      </c>
      <c r="AB1412">
        <f>C1412/G1412</f>
        <v>0.35162508456159874</v>
      </c>
      <c r="AC1412">
        <f>C1412/(G1412-K1412)</f>
        <v>0.36737935918392967</v>
      </c>
      <c r="AD1412">
        <f>Q1412/E1412</f>
        <v>1.3044955273024263</v>
      </c>
      <c r="AE1412">
        <f>Q1412/J1412</f>
        <v>2.3156201929800027</v>
      </c>
      <c r="AF1412">
        <f>Q1412/G1412</f>
        <v>0.26491320519149447</v>
      </c>
      <c r="AG1412">
        <f>Q1412/K1412</f>
        <v>6.1776023267145819</v>
      </c>
      <c r="AH1412">
        <f>Q1412/L1412</f>
        <v>15.82337454658918</v>
      </c>
      <c r="AI1412" s="1">
        <f>R1412</f>
        <v>7.4</v>
      </c>
      <c r="AJ1412" s="1">
        <f>P1412</f>
        <v>1313302</v>
      </c>
    </row>
    <row r="1413" spans="1:36" x14ac:dyDescent="0.25">
      <c r="A1413" t="s">
        <v>217</v>
      </c>
      <c r="B1413">
        <v>2022</v>
      </c>
      <c r="C1413" s="1">
        <v>1322265</v>
      </c>
      <c r="D1413" s="1">
        <v>1070384</v>
      </c>
      <c r="E1413" s="1">
        <v>854792</v>
      </c>
      <c r="F1413" s="1">
        <v>0</v>
      </c>
      <c r="G1413" s="1">
        <v>3049937</v>
      </c>
      <c r="H1413" s="1">
        <v>956987</v>
      </c>
      <c r="I1413" s="1">
        <v>9192</v>
      </c>
      <c r="J1413" s="1">
        <v>337918</v>
      </c>
      <c r="K1413" s="1">
        <v>137635</v>
      </c>
      <c r="L1413" s="1">
        <v>46368</v>
      </c>
      <c r="M1413" s="1">
        <v>41125</v>
      </c>
      <c r="N1413" s="1">
        <v>2712019</v>
      </c>
      <c r="O1413" s="1">
        <v>2712019</v>
      </c>
      <c r="P1413" s="1">
        <v>1301977</v>
      </c>
      <c r="Q1413" s="1">
        <v>727765</v>
      </c>
      <c r="R1413" s="1">
        <v>7.2</v>
      </c>
      <c r="T1413">
        <f>E1413/G1413</f>
        <v>0.28026546122100227</v>
      </c>
      <c r="U1413">
        <f>D1413/C1413</f>
        <v>0.8095079276846926</v>
      </c>
      <c r="V1413">
        <f>(E1413-F1413)/O1413</f>
        <v>0.31518658239488734</v>
      </c>
      <c r="W1413">
        <f>H1413/K1413</f>
        <v>6.9530787953645508</v>
      </c>
      <c r="X1413">
        <f>(H1413-I1413)/K1413</f>
        <v>6.8862934573328003</v>
      </c>
      <c r="Y1413">
        <f>(H1413-K1413)/G1413</f>
        <v>0.26864554907199722</v>
      </c>
      <c r="Z1413">
        <f>J1413/N1413</f>
        <v>0.12460015951215681</v>
      </c>
      <c r="AA1413">
        <f>J1413/G1413</f>
        <v>0.11079507543926317</v>
      </c>
      <c r="AB1413">
        <f>C1413/G1413</f>
        <v>0.43353846325350326</v>
      </c>
      <c r="AC1413">
        <f>C1413/(G1413-K1413)</f>
        <v>0.45402743259455924</v>
      </c>
      <c r="AD1413">
        <f>Q1413/E1413</f>
        <v>0.85139425731639973</v>
      </c>
      <c r="AE1413">
        <f>Q1413/J1413</f>
        <v>2.1536733763812523</v>
      </c>
      <c r="AF1413">
        <f>Q1413/G1413</f>
        <v>0.23861640420769348</v>
      </c>
      <c r="AG1413">
        <f>Q1413/K1413</f>
        <v>5.2876448577760016</v>
      </c>
      <c r="AH1413">
        <f>Q1413/L1413</f>
        <v>15.695414941338854</v>
      </c>
      <c r="AI1413" s="1">
        <f>R1413</f>
        <v>7.2</v>
      </c>
      <c r="AJ1413" s="1">
        <f>P1413</f>
        <v>1301977</v>
      </c>
    </row>
    <row r="1414" spans="1:36" x14ac:dyDescent="0.25">
      <c r="A1414" t="s">
        <v>217</v>
      </c>
      <c r="B1414">
        <v>2023</v>
      </c>
      <c r="C1414" s="1">
        <v>1122569</v>
      </c>
      <c r="D1414" s="1">
        <v>832713</v>
      </c>
      <c r="E1414" s="1">
        <v>655117</v>
      </c>
      <c r="F1414" s="1">
        <v>0</v>
      </c>
      <c r="G1414" s="1">
        <v>3751070</v>
      </c>
      <c r="H1414" s="1">
        <v>1753253</v>
      </c>
      <c r="I1414" s="1">
        <v>15901</v>
      </c>
      <c r="J1414" s="1">
        <v>402197</v>
      </c>
      <c r="K1414" s="1">
        <v>99403</v>
      </c>
      <c r="L1414" s="1">
        <v>41297</v>
      </c>
      <c r="M1414" s="1">
        <v>38951</v>
      </c>
      <c r="N1414" s="1">
        <v>3348873</v>
      </c>
      <c r="O1414" s="1">
        <v>3348873</v>
      </c>
      <c r="P1414" s="1">
        <v>1866791</v>
      </c>
      <c r="Q1414" s="1">
        <v>348870</v>
      </c>
      <c r="R1414" s="1">
        <v>6.7</v>
      </c>
      <c r="T1414">
        <f>E1414/G1414</f>
        <v>0.17464803376103352</v>
      </c>
      <c r="U1414">
        <f>D1414/C1414</f>
        <v>0.74179226399446274</v>
      </c>
      <c r="V1414">
        <f>(E1414-F1414)/O1414</f>
        <v>0.19562312455563408</v>
      </c>
      <c r="W1414">
        <f>H1414/K1414</f>
        <v>17.637827832157985</v>
      </c>
      <c r="X1414">
        <f>(H1414-I1414)/K1414</f>
        <v>17.477862841161734</v>
      </c>
      <c r="Y1414">
        <f>(H1414-K1414)/G1414</f>
        <v>0.44090086295377051</v>
      </c>
      <c r="Z1414">
        <f>J1414/N1414</f>
        <v>0.12009920949525407</v>
      </c>
      <c r="AA1414">
        <f>J1414/G1414</f>
        <v>0.10722193933997499</v>
      </c>
      <c r="AB1414">
        <f>C1414/G1414</f>
        <v>0.29926634267022478</v>
      </c>
      <c r="AC1414">
        <f>C1414/(G1414-K1414)</f>
        <v>0.3074127514913052</v>
      </c>
      <c r="AD1414">
        <f>Q1414/E1414</f>
        <v>0.53253083037075821</v>
      </c>
      <c r="AE1414">
        <f>Q1414/J1414</f>
        <v>0.86741074647498617</v>
      </c>
      <c r="AF1414">
        <f>Q1414/G1414</f>
        <v>9.3005462441383385E-2</v>
      </c>
      <c r="AG1414">
        <f>Q1414/K1414</f>
        <v>3.5096526261782843</v>
      </c>
      <c r="AH1414">
        <f>Q1414/L1414</f>
        <v>8.447829140131244</v>
      </c>
      <c r="AI1414" s="1">
        <f>R1414</f>
        <v>6.7</v>
      </c>
      <c r="AJ1414" s="1">
        <f>P1414</f>
        <v>1866791</v>
      </c>
    </row>
    <row r="1415" spans="1:36" x14ac:dyDescent="0.25">
      <c r="A1415" t="s">
        <v>217</v>
      </c>
      <c r="B1415">
        <v>2024</v>
      </c>
      <c r="C1415" s="1">
        <v>1475249</v>
      </c>
      <c r="D1415" s="1">
        <v>1143218</v>
      </c>
      <c r="E1415" s="1">
        <v>781750</v>
      </c>
      <c r="F1415" s="1">
        <v>0</v>
      </c>
      <c r="G1415" s="1">
        <v>2912824</v>
      </c>
      <c r="H1415" s="1">
        <v>1004034</v>
      </c>
      <c r="I1415" s="1">
        <v>16998</v>
      </c>
      <c r="J1415" s="1">
        <v>708141</v>
      </c>
      <c r="K1415" s="1">
        <v>396029</v>
      </c>
      <c r="L1415" s="1">
        <v>42826</v>
      </c>
      <c r="M1415" s="1">
        <v>40328</v>
      </c>
      <c r="N1415" s="1">
        <v>2204683</v>
      </c>
      <c r="O1415" s="1">
        <v>2204683</v>
      </c>
      <c r="P1415" s="1">
        <v>846060</v>
      </c>
      <c r="Q1415" s="1">
        <v>2291919</v>
      </c>
      <c r="R1415" s="1">
        <v>7.4</v>
      </c>
      <c r="T1415">
        <f>E1415/G1415</f>
        <v>0.26838216109177898</v>
      </c>
      <c r="U1415">
        <f>D1415/C1415</f>
        <v>0.77493223177917758</v>
      </c>
      <c r="V1415">
        <f>(E1415-F1415)/O1415</f>
        <v>0.35458612417295365</v>
      </c>
      <c r="W1415">
        <f>H1415/K1415</f>
        <v>2.535253731418659</v>
      </c>
      <c r="X1415">
        <f>(H1415-I1415)/K1415</f>
        <v>2.4923326322062271</v>
      </c>
      <c r="Y1415">
        <f>(H1415-K1415)/G1415</f>
        <v>0.20873386102284244</v>
      </c>
      <c r="Z1415">
        <f>J1415/N1415</f>
        <v>0.32119855779719808</v>
      </c>
      <c r="AA1415">
        <f>J1415/G1415</f>
        <v>0.243111495922857</v>
      </c>
      <c r="AB1415">
        <f>C1415/G1415</f>
        <v>0.50646692007481398</v>
      </c>
      <c r="AC1415">
        <f>C1415/(G1415-K1415)</f>
        <v>0.58616176526097674</v>
      </c>
      <c r="AD1415">
        <f>Q1415/E1415</f>
        <v>2.93177998081228</v>
      </c>
      <c r="AE1415">
        <f>Q1415/J1415</f>
        <v>3.2365291658017261</v>
      </c>
      <c r="AF1415">
        <f>Q1415/G1415</f>
        <v>0.786837447096014</v>
      </c>
      <c r="AG1415">
        <f>Q1415/K1415</f>
        <v>5.7872504286302267</v>
      </c>
      <c r="AH1415">
        <f>Q1415/L1415</f>
        <v>53.516999019287347</v>
      </c>
      <c r="AI1415" s="1">
        <f>R1415</f>
        <v>7.4</v>
      </c>
      <c r="AJ1415" s="1">
        <f>P1415</f>
        <v>846060</v>
      </c>
    </row>
    <row r="1416" spans="1:36" x14ac:dyDescent="0.25">
      <c r="A1416" s="15" t="s">
        <v>89</v>
      </c>
      <c r="B1416" s="15">
        <v>2018</v>
      </c>
      <c r="C1416" s="6">
        <v>42383</v>
      </c>
      <c r="D1416" s="6">
        <v>-22347</v>
      </c>
      <c r="E1416" s="6">
        <v>-22646</v>
      </c>
      <c r="F1416" s="6"/>
      <c r="G1416" s="6">
        <v>694016</v>
      </c>
      <c r="H1416" s="6">
        <v>395902</v>
      </c>
      <c r="I1416" s="6">
        <v>0</v>
      </c>
      <c r="J1416" s="6">
        <v>2893</v>
      </c>
      <c r="K1416" s="6">
        <v>2893</v>
      </c>
      <c r="L1416" s="6">
        <v>0</v>
      </c>
      <c r="M1416" s="6">
        <v>0</v>
      </c>
      <c r="N1416" s="6">
        <v>691123</v>
      </c>
      <c r="O1416" s="6">
        <v>691123</v>
      </c>
      <c r="P1416" s="6">
        <v>177467</v>
      </c>
      <c r="Q1416" s="6">
        <v>10163</v>
      </c>
      <c r="R1416" s="6">
        <v>27.9</v>
      </c>
      <c r="S1416" s="15"/>
      <c r="T1416" s="15">
        <f>E1416/G1416</f>
        <v>-3.2630371634083367E-2</v>
      </c>
      <c r="U1416" s="15">
        <f>D1416/C1416</f>
        <v>-0.52726328952646107</v>
      </c>
      <c r="V1416" s="15">
        <f>(E1416-F1416)/O1416</f>
        <v>-3.2766960439748062E-2</v>
      </c>
      <c r="W1416" s="15">
        <f>H1416/K1416</f>
        <v>136.84825440718976</v>
      </c>
      <c r="X1416" s="15">
        <f>(H1416-I1416)/K1416</f>
        <v>136.84825440718976</v>
      </c>
      <c r="Y1416" s="15">
        <f>(H1416-K1416)/G1416</f>
        <v>0.5662823335485061</v>
      </c>
      <c r="Z1416" s="15">
        <f>J1416/N1416</f>
        <v>4.1859408527859729E-3</v>
      </c>
      <c r="AA1416" s="15">
        <f>J1416/G1416</f>
        <v>4.1684917926964223E-3</v>
      </c>
      <c r="AB1416" s="15">
        <f>C1416/G1416</f>
        <v>6.1069197251936554E-2</v>
      </c>
      <c r="AC1416" s="15">
        <f>C1416/(G1416-K1416)</f>
        <v>6.1324829299560284E-2</v>
      </c>
      <c r="AD1416" s="15">
        <f>Q1416/E1416</f>
        <v>-0.448776825929524</v>
      </c>
      <c r="AE1416" s="15">
        <f>Q1416/J1416</f>
        <v>3.5129623228482543</v>
      </c>
      <c r="AF1416" s="15">
        <f>Q1416/G1416</f>
        <v>1.4643754610844707E-2</v>
      </c>
      <c r="AG1416" s="15">
        <f>Q1416/K1416</f>
        <v>3.5129623228482543</v>
      </c>
      <c r="AH1416" s="15" t="e">
        <f>Q1416/L1416</f>
        <v>#DIV/0!</v>
      </c>
      <c r="AI1416" s="6">
        <f>R1416</f>
        <v>27.9</v>
      </c>
      <c r="AJ1416" s="6">
        <f>P1416</f>
        <v>177467</v>
      </c>
    </row>
    <row r="1417" spans="1:36" x14ac:dyDescent="0.25">
      <c r="A1417" t="s">
        <v>89</v>
      </c>
      <c r="B1417">
        <v>2019</v>
      </c>
      <c r="C1417" s="1">
        <v>45988</v>
      </c>
      <c r="D1417" s="1">
        <v>25597</v>
      </c>
      <c r="E1417" s="1">
        <v>14369</v>
      </c>
      <c r="F1417" s="1">
        <v>0</v>
      </c>
      <c r="G1417" s="1">
        <v>705989</v>
      </c>
      <c r="H1417" s="1">
        <v>705989</v>
      </c>
      <c r="I1417" s="1">
        <v>0</v>
      </c>
      <c r="J1417" s="1">
        <v>10831</v>
      </c>
      <c r="K1417" s="1">
        <v>10831</v>
      </c>
      <c r="L1417" s="1">
        <v>0</v>
      </c>
      <c r="M1417" s="1">
        <v>0</v>
      </c>
      <c r="N1417" s="1">
        <v>695158</v>
      </c>
      <c r="O1417" s="1">
        <v>695158</v>
      </c>
      <c r="P1417" s="1">
        <v>181502</v>
      </c>
      <c r="Q1417" s="1">
        <v>170899</v>
      </c>
      <c r="R1417" s="1">
        <v>20.3</v>
      </c>
      <c r="T1417">
        <f>E1417/G1417</f>
        <v>2.0353008332991022E-2</v>
      </c>
      <c r="U1417">
        <f>D1417/C1417</f>
        <v>0.55660172218839699</v>
      </c>
      <c r="V1417">
        <f>(E1417-F1417)/O1417</f>
        <v>2.0670121037231825E-2</v>
      </c>
      <c r="W1417">
        <f>H1417/K1417</f>
        <v>65.182254639460808</v>
      </c>
      <c r="X1417">
        <f>(H1417-I1417)/K1417</f>
        <v>65.182254639460808</v>
      </c>
      <c r="Y1417">
        <f>(H1417-K1417)/G1417</f>
        <v>0.98465840119321968</v>
      </c>
      <c r="Z1417">
        <f>J1417/N1417</f>
        <v>1.5580630590455695E-2</v>
      </c>
      <c r="AA1417">
        <f>J1417/G1417</f>
        <v>1.5341598806780276E-2</v>
      </c>
      <c r="AB1417">
        <f>C1417/G1417</f>
        <v>6.5139825124754067E-2</v>
      </c>
      <c r="AC1417">
        <f>C1417/(G1417-K1417)</f>
        <v>6.6154744676749741E-2</v>
      </c>
      <c r="AD1417">
        <f>Q1417/E1417</f>
        <v>11.893590368153664</v>
      </c>
      <c r="AE1417">
        <f>Q1417/J1417</f>
        <v>15.778690794940449</v>
      </c>
      <c r="AF1417">
        <f>Q1417/G1417</f>
        <v>0.24207034387221329</v>
      </c>
      <c r="AG1417">
        <f>Q1417/K1417</f>
        <v>15.778690794940449</v>
      </c>
      <c r="AH1417" t="e">
        <f>Q1417/L1417</f>
        <v>#DIV/0!</v>
      </c>
      <c r="AI1417" s="1">
        <f>R1417</f>
        <v>20.3</v>
      </c>
      <c r="AJ1417" s="1">
        <f>P1417</f>
        <v>181502</v>
      </c>
    </row>
    <row r="1418" spans="1:36" x14ac:dyDescent="0.25">
      <c r="A1418" t="s">
        <v>89</v>
      </c>
      <c r="B1418">
        <v>2020</v>
      </c>
      <c r="C1418" s="1">
        <v>58259</v>
      </c>
      <c r="D1418" s="1">
        <v>7238</v>
      </c>
      <c r="E1418" s="1">
        <v>-2816</v>
      </c>
      <c r="F1418" s="1">
        <v>0</v>
      </c>
      <c r="G1418" s="1">
        <v>698039</v>
      </c>
      <c r="H1418" s="1">
        <v>698039</v>
      </c>
      <c r="I1418" s="1">
        <v>0</v>
      </c>
      <c r="J1418" s="1">
        <v>5697</v>
      </c>
      <c r="K1418" s="1">
        <v>5697</v>
      </c>
      <c r="L1418" s="1">
        <v>0</v>
      </c>
      <c r="M1418" s="1">
        <v>0</v>
      </c>
      <c r="N1418" s="1">
        <v>692342</v>
      </c>
      <c r="O1418" s="1">
        <v>692342</v>
      </c>
      <c r="P1418" s="1">
        <v>178686</v>
      </c>
      <c r="Q1418" s="1">
        <v>82866</v>
      </c>
      <c r="R1418" s="1">
        <v>18.7</v>
      </c>
      <c r="T1418">
        <f>E1418/G1418</f>
        <v>-4.0341585498804506E-3</v>
      </c>
      <c r="U1418">
        <f>D1418/C1418</f>
        <v>0.12423831511011174</v>
      </c>
      <c r="V1418">
        <f>(E1418-F1418)/O1418</f>
        <v>-4.0673539955686641E-3</v>
      </c>
      <c r="W1418">
        <f>H1418/K1418</f>
        <v>122.52747059856064</v>
      </c>
      <c r="X1418">
        <f>(H1418-I1418)/K1418</f>
        <v>122.52747059856064</v>
      </c>
      <c r="Y1418">
        <f>(H1418-K1418)/G1418</f>
        <v>0.99183856489393862</v>
      </c>
      <c r="Z1418">
        <f>J1418/N1418</f>
        <v>8.228592227540724E-3</v>
      </c>
      <c r="AA1418">
        <f>J1418/G1418</f>
        <v>8.1614351060614095E-3</v>
      </c>
      <c r="AB1418">
        <f>C1418/G1418</f>
        <v>8.3460952754788778E-2</v>
      </c>
      <c r="AC1418">
        <f>C1418/(G1418-K1418)</f>
        <v>8.4147718901929972E-2</v>
      </c>
      <c r="AD1418">
        <f>Q1418/E1418</f>
        <v>-29.42684659090909</v>
      </c>
      <c r="AE1418">
        <f>Q1418/J1418</f>
        <v>14.545550289626119</v>
      </c>
      <c r="AF1418">
        <f>Q1418/G1418</f>
        <v>0.1187125647707363</v>
      </c>
      <c r="AG1418">
        <f>Q1418/K1418</f>
        <v>14.545550289626119</v>
      </c>
      <c r="AH1418" t="e">
        <f>Q1418/L1418</f>
        <v>#DIV/0!</v>
      </c>
      <c r="AI1418" s="1">
        <f>R1418</f>
        <v>18.7</v>
      </c>
      <c r="AJ1418" s="1">
        <f>P1418</f>
        <v>178686</v>
      </c>
    </row>
    <row r="1419" spans="1:36" x14ac:dyDescent="0.25">
      <c r="A1419" t="s">
        <v>89</v>
      </c>
      <c r="B1419">
        <v>2021</v>
      </c>
      <c r="C1419" s="1">
        <v>75764.361000000004</v>
      </c>
      <c r="D1419" s="1">
        <v>71451.811000000002</v>
      </c>
      <c r="E1419" s="1">
        <v>91667.612999999998</v>
      </c>
      <c r="F1419" s="1">
        <v>0</v>
      </c>
      <c r="G1419" s="1">
        <v>787937.027</v>
      </c>
      <c r="H1419" s="1">
        <v>787937.027</v>
      </c>
      <c r="I1419" s="1">
        <v>0</v>
      </c>
      <c r="J1419" s="1">
        <v>1928.8219999999999</v>
      </c>
      <c r="K1419" s="1">
        <v>1928.8219999999999</v>
      </c>
      <c r="L1419" s="1">
        <v>0</v>
      </c>
      <c r="M1419" s="1">
        <v>0</v>
      </c>
      <c r="N1419" s="1">
        <v>784825.36399999994</v>
      </c>
      <c r="O1419" s="1">
        <v>784825.36399999994</v>
      </c>
      <c r="P1419" s="1">
        <v>271169.614</v>
      </c>
      <c r="Q1419" s="1">
        <v>504815.81099999999</v>
      </c>
      <c r="R1419" s="1">
        <v>28.5</v>
      </c>
      <c r="T1419">
        <f>E1419/G1419</f>
        <v>0.11633875533050689</v>
      </c>
      <c r="U1419">
        <f>D1419/C1419</f>
        <v>0.94307943810151051</v>
      </c>
      <c r="V1419">
        <f>(E1419-F1419)/O1419</f>
        <v>0.11680001335940514</v>
      </c>
      <c r="W1419">
        <f>H1419/K1419</f>
        <v>408.50686429333552</v>
      </c>
      <c r="X1419">
        <f>(H1419-I1419)/K1419</f>
        <v>408.50686429333552</v>
      </c>
      <c r="Y1419">
        <f>(H1419-K1419)/G1419</f>
        <v>0.99755206071817204</v>
      </c>
      <c r="Z1419">
        <f>J1419/N1419</f>
        <v>2.4576448321820548E-3</v>
      </c>
      <c r="AA1419">
        <f>J1419/G1419</f>
        <v>2.4479392818279118E-3</v>
      </c>
      <c r="AB1419">
        <f>C1419/G1419</f>
        <v>9.615535049604923E-2</v>
      </c>
      <c r="AC1419">
        <f>C1419/(G1419-K1419)</f>
        <v>9.6391310571624381E-2</v>
      </c>
      <c r="AD1419">
        <f>Q1419/E1419</f>
        <v>5.507024722024779</v>
      </c>
      <c r="AE1419">
        <f>Q1419/J1419</f>
        <v>261.72234192683413</v>
      </c>
      <c r="AF1419">
        <f>Q1419/G1419</f>
        <v>0.64068040173469343</v>
      </c>
      <c r="AG1419">
        <f>Q1419/K1419</f>
        <v>261.72234192683413</v>
      </c>
      <c r="AH1419" t="e">
        <f>Q1419/L1419</f>
        <v>#DIV/0!</v>
      </c>
      <c r="AI1419" s="1">
        <f>R1419</f>
        <v>28.5</v>
      </c>
      <c r="AJ1419" s="1">
        <f>P1419</f>
        <v>271169.614</v>
      </c>
    </row>
    <row r="1420" spans="1:36" x14ac:dyDescent="0.25">
      <c r="A1420" t="s">
        <v>89</v>
      </c>
      <c r="B1420">
        <v>2022</v>
      </c>
      <c r="C1420" s="1">
        <v>2885.6179999999999</v>
      </c>
      <c r="D1420" s="1">
        <v>-101886.05499999999</v>
      </c>
      <c r="E1420" s="1">
        <v>-84377.179000000004</v>
      </c>
      <c r="F1420" s="1">
        <v>0</v>
      </c>
      <c r="G1420" s="1">
        <v>702377.00699999998</v>
      </c>
      <c r="H1420" s="1">
        <v>365155.66100000002</v>
      </c>
      <c r="I1420" s="1">
        <v>0</v>
      </c>
      <c r="J1420" s="1">
        <v>1928.8219999999999</v>
      </c>
      <c r="K1420" s="1">
        <v>1928.8219999999999</v>
      </c>
      <c r="L1420" s="1">
        <v>0</v>
      </c>
      <c r="M1420" s="1">
        <v>0</v>
      </c>
      <c r="N1420" s="1">
        <v>700448.18500000006</v>
      </c>
      <c r="O1420" s="1">
        <v>700448.18500000006</v>
      </c>
      <c r="P1420" s="1">
        <v>186792.435</v>
      </c>
      <c r="Q1420" s="1">
        <v>-278862.24300000002</v>
      </c>
      <c r="R1420" s="1">
        <v>24.5</v>
      </c>
      <c r="T1420">
        <f>E1420/G1420</f>
        <v>-0.12013089574271898</v>
      </c>
      <c r="U1420">
        <f>D1420/C1420</f>
        <v>-35.308226868559871</v>
      </c>
      <c r="V1420">
        <f>(E1420-F1420)/O1420</f>
        <v>-0.12046169981866681</v>
      </c>
      <c r="W1420">
        <f>H1420/K1420</f>
        <v>189.31537539493019</v>
      </c>
      <c r="X1420">
        <f>(H1420-I1420)/K1420</f>
        <v>189.31537539493019</v>
      </c>
      <c r="Y1420">
        <f>(H1420-K1420)/G1420</f>
        <v>0.51713942139338853</v>
      </c>
      <c r="Z1420">
        <f>J1420/N1420</f>
        <v>2.7536969062172669E-3</v>
      </c>
      <c r="AA1420">
        <f>J1420/G1420</f>
        <v>2.7461348830856588E-3</v>
      </c>
      <c r="AB1420">
        <f>C1420/G1420</f>
        <v>4.1083605688134375E-3</v>
      </c>
      <c r="AC1420">
        <f>C1420/(G1420-K1420)</f>
        <v>4.1196737486014047E-3</v>
      </c>
      <c r="AD1420">
        <f>Q1420/E1420</f>
        <v>3.3049486402004504</v>
      </c>
      <c r="AE1420">
        <f>Q1420/J1420</f>
        <v>-144.57645288160339</v>
      </c>
      <c r="AF1420">
        <f>Q1420/G1420</f>
        <v>-0.3970264405309612</v>
      </c>
      <c r="AG1420">
        <f>Q1420/K1420</f>
        <v>-144.57645288160339</v>
      </c>
      <c r="AH1420" t="e">
        <f>Q1420/L1420</f>
        <v>#DIV/0!</v>
      </c>
      <c r="AI1420" s="1">
        <f>R1420</f>
        <v>24.5</v>
      </c>
      <c r="AJ1420" s="1">
        <f>P1420</f>
        <v>186792.435</v>
      </c>
    </row>
    <row r="1421" spans="1:36" x14ac:dyDescent="0.25">
      <c r="A1421" t="s">
        <v>89</v>
      </c>
      <c r="B1421">
        <v>2023</v>
      </c>
      <c r="C1421" s="1">
        <v>34269.667000000001</v>
      </c>
      <c r="D1421" s="1">
        <v>85897.433000000005</v>
      </c>
      <c r="E1421" s="1">
        <v>147302.75899999999</v>
      </c>
      <c r="F1421" s="1">
        <v>0</v>
      </c>
      <c r="G1421" s="1">
        <v>991933.46499999997</v>
      </c>
      <c r="H1421" s="1">
        <v>425186.08100000001</v>
      </c>
      <c r="I1421" s="1">
        <v>0</v>
      </c>
      <c r="J1421" s="1">
        <v>144182.52100000001</v>
      </c>
      <c r="K1421" s="1">
        <v>144182.52100000001</v>
      </c>
      <c r="L1421" s="1">
        <v>0</v>
      </c>
      <c r="M1421" s="1">
        <v>0</v>
      </c>
      <c r="N1421" s="1">
        <v>847750.94400000002</v>
      </c>
      <c r="O1421" s="1">
        <v>847750.94400000002</v>
      </c>
      <c r="P1421" s="1">
        <v>334095.19400000002</v>
      </c>
      <c r="Q1421" s="1">
        <v>-187397.59299999999</v>
      </c>
      <c r="R1421" s="1">
        <v>17.100000000000001</v>
      </c>
      <c r="T1421">
        <f>E1421/G1421</f>
        <v>0.14850064464757221</v>
      </c>
      <c r="U1421">
        <f>D1421/C1421</f>
        <v>2.5065149597164162</v>
      </c>
      <c r="V1421">
        <f>(E1421-F1421)/O1421</f>
        <v>0.17375711586350057</v>
      </c>
      <c r="W1421">
        <f>H1421/K1421</f>
        <v>2.9489433119289123</v>
      </c>
      <c r="X1421">
        <f>(H1421-I1421)/K1421</f>
        <v>2.9489433119289123</v>
      </c>
      <c r="Y1421">
        <f>(H1421-K1421)/G1421</f>
        <v>0.28328871836177039</v>
      </c>
      <c r="Z1421">
        <f>J1421/N1421</f>
        <v>0.17007650893279336</v>
      </c>
      <c r="AA1421">
        <f>J1421/G1421</f>
        <v>0.14535503245673842</v>
      </c>
      <c r="AB1421">
        <f>C1421/G1421</f>
        <v>3.454835249458995E-2</v>
      </c>
      <c r="AC1421">
        <f>C1421/(G1421-K1421)</f>
        <v>4.0424215676249375E-2</v>
      </c>
      <c r="AD1421">
        <f>Q1421/E1421</f>
        <v>-1.2721933674032542</v>
      </c>
      <c r="AE1421">
        <f>Q1421/J1421</f>
        <v>-1.2997247634475748</v>
      </c>
      <c r="AF1421">
        <f>Q1421/G1421</f>
        <v>-0.18892153517574892</v>
      </c>
      <c r="AG1421">
        <f>Q1421/K1421</f>
        <v>-1.2997247634475748</v>
      </c>
      <c r="AH1421" t="e">
        <f>Q1421/L1421</f>
        <v>#DIV/0!</v>
      </c>
      <c r="AI1421" s="1">
        <f>R1421</f>
        <v>17.100000000000001</v>
      </c>
      <c r="AJ1421" s="1">
        <f>P1421</f>
        <v>334095.19400000002</v>
      </c>
    </row>
    <row r="1422" spans="1:36" x14ac:dyDescent="0.25">
      <c r="A1422" t="s">
        <v>89</v>
      </c>
      <c r="B1422">
        <v>2024</v>
      </c>
      <c r="C1422" s="1">
        <v>32031.268</v>
      </c>
      <c r="D1422" s="1">
        <v>425832.84100000001</v>
      </c>
      <c r="E1422" s="1">
        <v>430705.59100000001</v>
      </c>
      <c r="F1422" s="1">
        <v>0</v>
      </c>
      <c r="G1422" s="1">
        <v>1303763.8959999999</v>
      </c>
      <c r="H1422" s="1">
        <v>35330.18</v>
      </c>
      <c r="I1422" s="1">
        <v>0</v>
      </c>
      <c r="J1422" s="1">
        <v>28479.422999999999</v>
      </c>
      <c r="K1422" s="1">
        <v>28479.422999999999</v>
      </c>
      <c r="L1422" s="1">
        <v>0</v>
      </c>
      <c r="M1422" s="1">
        <v>0</v>
      </c>
      <c r="N1422" s="1">
        <v>1275284.473</v>
      </c>
      <c r="O1422" s="1">
        <v>1275284.473</v>
      </c>
      <c r="P1422" s="1">
        <v>732508.52500000002</v>
      </c>
      <c r="Q1422" s="1">
        <v>-16970.362000000001</v>
      </c>
      <c r="R1422" s="1">
        <v>28.5</v>
      </c>
      <c r="T1422">
        <f>E1422/G1422</f>
        <v>0.33035551323473683</v>
      </c>
      <c r="U1422">
        <f>D1422/C1422</f>
        <v>13.294286101942641</v>
      </c>
      <c r="V1422">
        <f>(E1422-F1422)/O1422</f>
        <v>0.33773295301463302</v>
      </c>
      <c r="W1422">
        <f>H1422/K1422</f>
        <v>1.2405511165026062</v>
      </c>
      <c r="X1422">
        <f>(H1422-I1422)/K1422</f>
        <v>1.2405511165026062</v>
      </c>
      <c r="Y1422">
        <f>(H1422-K1422)/G1422</f>
        <v>5.2545994109964231E-3</v>
      </c>
      <c r="Z1422">
        <f>J1422/N1422</f>
        <v>2.2331819764890997E-2</v>
      </c>
      <c r="AA1422">
        <f>J1422/G1422</f>
        <v>2.1844003417624935E-2</v>
      </c>
      <c r="AB1422">
        <f>C1422/G1422</f>
        <v>2.4568304198538723E-2</v>
      </c>
      <c r="AC1422">
        <f>C1422/(G1422-K1422)</f>
        <v>2.5116959139829503E-2</v>
      </c>
      <c r="AD1422">
        <f>Q1422/E1422</f>
        <v>-3.9401304172993659E-2</v>
      </c>
      <c r="AE1422">
        <f>Q1422/J1422</f>
        <v>-0.59588152470645217</v>
      </c>
      <c r="AF1422">
        <f>Q1422/G1422</f>
        <v>-1.3016438062187297E-2</v>
      </c>
      <c r="AG1422">
        <f>Q1422/K1422</f>
        <v>-0.59588152470645217</v>
      </c>
      <c r="AH1422" t="e">
        <f>Q1422/L1422</f>
        <v>#DIV/0!</v>
      </c>
      <c r="AI1422" s="1">
        <f>R1422</f>
        <v>28.5</v>
      </c>
      <c r="AJ1422" s="1">
        <f>P1422</f>
        <v>732508.52500000002</v>
      </c>
    </row>
    <row r="1423" spans="1:36" x14ac:dyDescent="0.25">
      <c r="A1423" t="s">
        <v>220</v>
      </c>
      <c r="B1423">
        <v>2018</v>
      </c>
      <c r="C1423" s="1">
        <v>4948755</v>
      </c>
      <c r="D1423" s="1">
        <v>1149671</v>
      </c>
      <c r="E1423" s="1">
        <v>938668</v>
      </c>
      <c r="G1423" s="1">
        <v>6411400</v>
      </c>
      <c r="H1423" s="1">
        <v>902753</v>
      </c>
      <c r="I1423" s="1">
        <v>291830</v>
      </c>
      <c r="J1423" s="1">
        <v>2776644</v>
      </c>
      <c r="K1423" s="1">
        <v>552654</v>
      </c>
      <c r="L1423" s="1">
        <v>1339420</v>
      </c>
      <c r="M1423" s="1">
        <v>1305797</v>
      </c>
      <c r="N1423" s="1">
        <v>3634756</v>
      </c>
      <c r="O1423" s="1">
        <v>3634756</v>
      </c>
      <c r="P1423" s="1">
        <v>2911785</v>
      </c>
      <c r="Q1423" s="1">
        <v>1271659</v>
      </c>
      <c r="R1423" s="1">
        <v>28.9</v>
      </c>
      <c r="T1423">
        <f>E1423/G1423</f>
        <v>0.14640608915369499</v>
      </c>
      <c r="U1423">
        <f>D1423/C1423</f>
        <v>0.23231519846910992</v>
      </c>
      <c r="V1423">
        <f>(E1423-F1423)/O1423</f>
        <v>0.25824787138393884</v>
      </c>
      <c r="W1423">
        <f>H1423/K1423</f>
        <v>1.6334867747270445</v>
      </c>
      <c r="X1423">
        <f>(H1423-I1423)/K1423</f>
        <v>1.10543486521404</v>
      </c>
      <c r="Y1423">
        <f>(H1423-K1423)/G1423</f>
        <v>5.460570234270206E-2</v>
      </c>
      <c r="Z1423">
        <f>J1423/N1423</f>
        <v>0.76391482674490396</v>
      </c>
      <c r="AA1423">
        <f>J1423/G1423</f>
        <v>0.43307920267024363</v>
      </c>
      <c r="AB1423">
        <f>C1423/G1423</f>
        <v>0.77186807873475372</v>
      </c>
      <c r="AC1423">
        <f>C1423/(G1423-K1423)</f>
        <v>0.84467819564118329</v>
      </c>
      <c r="AD1423">
        <f>Q1423/E1423</f>
        <v>1.3547484307550699</v>
      </c>
      <c r="AE1423">
        <f>Q1423/J1423</f>
        <v>0.45798417081916154</v>
      </c>
      <c r="AF1423">
        <f>Q1423/G1423</f>
        <v>0.19834341953395515</v>
      </c>
      <c r="AG1423">
        <f>Q1423/K1423</f>
        <v>2.3010038830805533</v>
      </c>
      <c r="AH1423">
        <f>Q1423/L1423</f>
        <v>0.94941019247136815</v>
      </c>
      <c r="AI1423" s="1">
        <f>R1423</f>
        <v>28.9</v>
      </c>
      <c r="AJ1423" s="1">
        <f>P1423</f>
        <v>2911785</v>
      </c>
    </row>
    <row r="1424" spans="1:36" x14ac:dyDescent="0.25">
      <c r="A1424" t="s">
        <v>220</v>
      </c>
      <c r="B1424">
        <v>2019</v>
      </c>
      <c r="C1424" s="1">
        <v>3081760</v>
      </c>
      <c r="D1424" s="1">
        <v>1036464</v>
      </c>
      <c r="E1424" s="1">
        <v>763011</v>
      </c>
      <c r="G1424" s="1">
        <v>6702411</v>
      </c>
      <c r="H1424" s="1">
        <v>713477</v>
      </c>
      <c r="I1424" s="1">
        <v>143089</v>
      </c>
      <c r="J1424" s="1">
        <v>2779900</v>
      </c>
      <c r="K1424" s="1">
        <v>730361</v>
      </c>
      <c r="L1424" s="1">
        <v>1255807</v>
      </c>
      <c r="M1424" s="1">
        <v>1111324</v>
      </c>
      <c r="N1424" s="1">
        <v>3922511</v>
      </c>
      <c r="O1424" s="1">
        <v>3922511</v>
      </c>
      <c r="P1424" s="1">
        <v>3275437</v>
      </c>
      <c r="Q1424" s="1">
        <v>1199004</v>
      </c>
      <c r="R1424" s="1">
        <v>18.5</v>
      </c>
      <c r="T1424">
        <f>E1424/G1424</f>
        <v>0.1138412729389469</v>
      </c>
      <c r="U1424">
        <f>D1424/C1424</f>
        <v>0.33632210165619647</v>
      </c>
      <c r="V1424">
        <f>(E1424-F1424)/O1424</f>
        <v>0.19452106061652855</v>
      </c>
      <c r="W1424">
        <f>H1424/K1424</f>
        <v>0.97688266487394593</v>
      </c>
      <c r="X1424">
        <f>(H1424-I1424)/K1424</f>
        <v>0.78096722031981447</v>
      </c>
      <c r="Y1424">
        <f>(H1424-K1424)/G1424</f>
        <v>-2.5190935023232685E-3</v>
      </c>
      <c r="Z1424">
        <f>J1424/N1424</f>
        <v>0.70870419483845937</v>
      </c>
      <c r="AA1424">
        <f>J1424/G1424</f>
        <v>0.41476119563542135</v>
      </c>
      <c r="AB1424">
        <f>C1424/G1424</f>
        <v>0.45979872019188317</v>
      </c>
      <c r="AC1424">
        <f>C1424/(G1424-K1424)</f>
        <v>0.51603050878676504</v>
      </c>
      <c r="AD1424">
        <f>Q1424/E1424</f>
        <v>1.5714111592100244</v>
      </c>
      <c r="AE1424">
        <f>Q1424/J1424</f>
        <v>0.43131191769488109</v>
      </c>
      <c r="AF1424">
        <f>Q1424/G1424</f>
        <v>0.17889144667493534</v>
      </c>
      <c r="AG1424">
        <f>Q1424/K1424</f>
        <v>1.6416593985713914</v>
      </c>
      <c r="AH1424">
        <f>Q1424/L1424</f>
        <v>0.95476773102873291</v>
      </c>
      <c r="AI1424" s="1">
        <f>R1424</f>
        <v>18.5</v>
      </c>
      <c r="AJ1424" s="1">
        <f>P1424</f>
        <v>3275437</v>
      </c>
    </row>
    <row r="1425" spans="1:36" x14ac:dyDescent="0.25">
      <c r="A1425" t="s">
        <v>220</v>
      </c>
      <c r="B1425">
        <v>2020</v>
      </c>
      <c r="C1425" s="1">
        <v>3326800</v>
      </c>
      <c r="D1425" s="1">
        <v>1166085</v>
      </c>
      <c r="E1425" s="1">
        <v>816500</v>
      </c>
      <c r="G1425" s="1">
        <v>6987543</v>
      </c>
      <c r="H1425" s="1">
        <v>756099</v>
      </c>
      <c r="I1425" s="1">
        <v>151314</v>
      </c>
      <c r="J1425" s="1">
        <v>2389401</v>
      </c>
      <c r="K1425" s="1">
        <v>773531</v>
      </c>
      <c r="L1425" s="1">
        <v>763735</v>
      </c>
      <c r="M1425" s="1">
        <v>572748</v>
      </c>
      <c r="N1425" s="1">
        <v>4598142</v>
      </c>
      <c r="O1425" s="1">
        <v>4598142</v>
      </c>
      <c r="P1425" s="1">
        <v>4086294</v>
      </c>
      <c r="Q1425" s="1">
        <v>3785511</v>
      </c>
      <c r="R1425" s="1">
        <v>20</v>
      </c>
      <c r="T1425">
        <f>E1425/G1425</f>
        <v>0.11685080149059549</v>
      </c>
      <c r="U1425">
        <f>D1425/C1425</f>
        <v>0.35051250450883731</v>
      </c>
      <c r="V1425">
        <f>(E1425-F1425)/O1425</f>
        <v>0.17757172353528883</v>
      </c>
      <c r="W1425">
        <f>H1425/K1425</f>
        <v>0.97746438087161347</v>
      </c>
      <c r="X1425">
        <f>(H1425-I1425)/K1425</f>
        <v>0.78184972547965115</v>
      </c>
      <c r="Y1425">
        <f>(H1425-K1425)/G1425</f>
        <v>-2.4947252560735583E-3</v>
      </c>
      <c r="Z1425">
        <f>J1425/N1425</f>
        <v>0.51964489134959291</v>
      </c>
      <c r="AA1425">
        <f>J1425/G1425</f>
        <v>0.34195152716770399</v>
      </c>
      <c r="AB1425">
        <f>C1425/G1425</f>
        <v>0.47610440465267978</v>
      </c>
      <c r="AC1425">
        <f>C1425/(G1425-K1425)</f>
        <v>0.53537070736265069</v>
      </c>
      <c r="AD1425">
        <f>Q1425/E1425</f>
        <v>4.636265768524189</v>
      </c>
      <c r="AE1425">
        <f>Q1425/J1425</f>
        <v>1.5842928834465206</v>
      </c>
      <c r="AF1425">
        <f>Q1425/G1425</f>
        <v>0.541751370975463</v>
      </c>
      <c r="AG1425">
        <f>Q1425/K1425</f>
        <v>4.8938064537814254</v>
      </c>
      <c r="AH1425">
        <f>Q1425/L1425</f>
        <v>4.9565765612417918</v>
      </c>
      <c r="AI1425" s="1">
        <f>R1425</f>
        <v>20</v>
      </c>
      <c r="AJ1425" s="1">
        <f>P1425</f>
        <v>4086294</v>
      </c>
    </row>
    <row r="1426" spans="1:36" x14ac:dyDescent="0.25">
      <c r="A1426" t="s">
        <v>220</v>
      </c>
      <c r="B1426">
        <v>2021</v>
      </c>
      <c r="C1426" s="1">
        <v>3933523</v>
      </c>
      <c r="D1426" s="1">
        <v>1818094</v>
      </c>
      <c r="E1426" s="1">
        <v>1662836</v>
      </c>
      <c r="G1426" s="1">
        <v>7097377</v>
      </c>
      <c r="H1426" s="1">
        <v>1087437</v>
      </c>
      <c r="I1426" s="1">
        <v>111270</v>
      </c>
      <c r="J1426" s="1">
        <v>2034968</v>
      </c>
      <c r="K1426" s="1">
        <v>619164</v>
      </c>
      <c r="L1426" s="1">
        <v>597680</v>
      </c>
      <c r="M1426" s="1">
        <v>372561</v>
      </c>
      <c r="N1426" s="1">
        <v>5062409</v>
      </c>
      <c r="O1426" s="1">
        <v>5062409</v>
      </c>
      <c r="P1426" s="1">
        <v>4550561</v>
      </c>
      <c r="Q1426" s="1">
        <v>2730429</v>
      </c>
      <c r="R1426" s="1">
        <v>57.1</v>
      </c>
      <c r="T1426">
        <f>E1426/G1426</f>
        <v>0.2342888083865349</v>
      </c>
      <c r="U1426">
        <f>D1426/C1426</f>
        <v>0.4622050004537917</v>
      </c>
      <c r="V1426">
        <f>(E1426-F1426)/O1426</f>
        <v>0.32846733640051606</v>
      </c>
      <c r="W1426">
        <f>H1426/K1426</f>
        <v>1.7562988158226254</v>
      </c>
      <c r="X1426">
        <f>(H1426-I1426)/K1426</f>
        <v>1.5765887551601838</v>
      </c>
      <c r="Y1426">
        <f>(H1426-K1426)/G1426</f>
        <v>6.5978318468921687E-2</v>
      </c>
      <c r="Z1426">
        <f>J1426/N1426</f>
        <v>0.40197621330082178</v>
      </c>
      <c r="AA1426">
        <f>J1426/G1426</f>
        <v>0.28672113655509635</v>
      </c>
      <c r="AB1426">
        <f>C1426/G1426</f>
        <v>0.55422207387320699</v>
      </c>
      <c r="AC1426">
        <f>C1426/(G1426-K1426)</f>
        <v>0.6071926007990166</v>
      </c>
      <c r="AD1426">
        <f>Q1426/E1426</f>
        <v>1.6420314450733566</v>
      </c>
      <c r="AE1426">
        <f>Q1426/J1426</f>
        <v>1.3417552511882251</v>
      </c>
      <c r="AF1426">
        <f>Q1426/G1426</f>
        <v>0.3847095905994567</v>
      </c>
      <c r="AG1426">
        <f>Q1426/K1426</f>
        <v>4.4098639455782314</v>
      </c>
      <c r="AH1426">
        <f>Q1426/L1426</f>
        <v>4.5683794003480127</v>
      </c>
      <c r="AI1426" s="1">
        <f>R1426</f>
        <v>57.1</v>
      </c>
      <c r="AJ1426" s="1">
        <f>P1426</f>
        <v>4550561</v>
      </c>
    </row>
    <row r="1427" spans="1:36" x14ac:dyDescent="0.25">
      <c r="A1427" t="s">
        <v>220</v>
      </c>
      <c r="B1427">
        <v>2022</v>
      </c>
      <c r="C1427" s="1">
        <v>6474661</v>
      </c>
      <c r="D1427" s="1">
        <v>3346775</v>
      </c>
      <c r="E1427" s="1">
        <v>3457799</v>
      </c>
      <c r="G1427" s="1">
        <v>8891695</v>
      </c>
      <c r="H1427" s="1">
        <v>2536803</v>
      </c>
      <c r="I1427" s="1">
        <v>245923</v>
      </c>
      <c r="J1427" s="1">
        <v>1792024</v>
      </c>
      <c r="K1427" s="1">
        <v>739460</v>
      </c>
      <c r="L1427" s="1">
        <v>372575</v>
      </c>
      <c r="M1427" s="1">
        <v>227505</v>
      </c>
      <c r="N1427" s="1">
        <v>7099671</v>
      </c>
      <c r="O1427" s="1">
        <v>7099671</v>
      </c>
      <c r="P1427" s="1">
        <v>6345936</v>
      </c>
      <c r="Q1427" s="1">
        <v>3810629</v>
      </c>
      <c r="R1427" s="1">
        <v>93.3</v>
      </c>
      <c r="T1427">
        <f>E1427/G1427</f>
        <v>0.38887962306399398</v>
      </c>
      <c r="U1427">
        <f>D1427/C1427</f>
        <v>0.51690351046950567</v>
      </c>
      <c r="V1427">
        <f>(E1427-F1427)/O1427</f>
        <v>0.487036511973583</v>
      </c>
      <c r="W1427">
        <f>H1427/K1427</f>
        <v>3.430615584345333</v>
      </c>
      <c r="X1427">
        <f>(H1427-I1427)/K1427</f>
        <v>3.098044518973305</v>
      </c>
      <c r="Y1427">
        <f>(H1427-K1427)/G1427</f>
        <v>0.20213727528890724</v>
      </c>
      <c r="Z1427">
        <f>J1427/N1427</f>
        <v>0.25240944263473619</v>
      </c>
      <c r="AA1427">
        <f>J1427/G1427</f>
        <v>0.20153907663274551</v>
      </c>
      <c r="AB1427">
        <f>C1427/G1427</f>
        <v>0.72816948849460084</v>
      </c>
      <c r="AC1427">
        <f>C1427/(G1427-K1427)</f>
        <v>0.79421913131797595</v>
      </c>
      <c r="AD1427">
        <f>Q1427/E1427</f>
        <v>1.1020388981545775</v>
      </c>
      <c r="AE1427">
        <f>Q1427/J1427</f>
        <v>2.126438596804507</v>
      </c>
      <c r="AF1427">
        <f>Q1427/G1427</f>
        <v>0.42856047131621139</v>
      </c>
      <c r="AG1427">
        <f>Q1427/K1427</f>
        <v>5.1532591350444923</v>
      </c>
      <c r="AH1427">
        <f>Q1427/L1427</f>
        <v>10.227817218009797</v>
      </c>
      <c r="AI1427" s="1">
        <f>R1427</f>
        <v>93.3</v>
      </c>
      <c r="AJ1427" s="1">
        <f>P1427</f>
        <v>6345936</v>
      </c>
    </row>
    <row r="1428" spans="1:36" x14ac:dyDescent="0.25">
      <c r="A1428" t="s">
        <v>220</v>
      </c>
      <c r="B1428">
        <v>2023</v>
      </c>
      <c r="C1428" s="1">
        <v>8768041</v>
      </c>
      <c r="D1428" s="1">
        <v>2930745</v>
      </c>
      <c r="E1428" s="1">
        <v>2331790</v>
      </c>
      <c r="G1428" s="1">
        <v>8834449</v>
      </c>
      <c r="H1428" s="1">
        <v>2502927</v>
      </c>
      <c r="I1428" s="1">
        <v>874627</v>
      </c>
      <c r="J1428" s="1">
        <v>2331460</v>
      </c>
      <c r="K1428" s="1">
        <v>875812</v>
      </c>
      <c r="L1428" s="1">
        <v>2508</v>
      </c>
      <c r="M1428" s="1">
        <v>1231</v>
      </c>
      <c r="N1428" s="1">
        <v>6502989</v>
      </c>
      <c r="O1428" s="1">
        <v>6502989</v>
      </c>
      <c r="P1428" s="1">
        <v>5768337</v>
      </c>
      <c r="Q1428" s="1">
        <v>2152623</v>
      </c>
      <c r="R1428" s="1">
        <v>74.5</v>
      </c>
      <c r="T1428">
        <f>E1428/G1428</f>
        <v>0.26394288993009074</v>
      </c>
      <c r="U1428">
        <f>D1428/C1428</f>
        <v>0.33425311309561623</v>
      </c>
      <c r="V1428">
        <f>(E1428-F1428)/O1428</f>
        <v>0.35857203510570296</v>
      </c>
      <c r="W1428">
        <f>H1428/K1428</f>
        <v>2.8578359282585759</v>
      </c>
      <c r="X1428">
        <f>(H1428-I1428)/K1428</f>
        <v>1.8591889583609267</v>
      </c>
      <c r="Y1428">
        <f>(H1428-K1428)/G1428</f>
        <v>0.18417843602923056</v>
      </c>
      <c r="Z1428">
        <f>J1428/N1428</f>
        <v>0.35852128921023857</v>
      </c>
      <c r="AA1428">
        <f>J1428/G1428</f>
        <v>0.26390553615737666</v>
      </c>
      <c r="AB1428">
        <f>C1428/G1428</f>
        <v>0.99248306261092234</v>
      </c>
      <c r="AC1428">
        <f>C1428/(G1428-K1428)</f>
        <v>1.1017013340349611</v>
      </c>
      <c r="AD1428">
        <f>Q1428/E1428</f>
        <v>0.92316332088224073</v>
      </c>
      <c r="AE1428">
        <f>Q1428/J1428</f>
        <v>0.92329398745850244</v>
      </c>
      <c r="AF1428">
        <f>Q1428/G1428</f>
        <v>0.24366239479111826</v>
      </c>
      <c r="AG1428">
        <f>Q1428/K1428</f>
        <v>2.4578596776477144</v>
      </c>
      <c r="AH1428">
        <f>Q1428/L1428</f>
        <v>858.3026315789474</v>
      </c>
      <c r="AI1428" s="1">
        <f>R1428</f>
        <v>74.5</v>
      </c>
      <c r="AJ1428" s="1">
        <f>P1428</f>
        <v>5768337</v>
      </c>
    </row>
    <row r="1429" spans="1:36" x14ac:dyDescent="0.25">
      <c r="A1429" t="s">
        <v>220</v>
      </c>
      <c r="B1429">
        <v>2024</v>
      </c>
      <c r="C1429" s="1">
        <v>8320903</v>
      </c>
      <c r="D1429" s="1">
        <v>2660714</v>
      </c>
      <c r="E1429" s="1">
        <v>2344736</v>
      </c>
      <c r="G1429" s="1">
        <v>9431316</v>
      </c>
      <c r="H1429" s="1">
        <v>2757364</v>
      </c>
      <c r="I1429" s="1">
        <v>559813</v>
      </c>
      <c r="J1429" s="1">
        <v>3033995</v>
      </c>
      <c r="K1429" s="1">
        <v>1208073</v>
      </c>
      <c r="L1429" s="1">
        <v>128601</v>
      </c>
      <c r="M1429" s="1">
        <v>39090</v>
      </c>
      <c r="N1429" s="1">
        <v>6397321</v>
      </c>
      <c r="O1429" s="1">
        <v>6397321</v>
      </c>
      <c r="P1429" s="1">
        <v>5676862</v>
      </c>
      <c r="Q1429" s="1">
        <v>934269</v>
      </c>
      <c r="R1429" s="1">
        <v>88.7</v>
      </c>
      <c r="T1429">
        <f>E1429/G1429</f>
        <v>0.24861175259104881</v>
      </c>
      <c r="U1429">
        <f>D1429/C1429</f>
        <v>0.31976265076038024</v>
      </c>
      <c r="V1429">
        <f>(E1429-F1429)/O1429</f>
        <v>0.36651842232084336</v>
      </c>
      <c r="W1429">
        <f>H1429/K1429</f>
        <v>2.2824481633146343</v>
      </c>
      <c r="X1429">
        <f>(H1429-I1429)/K1429</f>
        <v>1.8190548087739731</v>
      </c>
      <c r="Y1429">
        <f>(H1429-K1429)/G1429</f>
        <v>0.16427092465144844</v>
      </c>
      <c r="Z1429">
        <f>J1429/N1429</f>
        <v>0.47426024112280751</v>
      </c>
      <c r="AA1429">
        <f>J1429/G1429</f>
        <v>0.32169370637141198</v>
      </c>
      <c r="AB1429">
        <f>C1429/G1429</f>
        <v>0.88226319635563055</v>
      </c>
      <c r="AC1429">
        <f>C1429/(G1429-K1429)</f>
        <v>1.0118760931666497</v>
      </c>
      <c r="AD1429">
        <f>Q1429/E1429</f>
        <v>0.39845381313717193</v>
      </c>
      <c r="AE1429">
        <f>Q1429/J1429</f>
        <v>0.3079335990995371</v>
      </c>
      <c r="AF1429">
        <f>Q1429/G1429</f>
        <v>9.9060300810618576E-2</v>
      </c>
      <c r="AG1429">
        <f>Q1429/K1429</f>
        <v>0.7733547558798185</v>
      </c>
      <c r="AH1429">
        <f>Q1429/L1429</f>
        <v>7.2648657475447314</v>
      </c>
      <c r="AI1429" s="1">
        <f>R1429</f>
        <v>88.7</v>
      </c>
      <c r="AJ1429" s="1">
        <f>P1429</f>
        <v>5676862</v>
      </c>
    </row>
    <row r="1430" spans="1:36" x14ac:dyDescent="0.25">
      <c r="A1430" t="s">
        <v>221</v>
      </c>
      <c r="B1430">
        <v>2018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T1430" t="e">
        <f>E1430/G1430</f>
        <v>#DIV/0!</v>
      </c>
      <c r="U1430" t="e">
        <f>D1430/C1430</f>
        <v>#DIV/0!</v>
      </c>
      <c r="V1430" t="e">
        <f>(E1430-F1430)/O1430</f>
        <v>#DIV/0!</v>
      </c>
      <c r="W1430" t="e">
        <f>H1430/K1430</f>
        <v>#DIV/0!</v>
      </c>
      <c r="X1430" t="e">
        <f>(H1430-I1430)/K1430</f>
        <v>#DIV/0!</v>
      </c>
      <c r="Y1430" t="e">
        <f>(H1430-K1430)/G1430</f>
        <v>#DIV/0!</v>
      </c>
      <c r="Z1430" t="e">
        <f>J1430/N1430</f>
        <v>#DIV/0!</v>
      </c>
      <c r="AA1430" t="e">
        <f>J1430/G1430</f>
        <v>#DIV/0!</v>
      </c>
      <c r="AB1430" t="e">
        <f>C1430/G1430</f>
        <v>#DIV/0!</v>
      </c>
      <c r="AC1430" t="e">
        <f>C1430/(G1430-K1430)</f>
        <v>#DIV/0!</v>
      </c>
      <c r="AD1430" t="e">
        <f>Q1430/E1430</f>
        <v>#DIV/0!</v>
      </c>
      <c r="AE1430" t="e">
        <f>Q1430/J1430</f>
        <v>#DIV/0!</v>
      </c>
      <c r="AF1430" t="e">
        <f>Q1430/G1430</f>
        <v>#DIV/0!</v>
      </c>
      <c r="AG1430" t="e">
        <f>Q1430/K1430</f>
        <v>#DIV/0!</v>
      </c>
      <c r="AH1430" t="e">
        <f>Q1430/L1430</f>
        <v>#DIV/0!</v>
      </c>
      <c r="AI1430" s="1">
        <f>R1430</f>
        <v>0</v>
      </c>
      <c r="AJ1430" s="1">
        <f>P1430</f>
        <v>0</v>
      </c>
    </row>
    <row r="1431" spans="1:36" x14ac:dyDescent="0.25">
      <c r="A1431" t="s">
        <v>221</v>
      </c>
      <c r="B1431">
        <v>2019</v>
      </c>
      <c r="C1431" s="1">
        <v>2825.5459999999998</v>
      </c>
      <c r="D1431" s="1">
        <v>1741.42</v>
      </c>
      <c r="E1431" s="1">
        <v>1106.9490000000001</v>
      </c>
      <c r="F1431" s="1">
        <v>0</v>
      </c>
      <c r="G1431" s="1">
        <v>0</v>
      </c>
      <c r="H1431" s="1">
        <v>2069.8440000000001</v>
      </c>
      <c r="I1431" s="1">
        <v>0</v>
      </c>
      <c r="J1431" s="1">
        <v>0</v>
      </c>
      <c r="K1431" s="1">
        <v>1107.172</v>
      </c>
      <c r="L1431" s="1">
        <v>0</v>
      </c>
      <c r="M1431" s="1">
        <v>0</v>
      </c>
      <c r="N1431" s="1">
        <v>0</v>
      </c>
      <c r="O1431" s="1">
        <v>0</v>
      </c>
      <c r="P1431" s="1">
        <v>726.49300000000005</v>
      </c>
      <c r="Q1431" s="1">
        <v>0</v>
      </c>
      <c r="R1431" s="1">
        <v>0</v>
      </c>
      <c r="T1431" t="e">
        <f>E1431/G1431</f>
        <v>#DIV/0!</v>
      </c>
      <c r="U1431">
        <f>D1431/C1431</f>
        <v>0.61631274097112565</v>
      </c>
      <c r="V1431" t="e">
        <f>(E1431-F1431)/O1431</f>
        <v>#DIV/0!</v>
      </c>
      <c r="W1431">
        <f>H1431/K1431</f>
        <v>1.8694873063986446</v>
      </c>
      <c r="X1431">
        <f>(H1431-I1431)/K1431</f>
        <v>1.8694873063986446</v>
      </c>
      <c r="Y1431" t="e">
        <f>(H1431-K1431)/G1431</f>
        <v>#DIV/0!</v>
      </c>
      <c r="Z1431" t="e">
        <f>J1431/N1431</f>
        <v>#DIV/0!</v>
      </c>
      <c r="AA1431" t="e">
        <f>J1431/G1431</f>
        <v>#DIV/0!</v>
      </c>
      <c r="AB1431" t="e">
        <f>C1431/G1431</f>
        <v>#DIV/0!</v>
      </c>
      <c r="AC1431">
        <f>C1431/(G1431-K1431)</f>
        <v>-2.5520388882666829</v>
      </c>
      <c r="AD1431">
        <f>Q1431/E1431</f>
        <v>0</v>
      </c>
      <c r="AE1431" t="e">
        <f>Q1431/J1431</f>
        <v>#DIV/0!</v>
      </c>
      <c r="AF1431" t="e">
        <f>Q1431/G1431</f>
        <v>#DIV/0!</v>
      </c>
      <c r="AG1431">
        <f>Q1431/K1431</f>
        <v>0</v>
      </c>
      <c r="AH1431" t="e">
        <f>Q1431/L1431</f>
        <v>#DIV/0!</v>
      </c>
      <c r="AI1431" s="1">
        <f>R1431</f>
        <v>0</v>
      </c>
      <c r="AJ1431" s="1">
        <f>P1431</f>
        <v>726.49300000000005</v>
      </c>
    </row>
    <row r="1432" spans="1:36" x14ac:dyDescent="0.25">
      <c r="A1432" t="s">
        <v>221</v>
      </c>
      <c r="B1432">
        <v>2020</v>
      </c>
      <c r="C1432" s="1">
        <v>3484.2040000000002</v>
      </c>
      <c r="D1432" s="1">
        <v>2045.681</v>
      </c>
      <c r="E1432" s="1">
        <v>1896.798</v>
      </c>
      <c r="F1432" s="1">
        <v>0</v>
      </c>
      <c r="G1432" s="1">
        <v>23773687.822000001</v>
      </c>
      <c r="H1432" s="1">
        <v>5713.2969999999996</v>
      </c>
      <c r="I1432" s="1">
        <v>0</v>
      </c>
      <c r="J1432" s="1">
        <v>1085480.7360060001</v>
      </c>
      <c r="K1432" s="1">
        <v>3129.0059999999999</v>
      </c>
      <c r="L1432" s="1">
        <v>249275.59463400001</v>
      </c>
      <c r="M1432" s="1">
        <v>1034334.634</v>
      </c>
      <c r="N1432" s="1">
        <v>22688207.085994001</v>
      </c>
      <c r="O1432" s="1">
        <v>22688207.085994001</v>
      </c>
      <c r="P1432" s="1">
        <v>1362.0039999999999</v>
      </c>
      <c r="Q1432" s="1">
        <v>146836.81599999999</v>
      </c>
      <c r="R1432" s="1">
        <v>0</v>
      </c>
      <c r="T1432">
        <f>E1432/G1432</f>
        <v>7.9785602225529206E-5</v>
      </c>
      <c r="U1432">
        <f>D1432/C1432</f>
        <v>0.58713008767569286</v>
      </c>
      <c r="V1432">
        <f>(E1432-F1432)/O1432</f>
        <v>8.3602815895088555E-5</v>
      </c>
      <c r="W1432">
        <f>H1432/K1432</f>
        <v>1.8259143638586823</v>
      </c>
      <c r="X1432">
        <f>(H1432-I1432)/K1432</f>
        <v>1.8259143638586823</v>
      </c>
      <c r="Y1432">
        <f>(H1432-K1432)/G1432</f>
        <v>1.0870383338711613E-4</v>
      </c>
      <c r="Z1432">
        <f>J1432/N1432</f>
        <v>4.7843389823257323E-2</v>
      </c>
      <c r="AA1432">
        <f>J1432/G1432</f>
        <v>4.5658912665686807E-2</v>
      </c>
      <c r="AB1432">
        <f>C1432/G1432</f>
        <v>1.4655715285264841E-4</v>
      </c>
      <c r="AC1432">
        <f>C1432/(G1432-K1432)</f>
        <v>1.4657644470919114E-4</v>
      </c>
      <c r="AD1432">
        <f>Q1432/E1432</f>
        <v>77.41299600695487</v>
      </c>
      <c r="AE1432">
        <f>Q1432/J1432</f>
        <v>0.13527353469236356</v>
      </c>
      <c r="AF1432">
        <f>Q1432/G1432</f>
        <v>6.176442506497383E-3</v>
      </c>
      <c r="AG1432">
        <f>Q1432/K1432</f>
        <v>46.927623660676907</v>
      </c>
      <c r="AH1432">
        <f>Q1432/L1432</f>
        <v>0.58905411986116729</v>
      </c>
      <c r="AI1432" s="1">
        <f>R1432</f>
        <v>0</v>
      </c>
      <c r="AJ1432" s="1">
        <f>P1432</f>
        <v>1362.0039999999999</v>
      </c>
    </row>
    <row r="1433" spans="1:36" x14ac:dyDescent="0.25">
      <c r="A1433" t="s">
        <v>221</v>
      </c>
      <c r="B1433">
        <v>2021</v>
      </c>
      <c r="C1433" s="1">
        <v>4367.3729999999996</v>
      </c>
      <c r="D1433" s="1">
        <v>2559.2130000000002</v>
      </c>
      <c r="E1433" s="1">
        <v>2146.2489999999998</v>
      </c>
      <c r="F1433" s="1">
        <v>0</v>
      </c>
      <c r="G1433" s="1">
        <v>34033446.446999997</v>
      </c>
      <c r="H1433" s="1">
        <v>12409.681</v>
      </c>
      <c r="I1433" s="1">
        <v>459721.533</v>
      </c>
      <c r="J1433" s="1">
        <v>5978140.0090959994</v>
      </c>
      <c r="K1433" s="1">
        <v>5216.0959999999995</v>
      </c>
      <c r="L1433" s="1">
        <v>1302260.604822</v>
      </c>
      <c r="M1433" s="1">
        <v>4562383.8219999997</v>
      </c>
      <c r="N1433" s="1">
        <v>28055306.437903997</v>
      </c>
      <c r="O1433" s="1">
        <v>28055306.437903997</v>
      </c>
      <c r="P1433" s="1">
        <v>2731.0340000000001</v>
      </c>
      <c r="Q1433" s="1">
        <v>2432016.6490000002</v>
      </c>
      <c r="R1433" s="1">
        <v>0</v>
      </c>
      <c r="T1433">
        <f>E1433/G1433</f>
        <v>6.30629343796355E-5</v>
      </c>
      <c r="U1433">
        <f>D1433/C1433</f>
        <v>0.58598452662504452</v>
      </c>
      <c r="V1433">
        <f>(E1433-F1433)/O1433</f>
        <v>7.6500643639390784E-5</v>
      </c>
      <c r="W1433">
        <f>H1433/K1433</f>
        <v>2.3791128460825877</v>
      </c>
      <c r="X1433">
        <f>(H1433-I1433)/K1433</f>
        <v>-85.75606200499378</v>
      </c>
      <c r="Y1433">
        <f>(H1433-K1433)/G1433</f>
        <v>2.1136810258703923E-4</v>
      </c>
      <c r="Z1433">
        <f>J1433/N1433</f>
        <v>0.21308411021379042</v>
      </c>
      <c r="AA1433">
        <f>J1433/G1433</f>
        <v>0.17565485230553149</v>
      </c>
      <c r="AB1433">
        <f>C1433/G1433</f>
        <v>1.2832591041877798E-4</v>
      </c>
      <c r="AC1433">
        <f>C1433/(G1433-K1433)</f>
        <v>1.28345581152787E-4</v>
      </c>
      <c r="AD1433">
        <f>Q1433/E1433</f>
        <v>1133.1474814897995</v>
      </c>
      <c r="AE1433">
        <f>Q1433/J1433</f>
        <v>0.40681828215792559</v>
      </c>
      <c r="AF1433">
        <f>Q1433/G1433</f>
        <v>7.1459605267640447E-2</v>
      </c>
      <c r="AG1433">
        <f>Q1433/K1433</f>
        <v>466.25227929087202</v>
      </c>
      <c r="AH1433">
        <f>Q1433/L1433</f>
        <v>1.8675345318707706</v>
      </c>
      <c r="AI1433" s="1">
        <f>R1433</f>
        <v>0</v>
      </c>
      <c r="AJ1433" s="1">
        <f>P1433</f>
        <v>2731.0340000000001</v>
      </c>
    </row>
    <row r="1434" spans="1:36" x14ac:dyDescent="0.25">
      <c r="A1434" t="s">
        <v>221</v>
      </c>
      <c r="B1434">
        <v>2022</v>
      </c>
      <c r="C1434" s="1">
        <v>4367.3729999999996</v>
      </c>
      <c r="D1434" s="1">
        <v>2538.4459999999999</v>
      </c>
      <c r="E1434" s="1">
        <v>1951.827</v>
      </c>
      <c r="F1434" s="1">
        <v>0</v>
      </c>
      <c r="G1434" s="1">
        <v>30447945.333000001</v>
      </c>
      <c r="H1434" s="1">
        <v>8991.125</v>
      </c>
      <c r="I1434" s="1">
        <v>540084.65399999998</v>
      </c>
      <c r="J1434" s="1">
        <v>5247441.422572</v>
      </c>
      <c r="K1434" s="1">
        <v>2379.5720000000001</v>
      </c>
      <c r="L1434" s="1">
        <v>1154769.3884619998</v>
      </c>
      <c r="M1434" s="1">
        <v>3815511.4619999998</v>
      </c>
      <c r="N1434" s="1">
        <v>25200503.910428002</v>
      </c>
      <c r="O1434" s="1">
        <v>25200503.910428002</v>
      </c>
      <c r="P1434" s="1">
        <v>2494.5970000000002</v>
      </c>
      <c r="Q1434" s="1">
        <v>-2575610.3450000002</v>
      </c>
      <c r="R1434" s="1">
        <v>15.9</v>
      </c>
      <c r="T1434">
        <f>E1434/G1434</f>
        <v>6.4103734378574858E-5</v>
      </c>
      <c r="U1434">
        <f>D1434/C1434</f>
        <v>0.58122949425203663</v>
      </c>
      <c r="V1434">
        <f>(E1434-F1434)/O1434</f>
        <v>7.7451903618178493E-5</v>
      </c>
      <c r="W1434">
        <f>H1434/K1434</f>
        <v>3.7784631017678807</v>
      </c>
      <c r="X1434">
        <f>(H1434-I1434)/K1434</f>
        <v>-223.18867804798509</v>
      </c>
      <c r="Y1434">
        <f>(H1434-K1434)/G1434</f>
        <v>2.1714282943204993E-4</v>
      </c>
      <c r="Z1434">
        <f>J1434/N1434</f>
        <v>0.20822763867037603</v>
      </c>
      <c r="AA1434">
        <f>J1434/G1434</f>
        <v>0.17234139660927247</v>
      </c>
      <c r="AB1434">
        <f>C1434/G1434</f>
        <v>1.4343736341599925E-4</v>
      </c>
      <c r="AC1434">
        <f>C1434/(G1434-K1434)</f>
        <v>1.4344857422864823E-4</v>
      </c>
      <c r="AD1434">
        <f>Q1434/E1434</f>
        <v>-1319.5894641277123</v>
      </c>
      <c r="AE1434">
        <f>Q1434/J1434</f>
        <v>-0.49083165253087879</v>
      </c>
      <c r="AF1434">
        <f>Q1434/G1434</f>
        <v>-8.4590612497208797E-2</v>
      </c>
      <c r="AG1434">
        <f>Q1434/K1434</f>
        <v>-1082.383867771179</v>
      </c>
      <c r="AH1434">
        <f>Q1434/L1434</f>
        <v>-2.2304109987106369</v>
      </c>
      <c r="AI1434" s="1">
        <f>R1434</f>
        <v>15.9</v>
      </c>
      <c r="AJ1434" s="1">
        <f>P1434</f>
        <v>2494.5970000000002</v>
      </c>
    </row>
    <row r="1435" spans="1:36" x14ac:dyDescent="0.25">
      <c r="A1435" t="s">
        <v>221</v>
      </c>
      <c r="B1435">
        <v>2023</v>
      </c>
      <c r="C1435" s="1">
        <v>4953.49</v>
      </c>
      <c r="D1435" s="1">
        <v>3017.6709999999998</v>
      </c>
      <c r="E1435" s="1">
        <v>1782.857</v>
      </c>
      <c r="F1435" s="1">
        <v>0</v>
      </c>
      <c r="G1435" s="1">
        <v>39802237.950999998</v>
      </c>
      <c r="H1435" s="1">
        <v>10722.441000000001</v>
      </c>
      <c r="I1435" s="1">
        <v>757693.78700000001</v>
      </c>
      <c r="J1435" s="1">
        <v>9691405.2965169996</v>
      </c>
      <c r="K1435" s="1">
        <v>4911.5169999999998</v>
      </c>
      <c r="L1435" s="1">
        <v>2011579.42933</v>
      </c>
      <c r="M1435" s="1">
        <v>7723538.3300000001</v>
      </c>
      <c r="N1435" s="1">
        <v>30110832.654482998</v>
      </c>
      <c r="O1435" s="1">
        <v>30110832.654482998</v>
      </c>
      <c r="P1435" s="1">
        <v>3947.8470000000002</v>
      </c>
      <c r="Q1435" s="1">
        <v>582790.03700000001</v>
      </c>
      <c r="R1435" s="1">
        <v>16.5</v>
      </c>
      <c r="T1435">
        <f>E1435/G1435</f>
        <v>4.4792883309598101E-5</v>
      </c>
      <c r="U1435">
        <f>D1435/C1435</f>
        <v>0.60920098758652985</v>
      </c>
      <c r="V1435">
        <f>(E1435-F1435)/O1435</f>
        <v>5.9209820613664181E-5</v>
      </c>
      <c r="W1435">
        <f>H1435/K1435</f>
        <v>2.1831220374479008</v>
      </c>
      <c r="X1435">
        <f>(H1435-I1435)/K1435</f>
        <v>-152.08566844011739</v>
      </c>
      <c r="Y1435">
        <f>(H1435-K1435)/G1435</f>
        <v>1.4599490629531314E-4</v>
      </c>
      <c r="Z1435">
        <f>J1435/N1435</f>
        <v>0.32185776486902007</v>
      </c>
      <c r="AA1435">
        <f>J1435/G1435</f>
        <v>0.24348895427558517</v>
      </c>
      <c r="AB1435">
        <f>C1435/G1435</f>
        <v>1.2445254978120011E-4</v>
      </c>
      <c r="AC1435">
        <f>C1435/(G1435-K1435)</f>
        <v>1.2446790887359939E-4</v>
      </c>
      <c r="AD1435">
        <f>Q1435/E1435</f>
        <v>326.88546361261729</v>
      </c>
      <c r="AE1435">
        <f>Q1435/J1435</f>
        <v>6.0134729605153266E-2</v>
      </c>
      <c r="AF1435">
        <f>Q1435/G1435</f>
        <v>1.4642142427203842E-2</v>
      </c>
      <c r="AG1435">
        <f>Q1435/K1435</f>
        <v>118.65784787062735</v>
      </c>
      <c r="AH1435">
        <f>Q1435/L1435</f>
        <v>0.28971763605383</v>
      </c>
      <c r="AI1435" s="1">
        <f>R1435</f>
        <v>16.5</v>
      </c>
      <c r="AJ1435" s="1">
        <f>P1435</f>
        <v>3947.8470000000002</v>
      </c>
    </row>
    <row r="1436" spans="1:36" x14ac:dyDescent="0.25">
      <c r="A1436" t="s">
        <v>221</v>
      </c>
      <c r="B1436">
        <v>2024</v>
      </c>
      <c r="C1436" s="1">
        <v>5851.8</v>
      </c>
      <c r="D1436" s="1">
        <v>3270.386</v>
      </c>
      <c r="E1436" s="1">
        <v>1750.5940000000001</v>
      </c>
      <c r="F1436" s="1">
        <v>0</v>
      </c>
      <c r="G1436" s="1">
        <v>38041860.597000003</v>
      </c>
      <c r="H1436" s="1">
        <v>7261.3450000000003</v>
      </c>
      <c r="I1436" s="1">
        <v>681734.71299999999</v>
      </c>
      <c r="J1436" s="1">
        <v>9653878.3644510005</v>
      </c>
      <c r="K1436" s="1">
        <v>2928.451</v>
      </c>
      <c r="L1436" s="1">
        <v>2425582.4212140003</v>
      </c>
      <c r="M1436" s="1">
        <v>7542629.2139999997</v>
      </c>
      <c r="N1436" s="1">
        <v>28387982.232549004</v>
      </c>
      <c r="O1436" s="1">
        <v>28387982.232549004</v>
      </c>
      <c r="P1436" s="1">
        <v>4178.5</v>
      </c>
      <c r="Q1436" s="1">
        <v>5960659.8109999998</v>
      </c>
      <c r="R1436" s="1">
        <v>19.600000000000001</v>
      </c>
      <c r="T1436">
        <f>E1436/G1436</f>
        <v>4.6017570448119788E-5</v>
      </c>
      <c r="U1436">
        <f>D1436/C1436</f>
        <v>0.55886838237807168</v>
      </c>
      <c r="V1436">
        <f>(E1436-F1436)/O1436</f>
        <v>6.1666728746673983E-5</v>
      </c>
      <c r="W1436">
        <f>H1436/K1436</f>
        <v>2.4795856239356575</v>
      </c>
      <c r="X1436">
        <f>(H1436-I1436)/K1436</f>
        <v>-230.31745042003436</v>
      </c>
      <c r="Y1436">
        <f>(H1436-K1436)/G1436</f>
        <v>1.1389805682484663E-4</v>
      </c>
      <c r="Z1436">
        <f>J1436/N1436</f>
        <v>0.34006919848576228</v>
      </c>
      <c r="AA1436">
        <f>J1436/G1436</f>
        <v>0.25376987910029586</v>
      </c>
      <c r="AB1436">
        <f>C1436/G1436</f>
        <v>1.5382528373129772E-4</v>
      </c>
      <c r="AC1436">
        <f>C1436/(G1436-K1436)</f>
        <v>1.538371260670457E-4</v>
      </c>
      <c r="AD1436">
        <f>Q1436/E1436</f>
        <v>3404.9355881489369</v>
      </c>
      <c r="AE1436">
        <f>Q1436/J1436</f>
        <v>0.61743680477156837</v>
      </c>
      <c r="AF1436">
        <f>Q1436/G1436</f>
        <v>0.1566868632989539</v>
      </c>
      <c r="AG1436">
        <f>Q1436/K1436</f>
        <v>2035.4309534289628</v>
      </c>
      <c r="AH1436">
        <f>Q1436/L1436</f>
        <v>2.4574138396075194</v>
      </c>
      <c r="AI1436" s="1">
        <f>R1436</f>
        <v>19.600000000000001</v>
      </c>
      <c r="AJ1436" s="1">
        <f>P1436</f>
        <v>4178.5</v>
      </c>
    </row>
    <row r="1437" spans="1:36" x14ac:dyDescent="0.25">
      <c r="A1437" t="s">
        <v>222</v>
      </c>
      <c r="B1437">
        <v>2018</v>
      </c>
      <c r="C1437" s="1">
        <v>0</v>
      </c>
      <c r="D1437" s="1">
        <v>0</v>
      </c>
      <c r="E1437" s="1">
        <v>7018.1790000000001</v>
      </c>
      <c r="F1437" s="1">
        <v>0</v>
      </c>
      <c r="G1437" s="1">
        <v>170443.93100000001</v>
      </c>
      <c r="H1437" s="1">
        <v>138903.57</v>
      </c>
      <c r="I1437" s="1">
        <v>0</v>
      </c>
      <c r="J1437" s="1">
        <v>32506.975999999999</v>
      </c>
      <c r="K1437" s="1">
        <v>32506.975999999999</v>
      </c>
      <c r="L1437" s="1">
        <v>444.95100000000002</v>
      </c>
      <c r="M1437" s="1">
        <v>444.95100000000002</v>
      </c>
      <c r="N1437" s="1">
        <v>137936.95500000002</v>
      </c>
      <c r="O1437" s="1">
        <v>137936.95500000002</v>
      </c>
      <c r="P1437" s="1">
        <v>109295.88</v>
      </c>
      <c r="Q1437" s="1">
        <v>9612.1020000000008</v>
      </c>
      <c r="R1437" s="1">
        <v>110</v>
      </c>
      <c r="T1437">
        <f>E1437/G1437</f>
        <v>4.117588088249384E-2</v>
      </c>
      <c r="U1437" t="e">
        <f>D1437/C1437</f>
        <v>#DIV/0!</v>
      </c>
      <c r="V1437">
        <f>(E1437-F1437)/O1437</f>
        <v>5.0879613806176879E-2</v>
      </c>
      <c r="W1437">
        <f>H1437/K1437</f>
        <v>4.273038808654487</v>
      </c>
      <c r="X1437">
        <f>(H1437-I1437)/K1437</f>
        <v>4.273038808654487</v>
      </c>
      <c r="Y1437">
        <f>(H1437-K1437)/G1437</f>
        <v>0.62423222332275363</v>
      </c>
      <c r="Z1437">
        <f>J1437/N1437</f>
        <v>0.23566546035469607</v>
      </c>
      <c r="AA1437">
        <f>J1437/G1437</f>
        <v>0.19071946891438449</v>
      </c>
      <c r="AB1437">
        <f>C1437/G1437</f>
        <v>0</v>
      </c>
      <c r="AC1437">
        <f>C1437/(G1437-K1437)</f>
        <v>0</v>
      </c>
      <c r="AD1437">
        <f>Q1437/E1437</f>
        <v>1.3696005758758789</v>
      </c>
      <c r="AE1437">
        <f>Q1437/J1437</f>
        <v>0.2956935151396427</v>
      </c>
      <c r="AF1437">
        <f>Q1437/G1437</f>
        <v>5.6394510168860164E-2</v>
      </c>
      <c r="AG1437">
        <f>Q1437/K1437</f>
        <v>0.2956935151396427</v>
      </c>
      <c r="AH1437">
        <f>Q1437/L1437</f>
        <v>21.602607927614503</v>
      </c>
      <c r="AI1437" s="1">
        <f>R1437</f>
        <v>110</v>
      </c>
      <c r="AJ1437" s="1">
        <f>P1437</f>
        <v>109295.88</v>
      </c>
    </row>
    <row r="1438" spans="1:36" x14ac:dyDescent="0.25">
      <c r="A1438" t="s">
        <v>222</v>
      </c>
      <c r="B1438">
        <v>2019</v>
      </c>
      <c r="C1438" s="1">
        <v>0</v>
      </c>
      <c r="D1438" s="1">
        <v>0</v>
      </c>
      <c r="E1438" s="1">
        <v>5821.2610000000004</v>
      </c>
      <c r="F1438" s="1">
        <v>0</v>
      </c>
      <c r="G1438" s="1">
        <v>169717.95</v>
      </c>
      <c r="H1438" s="1">
        <v>142501.65900000001</v>
      </c>
      <c r="I1438" s="1">
        <v>0</v>
      </c>
      <c r="J1438" s="1">
        <v>29211.804</v>
      </c>
      <c r="K1438" s="1">
        <v>28711.759999999998</v>
      </c>
      <c r="L1438" s="1">
        <v>0</v>
      </c>
      <c r="M1438" s="1">
        <v>0</v>
      </c>
      <c r="N1438" s="1">
        <v>140506.14600000001</v>
      </c>
      <c r="O1438" s="1">
        <v>140506.14600000001</v>
      </c>
      <c r="P1438" s="1">
        <v>110112.113</v>
      </c>
      <c r="Q1438" s="1">
        <v>-11621.083000000001</v>
      </c>
      <c r="R1438" s="1">
        <v>70.099999999999994</v>
      </c>
      <c r="T1438">
        <f>E1438/G1438</f>
        <v>3.4299618867656603E-2</v>
      </c>
      <c r="U1438" t="e">
        <f>D1438/C1438</f>
        <v>#DIV/0!</v>
      </c>
      <c r="V1438">
        <f>(E1438-F1438)/O1438</f>
        <v>4.1430650300521371E-2</v>
      </c>
      <c r="W1438">
        <f>H1438/K1438</f>
        <v>4.9631809056637426</v>
      </c>
      <c r="X1438">
        <f>(H1438-I1438)/K1438</f>
        <v>4.9631809056637426</v>
      </c>
      <c r="Y1438">
        <f>(H1438-K1438)/G1438</f>
        <v>0.6704647269189854</v>
      </c>
      <c r="Z1438">
        <f>J1438/N1438</f>
        <v>0.20790410121988542</v>
      </c>
      <c r="AA1438">
        <f>J1438/G1438</f>
        <v>0.1721197080214556</v>
      </c>
      <c r="AB1438">
        <f>C1438/G1438</f>
        <v>0</v>
      </c>
      <c r="AC1438">
        <f>C1438/(G1438-K1438)</f>
        <v>0</v>
      </c>
      <c r="AD1438">
        <f>Q1438/E1438</f>
        <v>-1.9963171209811756</v>
      </c>
      <c r="AE1438">
        <f>Q1438/J1438</f>
        <v>-0.39782147655105454</v>
      </c>
      <c r="AF1438">
        <f>Q1438/G1438</f>
        <v>-6.8472916388631844E-2</v>
      </c>
      <c r="AG1438">
        <f>Q1438/K1438</f>
        <v>-0.40474993521818242</v>
      </c>
      <c r="AH1438" t="e">
        <f>Q1438/L1438</f>
        <v>#DIV/0!</v>
      </c>
      <c r="AI1438" s="1">
        <f>R1438</f>
        <v>70.099999999999994</v>
      </c>
      <c r="AJ1438" s="1">
        <f>P1438</f>
        <v>110112.113</v>
      </c>
    </row>
    <row r="1439" spans="1:36" x14ac:dyDescent="0.25">
      <c r="A1439" t="s">
        <v>222</v>
      </c>
      <c r="B1439">
        <v>2020</v>
      </c>
      <c r="C1439" s="1">
        <v>0</v>
      </c>
      <c r="D1439" s="1">
        <v>0</v>
      </c>
      <c r="E1439" s="1">
        <v>2080.15</v>
      </c>
      <c r="F1439" s="1">
        <v>0</v>
      </c>
      <c r="G1439" s="1">
        <v>172765.23199999999</v>
      </c>
      <c r="H1439" s="1">
        <v>147504.82399999999</v>
      </c>
      <c r="I1439" s="1">
        <v>0</v>
      </c>
      <c r="J1439" s="1">
        <v>29777.975999999999</v>
      </c>
      <c r="K1439" s="1">
        <v>29275.83</v>
      </c>
      <c r="L1439" s="1">
        <v>1357.135</v>
      </c>
      <c r="M1439" s="1">
        <v>1357.135</v>
      </c>
      <c r="N1439" s="1">
        <v>142987.25599999999</v>
      </c>
      <c r="O1439" s="1">
        <v>142987.25599999999</v>
      </c>
      <c r="P1439" s="1">
        <v>112192.26300000001</v>
      </c>
      <c r="Q1439" s="1">
        <v>-7251.4189999999999</v>
      </c>
      <c r="R1439" s="1">
        <v>62</v>
      </c>
      <c r="T1439">
        <f>E1439/G1439</f>
        <v>1.2040327651109803E-2</v>
      </c>
      <c r="U1439" t="e">
        <f>D1439/C1439</f>
        <v>#DIV/0!</v>
      </c>
      <c r="V1439">
        <f>(E1439-F1439)/O1439</f>
        <v>1.454779998016047E-2</v>
      </c>
      <c r="W1439">
        <f>H1439/K1439</f>
        <v>5.038450626335786</v>
      </c>
      <c r="X1439">
        <f>(H1439-I1439)/K1439</f>
        <v>5.038450626335786</v>
      </c>
      <c r="Y1439">
        <f>(H1439-K1439)/G1439</f>
        <v>0.68433325751560936</v>
      </c>
      <c r="Z1439">
        <f>J1439/N1439</f>
        <v>0.20825615396102154</v>
      </c>
      <c r="AA1439">
        <f>J1439/G1439</f>
        <v>0.17236092965742089</v>
      </c>
      <c r="AB1439">
        <f>C1439/G1439</f>
        <v>0</v>
      </c>
      <c r="AC1439">
        <f>C1439/(G1439-K1439)</f>
        <v>0</v>
      </c>
      <c r="AD1439">
        <f>Q1439/E1439</f>
        <v>-3.4860077398264546</v>
      </c>
      <c r="AE1439">
        <f>Q1439/J1439</f>
        <v>-0.24351618122064442</v>
      </c>
      <c r="AF1439">
        <f>Q1439/G1439</f>
        <v>-4.1972675381815247E-2</v>
      </c>
      <c r="AG1439">
        <f>Q1439/K1439</f>
        <v>-0.24769302868612092</v>
      </c>
      <c r="AH1439">
        <f>Q1439/L1439</f>
        <v>-5.3431817763155474</v>
      </c>
      <c r="AI1439" s="1">
        <f>R1439</f>
        <v>62</v>
      </c>
      <c r="AJ1439" s="1">
        <f>P1439</f>
        <v>112192.26300000001</v>
      </c>
    </row>
    <row r="1440" spans="1:36" x14ac:dyDescent="0.25">
      <c r="A1440" t="s">
        <v>222</v>
      </c>
      <c r="B1440">
        <v>2021</v>
      </c>
      <c r="C1440" s="1">
        <v>0</v>
      </c>
      <c r="D1440" s="1">
        <v>0</v>
      </c>
      <c r="E1440" s="1">
        <v>2563.576</v>
      </c>
      <c r="F1440" s="1">
        <v>0</v>
      </c>
      <c r="G1440" s="1">
        <v>170827.01800000001</v>
      </c>
      <c r="H1440" s="1">
        <v>147377.53599999999</v>
      </c>
      <c r="I1440" s="1">
        <v>0</v>
      </c>
      <c r="J1440" s="1">
        <v>14962.603999999999</v>
      </c>
      <c r="K1440" s="1">
        <v>14448.741</v>
      </c>
      <c r="L1440" s="1">
        <v>340.34899999999999</v>
      </c>
      <c r="M1440" s="1">
        <v>340.34899999999999</v>
      </c>
      <c r="N1440" s="1">
        <v>155864.41400000002</v>
      </c>
      <c r="O1440" s="1">
        <v>155864.41400000002</v>
      </c>
      <c r="P1440" s="1">
        <v>122040.143</v>
      </c>
      <c r="Q1440" s="1">
        <v>-5991.1419999999998</v>
      </c>
      <c r="R1440" s="1">
        <v>153.5</v>
      </c>
      <c r="T1440">
        <f>E1440/G1440</f>
        <v>1.5006853307010253E-2</v>
      </c>
      <c r="U1440" t="e">
        <f>D1440/C1440</f>
        <v>#DIV/0!</v>
      </c>
      <c r="V1440">
        <f>(E1440-F1440)/O1440</f>
        <v>1.6447474662176574E-2</v>
      </c>
      <c r="W1440">
        <f>H1440/K1440</f>
        <v>10.200026147606909</v>
      </c>
      <c r="X1440">
        <f>(H1440-I1440)/K1440</f>
        <v>10.200026147606909</v>
      </c>
      <c r="Y1440">
        <f>(H1440-K1440)/G1440</f>
        <v>0.7781485420532247</v>
      </c>
      <c r="Z1440">
        <f>J1440/N1440</f>
        <v>9.5997563626037161E-2</v>
      </c>
      <c r="AA1440">
        <f>J1440/G1440</f>
        <v>8.7589212615067705E-2</v>
      </c>
      <c r="AB1440">
        <f>C1440/G1440</f>
        <v>0</v>
      </c>
      <c r="AC1440">
        <f>C1440/(G1440-K1440)</f>
        <v>0</v>
      </c>
      <c r="AD1440">
        <f>Q1440/E1440</f>
        <v>-2.3370253115179733</v>
      </c>
      <c r="AE1440">
        <f>Q1440/J1440</f>
        <v>-0.40040770978099804</v>
      </c>
      <c r="AF1440">
        <f>Q1440/G1440</f>
        <v>-3.5071396024720161E-2</v>
      </c>
      <c r="AG1440">
        <f>Q1440/K1440</f>
        <v>-0.4146480305792733</v>
      </c>
      <c r="AH1440">
        <f>Q1440/L1440</f>
        <v>-17.602936985271</v>
      </c>
      <c r="AI1440" s="1">
        <f>R1440</f>
        <v>153.5</v>
      </c>
      <c r="AJ1440" s="1">
        <f>P1440</f>
        <v>122040.143</v>
      </c>
    </row>
    <row r="1441" spans="1:36" x14ac:dyDescent="0.25">
      <c r="A1441" t="s">
        <v>222</v>
      </c>
      <c r="B1441">
        <v>2022</v>
      </c>
      <c r="C1441" s="1">
        <v>0</v>
      </c>
      <c r="D1441" s="1">
        <v>0</v>
      </c>
      <c r="E1441" s="1">
        <v>13340.816000000001</v>
      </c>
      <c r="F1441" s="1">
        <v>0</v>
      </c>
      <c r="G1441" s="1">
        <v>184416.15700000001</v>
      </c>
      <c r="H1441" s="1">
        <v>161551.16200000001</v>
      </c>
      <c r="I1441" s="1">
        <v>0</v>
      </c>
      <c r="J1441" s="1">
        <v>15598.063</v>
      </c>
      <c r="K1441" s="1">
        <v>15005.450999999999</v>
      </c>
      <c r="L1441" s="1">
        <v>143</v>
      </c>
      <c r="M1441" s="1">
        <v>143</v>
      </c>
      <c r="N1441" s="1">
        <v>168818.09400000001</v>
      </c>
      <c r="O1441" s="1">
        <v>168818.09400000001</v>
      </c>
      <c r="P1441" s="1">
        <v>135380.959</v>
      </c>
      <c r="Q1441" s="1">
        <v>-5523.3059999999996</v>
      </c>
      <c r="R1441" s="1">
        <v>142.25</v>
      </c>
      <c r="T1441">
        <f>E1441/G1441</f>
        <v>7.2340819898985317E-2</v>
      </c>
      <c r="U1441" t="e">
        <f>D1441/C1441</f>
        <v>#DIV/0!</v>
      </c>
      <c r="V1441">
        <f>(E1441-F1441)/O1441</f>
        <v>7.9024799320385641E-2</v>
      </c>
      <c r="W1441">
        <f>H1441/K1441</f>
        <v>10.7661650422903</v>
      </c>
      <c r="X1441">
        <f>(H1441-I1441)/K1441</f>
        <v>10.7661650422903</v>
      </c>
      <c r="Y1441">
        <f>(H1441-K1441)/G1441</f>
        <v>0.79464681069132137</v>
      </c>
      <c r="Z1441">
        <f>J1441/N1441</f>
        <v>9.2395682420155736E-2</v>
      </c>
      <c r="AA1441">
        <f>J1441/G1441</f>
        <v>8.4580783233651272E-2</v>
      </c>
      <c r="AB1441">
        <f>C1441/G1441</f>
        <v>0</v>
      </c>
      <c r="AC1441">
        <f>C1441/(G1441-K1441)</f>
        <v>0</v>
      </c>
      <c r="AD1441">
        <f>Q1441/E1441</f>
        <v>-0.41401560444278668</v>
      </c>
      <c r="AE1441">
        <f>Q1441/J1441</f>
        <v>-0.35410204459361394</v>
      </c>
      <c r="AF1441">
        <f>Q1441/G1441</f>
        <v>-2.9950228276365173E-2</v>
      </c>
      <c r="AG1441">
        <f>Q1441/K1441</f>
        <v>-0.36808663731599939</v>
      </c>
      <c r="AH1441">
        <f>Q1441/L1441</f>
        <v>-38.624517482517483</v>
      </c>
      <c r="AI1441" s="1">
        <f>R1441</f>
        <v>142.25</v>
      </c>
      <c r="AJ1441" s="1">
        <f>P1441</f>
        <v>135380.959</v>
      </c>
    </row>
    <row r="1442" spans="1:36" x14ac:dyDescent="0.25">
      <c r="A1442" t="s">
        <v>222</v>
      </c>
      <c r="B1442">
        <v>2023</v>
      </c>
      <c r="C1442" s="1">
        <v>0</v>
      </c>
      <c r="D1442" s="1">
        <v>0</v>
      </c>
      <c r="E1442" s="1">
        <v>19150.532999999999</v>
      </c>
      <c r="F1442" s="1">
        <v>0</v>
      </c>
      <c r="G1442" s="1">
        <v>199287.22</v>
      </c>
      <c r="H1442" s="1">
        <v>171093.65100000001</v>
      </c>
      <c r="I1442" s="1">
        <v>0</v>
      </c>
      <c r="J1442" s="1">
        <v>13836.731</v>
      </c>
      <c r="K1442" s="1">
        <v>11936.231</v>
      </c>
      <c r="L1442" s="1">
        <v>582.82600000000002</v>
      </c>
      <c r="M1442" s="1">
        <v>582.82600000000002</v>
      </c>
      <c r="N1442" s="1">
        <v>185450.489</v>
      </c>
      <c r="O1442" s="1">
        <v>185450.489</v>
      </c>
      <c r="P1442" s="1">
        <v>151368.30300000001</v>
      </c>
      <c r="Q1442" s="1">
        <v>-17857.871999999999</v>
      </c>
      <c r="R1442" s="1">
        <v>131</v>
      </c>
      <c r="T1442">
        <f>E1442/G1442</f>
        <v>9.6095138463971747E-2</v>
      </c>
      <c r="U1442" t="e">
        <f>D1442/C1442</f>
        <v>#DIV/0!</v>
      </c>
      <c r="V1442">
        <f>(E1442-F1442)/O1442</f>
        <v>0.10326493665918562</v>
      </c>
      <c r="W1442">
        <f>H1442/K1442</f>
        <v>14.333976193992896</v>
      </c>
      <c r="X1442">
        <f>(H1442-I1442)/K1442</f>
        <v>14.333976193992896</v>
      </c>
      <c r="Y1442">
        <f>(H1442-K1442)/G1442</f>
        <v>0.79863334939390496</v>
      </c>
      <c r="Z1442">
        <f>J1442/N1442</f>
        <v>7.461145599891085E-2</v>
      </c>
      <c r="AA1442">
        <f>J1442/G1442</f>
        <v>6.9431100499068629E-2</v>
      </c>
      <c r="AB1442">
        <f>C1442/G1442</f>
        <v>0</v>
      </c>
      <c r="AC1442">
        <f>C1442/(G1442-K1442)</f>
        <v>0</v>
      </c>
      <c r="AD1442">
        <f>Q1442/E1442</f>
        <v>-0.93249999882509793</v>
      </c>
      <c r="AE1442">
        <f>Q1442/J1442</f>
        <v>-1.2906135126859082</v>
      </c>
      <c r="AF1442">
        <f>Q1442/G1442</f>
        <v>-8.9608716504751273E-2</v>
      </c>
      <c r="AG1442">
        <f>Q1442/K1442</f>
        <v>-1.4961064342672323</v>
      </c>
      <c r="AH1442">
        <f>Q1442/L1442</f>
        <v>-30.640143027249984</v>
      </c>
      <c r="AI1442" s="1">
        <f>R1442</f>
        <v>131</v>
      </c>
      <c r="AJ1442" s="1">
        <f>P1442</f>
        <v>151368.30300000001</v>
      </c>
    </row>
    <row r="1443" spans="1:36" x14ac:dyDescent="0.25">
      <c r="A1443" t="s">
        <v>222</v>
      </c>
      <c r="B1443">
        <v>2024</v>
      </c>
      <c r="C1443" s="1">
        <v>0</v>
      </c>
      <c r="D1443" s="1">
        <v>0</v>
      </c>
      <c r="E1443" s="1">
        <v>11181.234</v>
      </c>
      <c r="F1443" s="1">
        <v>0</v>
      </c>
      <c r="G1443" s="1">
        <v>218836.965</v>
      </c>
      <c r="H1443" s="1">
        <v>199287.22</v>
      </c>
      <c r="I1443" s="1">
        <v>0</v>
      </c>
      <c r="J1443" s="1">
        <v>15726.347</v>
      </c>
      <c r="K1443" s="1">
        <v>9919.8469999999998</v>
      </c>
      <c r="L1443" s="1">
        <v>79.224999999999994</v>
      </c>
      <c r="M1443" s="1">
        <v>79.224999999999994</v>
      </c>
      <c r="N1443" s="1">
        <v>203110.61799999999</v>
      </c>
      <c r="O1443" s="1">
        <v>203110.61799999999</v>
      </c>
      <c r="P1443" s="1">
        <v>153152.53700000001</v>
      </c>
      <c r="Q1443" s="1">
        <v>-7532.3429999999998</v>
      </c>
      <c r="R1443" s="1">
        <v>168.25</v>
      </c>
      <c r="T1443">
        <f>E1443/G1443</f>
        <v>5.1093899972520639E-2</v>
      </c>
      <c r="U1443" t="e">
        <f>D1443/C1443</f>
        <v>#DIV/0!</v>
      </c>
      <c r="V1443">
        <f>(E1443-F1443)/O1443</f>
        <v>5.5049972818260053E-2</v>
      </c>
      <c r="W1443">
        <f>H1443/K1443</f>
        <v>20.089747351950088</v>
      </c>
      <c r="X1443">
        <f>(H1443-I1443)/K1443</f>
        <v>20.089747351950088</v>
      </c>
      <c r="Y1443">
        <f>(H1443-K1443)/G1443</f>
        <v>0.8653354016310727</v>
      </c>
      <c r="Z1443">
        <f>J1443/N1443</f>
        <v>7.7427498152755361E-2</v>
      </c>
      <c r="AA1443">
        <f>J1443/G1443</f>
        <v>7.1863302436130941E-2</v>
      </c>
      <c r="AB1443">
        <f>C1443/G1443</f>
        <v>0</v>
      </c>
      <c r="AC1443">
        <f>C1443/(G1443-K1443)</f>
        <v>0</v>
      </c>
      <c r="AD1443">
        <f>Q1443/E1443</f>
        <v>-0.67365936532586645</v>
      </c>
      <c r="AE1443">
        <f>Q1443/J1443</f>
        <v>-0.47896329643495722</v>
      </c>
      <c r="AF1443">
        <f>Q1443/G1443</f>
        <v>-3.4419884227511563E-2</v>
      </c>
      <c r="AG1443">
        <f>Q1443/K1443</f>
        <v>-0.7593204814550063</v>
      </c>
      <c r="AH1443">
        <f>Q1443/L1443</f>
        <v>-95.075329757021152</v>
      </c>
      <c r="AI1443" s="1">
        <f>R1443</f>
        <v>168.25</v>
      </c>
      <c r="AJ1443" s="1">
        <f>P1443</f>
        <v>153152.53700000001</v>
      </c>
    </row>
  </sheetData>
  <autoFilter ref="A1:AJ1443" xr:uid="{8BD82814-1FD9-42CD-A671-C8E6B3B42555}">
    <sortState xmlns:xlrd2="http://schemas.microsoft.com/office/spreadsheetml/2017/richdata2" ref="A2:AJ1443">
      <sortCondition ref="A2:A1443"/>
      <sortCondition ref="B2:B1443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A0406-9CEF-4EE0-828D-911498AD0BF8}">
  <dimension ref="A1:D18"/>
  <sheetViews>
    <sheetView workbookViewId="0">
      <selection activeCell="B29" sqref="B29"/>
    </sheetView>
  </sheetViews>
  <sheetFormatPr defaultRowHeight="15" x14ac:dyDescent="0.25"/>
  <cols>
    <col min="1" max="4" width="37.28515625" customWidth="1"/>
  </cols>
  <sheetData>
    <row r="1" spans="1:4" x14ac:dyDescent="0.25">
      <c r="A1" s="19" t="s">
        <v>241</v>
      </c>
      <c r="B1" s="19" t="s">
        <v>242</v>
      </c>
      <c r="C1" s="19" t="s">
        <v>243</v>
      </c>
      <c r="D1" s="19" t="s">
        <v>244</v>
      </c>
    </row>
    <row r="2" spans="1:4" x14ac:dyDescent="0.25">
      <c r="A2" s="20" t="s">
        <v>245</v>
      </c>
      <c r="B2" s="21" t="s">
        <v>225</v>
      </c>
      <c r="C2" s="21" t="s">
        <v>246</v>
      </c>
      <c r="D2" s="21" t="s">
        <v>247</v>
      </c>
    </row>
    <row r="3" spans="1:4" x14ac:dyDescent="0.25">
      <c r="A3" s="22"/>
      <c r="B3" s="21" t="s">
        <v>226</v>
      </c>
      <c r="C3" s="21" t="s">
        <v>248</v>
      </c>
      <c r="D3" s="21" t="s">
        <v>249</v>
      </c>
    </row>
    <row r="4" spans="1:4" x14ac:dyDescent="0.25">
      <c r="A4" s="23"/>
      <c r="B4" s="21" t="s">
        <v>227</v>
      </c>
      <c r="C4" s="21" t="s">
        <v>250</v>
      </c>
      <c r="D4" s="21" t="s">
        <v>251</v>
      </c>
    </row>
    <row r="5" spans="1:4" x14ac:dyDescent="0.25">
      <c r="A5" s="20" t="s">
        <v>252</v>
      </c>
      <c r="B5" s="21" t="s">
        <v>228</v>
      </c>
      <c r="C5" s="21" t="s">
        <v>253</v>
      </c>
      <c r="D5" s="21" t="s">
        <v>254</v>
      </c>
    </row>
    <row r="6" spans="1:4" x14ac:dyDescent="0.25">
      <c r="A6" s="22"/>
      <c r="B6" s="21" t="s">
        <v>229</v>
      </c>
      <c r="C6" s="21" t="s">
        <v>255</v>
      </c>
      <c r="D6" s="21" t="s">
        <v>256</v>
      </c>
    </row>
    <row r="7" spans="1:4" x14ac:dyDescent="0.25">
      <c r="A7" s="23"/>
      <c r="B7" s="21" t="s">
        <v>230</v>
      </c>
      <c r="C7" s="21" t="s">
        <v>257</v>
      </c>
      <c r="D7" s="21" t="s">
        <v>258</v>
      </c>
    </row>
    <row r="8" spans="1:4" x14ac:dyDescent="0.25">
      <c r="A8" s="20" t="s">
        <v>224</v>
      </c>
      <c r="B8" s="21" t="s">
        <v>259</v>
      </c>
      <c r="C8" s="21" t="s">
        <v>260</v>
      </c>
      <c r="D8" s="21" t="s">
        <v>261</v>
      </c>
    </row>
    <row r="9" spans="1:4" x14ac:dyDescent="0.25">
      <c r="A9" s="23"/>
      <c r="B9" s="21" t="s">
        <v>231</v>
      </c>
      <c r="C9" s="21" t="s">
        <v>262</v>
      </c>
      <c r="D9" s="21" t="s">
        <v>263</v>
      </c>
    </row>
    <row r="10" spans="1:4" x14ac:dyDescent="0.25">
      <c r="A10" s="20" t="s">
        <v>264</v>
      </c>
      <c r="B10" s="21" t="s">
        <v>232</v>
      </c>
      <c r="C10" s="21" t="s">
        <v>265</v>
      </c>
      <c r="D10" s="21" t="s">
        <v>266</v>
      </c>
    </row>
    <row r="11" spans="1:4" x14ac:dyDescent="0.25">
      <c r="A11" s="23"/>
      <c r="B11" s="21" t="s">
        <v>233</v>
      </c>
      <c r="C11" s="21" t="s">
        <v>267</v>
      </c>
      <c r="D11" s="21" t="s">
        <v>268</v>
      </c>
    </row>
    <row r="12" spans="1:4" x14ac:dyDescent="0.25">
      <c r="A12" s="20" t="s">
        <v>269</v>
      </c>
      <c r="B12" s="21" t="s">
        <v>234</v>
      </c>
      <c r="C12" s="21" t="s">
        <v>270</v>
      </c>
      <c r="D12" s="21" t="s">
        <v>271</v>
      </c>
    </row>
    <row r="13" spans="1:4" x14ac:dyDescent="0.25">
      <c r="A13" s="22"/>
      <c r="B13" s="21" t="s">
        <v>235</v>
      </c>
      <c r="C13" s="21" t="s">
        <v>272</v>
      </c>
      <c r="D13" s="21" t="s">
        <v>273</v>
      </c>
    </row>
    <row r="14" spans="1:4" x14ac:dyDescent="0.25">
      <c r="A14" s="22"/>
      <c r="B14" s="21" t="s">
        <v>236</v>
      </c>
      <c r="C14" s="21" t="s">
        <v>274</v>
      </c>
      <c r="D14" s="21" t="s">
        <v>275</v>
      </c>
    </row>
    <row r="15" spans="1:4" x14ac:dyDescent="0.25">
      <c r="A15" s="22"/>
      <c r="B15" s="21" t="s">
        <v>237</v>
      </c>
      <c r="C15" s="21" t="s">
        <v>276</v>
      </c>
      <c r="D15" s="21" t="s">
        <v>277</v>
      </c>
    </row>
    <row r="16" spans="1:4" x14ac:dyDescent="0.25">
      <c r="A16" s="23"/>
      <c r="B16" s="21" t="s">
        <v>238</v>
      </c>
      <c r="C16" s="21" t="s">
        <v>278</v>
      </c>
      <c r="D16" s="21" t="s">
        <v>279</v>
      </c>
    </row>
    <row r="17" spans="1:4" x14ac:dyDescent="0.25">
      <c r="A17" s="20" t="s">
        <v>280</v>
      </c>
      <c r="B17" s="21" t="s">
        <v>16</v>
      </c>
      <c r="C17" s="21"/>
      <c r="D17" s="21" t="s">
        <v>281</v>
      </c>
    </row>
    <row r="18" spans="1:4" x14ac:dyDescent="0.25">
      <c r="A18" s="23"/>
      <c r="B18" s="21" t="s">
        <v>14</v>
      </c>
      <c r="C18" s="21"/>
      <c r="D18" s="21"/>
    </row>
  </sheetData>
  <mergeCells count="6">
    <mergeCell ref="A2:A4"/>
    <mergeCell ref="A5:A7"/>
    <mergeCell ref="A8:A9"/>
    <mergeCell ref="A10:A11"/>
    <mergeCell ref="A12:A16"/>
    <mergeCell ref="A17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data set </vt:lpstr>
      <vt:lpstr>Ratio equations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Savindu Ransara</dc:creator>
  <cp:lastModifiedBy>Savindu Ransara</cp:lastModifiedBy>
  <dcterms:created xsi:type="dcterms:W3CDTF">2026-04-15T02:20:43Z</dcterms:created>
  <dcterms:modified xsi:type="dcterms:W3CDTF">2026-05-10T17:30:46Z</dcterms:modified>
</cp:coreProperties>
</file>